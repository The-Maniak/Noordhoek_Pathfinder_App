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ojte\Desktop\CL\"/>
    </mc:Choice>
  </mc:AlternateContent>
  <xr:revisionPtr revIDLastSave="0" documentId="13_ncr:1_{B828F92D-A5DC-4F72-AFD2-3F1467B8D48C}" xr6:coauthVersionLast="47" xr6:coauthVersionMax="47" xr10:uidLastSave="{00000000-0000-0000-0000-000000000000}"/>
  <bookViews>
    <workbookView xWindow="57480" yWindow="-120" windowWidth="29040" windowHeight="15840" tabRatio="599" activeTab="2" xr2:uid="{00000000-000D-0000-FFFF-FFFF00000000}"/>
  </bookViews>
  <sheets>
    <sheet name="Crewlist" sheetId="8" r:id="rId1"/>
    <sheet name="PE list" sheetId="5" r:id="rId2"/>
    <sheet name="Database" sheetId="15" r:id="rId3"/>
    <sheet name="Port Doc Copy Sheet" sheetId="16" r:id="rId4"/>
  </sheets>
  <definedNames>
    <definedName name="_xlnm._FilterDatabase" localSheetId="2" hidden="1">Database!$B$1:$N$1998</definedName>
    <definedName name="_xlnm.Print_Area" localSheetId="0">Crewlist!$B$1:$N$63</definedName>
    <definedName name="_xlnm.Print_Area" localSheetId="1">'PE list'!$A$1:$K$64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6" i="8" l="1"/>
  <c r="AV16" i="8" s="1"/>
  <c r="R16" i="8" s="1"/>
  <c r="AT17" i="8"/>
  <c r="AV17" i="8" s="1"/>
  <c r="R17" i="8" s="1"/>
  <c r="AT18" i="8"/>
  <c r="AV18" i="8" s="1"/>
  <c r="R18" i="8" s="1"/>
  <c r="AT19" i="8"/>
  <c r="AV19" i="8" s="1"/>
  <c r="R19" i="8" s="1"/>
  <c r="AT20" i="8"/>
  <c r="AV20" i="8" s="1"/>
  <c r="R20" i="8" s="1"/>
  <c r="AT21" i="8"/>
  <c r="AV21" i="8" s="1"/>
  <c r="R21" i="8" s="1"/>
  <c r="AT22" i="8"/>
  <c r="AV22" i="8" s="1"/>
  <c r="R22" i="8" s="1"/>
  <c r="AT23" i="8"/>
  <c r="AV23" i="8" s="1"/>
  <c r="R23" i="8" s="1"/>
  <c r="AT24" i="8"/>
  <c r="AV24" i="8" s="1"/>
  <c r="R24" i="8" s="1"/>
  <c r="AT25" i="8"/>
  <c r="AV25" i="8" s="1"/>
  <c r="R25" i="8" s="1"/>
  <c r="AT26" i="8"/>
  <c r="AV26" i="8" s="1"/>
  <c r="R26" i="8" s="1"/>
  <c r="AT27" i="8"/>
  <c r="AV27" i="8" s="1"/>
  <c r="R27" i="8" s="1"/>
  <c r="AT28" i="8"/>
  <c r="AV28" i="8" s="1"/>
  <c r="R28" i="8" s="1"/>
  <c r="AT29" i="8"/>
  <c r="AV29" i="8" s="1"/>
  <c r="R29" i="8" s="1"/>
  <c r="AT30" i="8"/>
  <c r="AV30" i="8" s="1"/>
  <c r="R30" i="8" s="1"/>
  <c r="AT31" i="8"/>
  <c r="AV31" i="8" s="1"/>
  <c r="R31" i="8" s="1"/>
  <c r="AT32" i="8"/>
  <c r="AV32" i="8" s="1"/>
  <c r="R32" i="8" s="1"/>
  <c r="AT33" i="8"/>
  <c r="AV33" i="8" s="1"/>
  <c r="R33" i="8" s="1"/>
  <c r="AT34" i="8"/>
  <c r="AV34" i="8" s="1"/>
  <c r="R34" i="8" s="1"/>
  <c r="AT35" i="8"/>
  <c r="AV35" i="8" s="1"/>
  <c r="R35" i="8" s="1"/>
  <c r="AT36" i="8"/>
  <c r="AV36" i="8" s="1"/>
  <c r="R36" i="8" s="1"/>
  <c r="AT37" i="8"/>
  <c r="AV37" i="8" s="1"/>
  <c r="R37" i="8" s="1"/>
  <c r="AT38" i="8"/>
  <c r="AV38" i="8" s="1"/>
  <c r="R38" i="8" s="1"/>
  <c r="AT39" i="8"/>
  <c r="AV39" i="8" s="1"/>
  <c r="R39" i="8" s="1"/>
  <c r="AT40" i="8"/>
  <c r="AV40" i="8" s="1"/>
  <c r="R40" i="8" s="1"/>
  <c r="AT41" i="8"/>
  <c r="AV41" i="8" s="1"/>
  <c r="R41" i="8" s="1"/>
  <c r="AT42" i="8"/>
  <c r="AV42" i="8" s="1"/>
  <c r="R42" i="8" s="1"/>
  <c r="AT43" i="8"/>
  <c r="AV43" i="8" s="1"/>
  <c r="R43" i="8" s="1"/>
  <c r="AT44" i="8"/>
  <c r="AV44" i="8" s="1"/>
  <c r="R44" i="8" s="1"/>
  <c r="AT45" i="8"/>
  <c r="AV45" i="8" s="1"/>
  <c r="R45" i="8" s="1"/>
  <c r="AT46" i="8"/>
  <c r="AV46" i="8" s="1"/>
  <c r="R46" i="8" s="1"/>
  <c r="AT47" i="8"/>
  <c r="AV47" i="8" s="1"/>
  <c r="R47" i="8" s="1"/>
  <c r="AT48" i="8"/>
  <c r="AV48" i="8" s="1"/>
  <c r="R48" i="8" s="1"/>
  <c r="AT49" i="8"/>
  <c r="AV49" i="8" s="1"/>
  <c r="R49" i="8" s="1"/>
  <c r="AT50" i="8"/>
  <c r="AV50" i="8" s="1"/>
  <c r="R50" i="8" s="1"/>
  <c r="AT51" i="8"/>
  <c r="AV51" i="8" s="1"/>
  <c r="R51" i="8" s="1"/>
  <c r="AT52" i="8"/>
  <c r="AV52" i="8" s="1"/>
  <c r="R52" i="8" s="1"/>
  <c r="AT53" i="8"/>
  <c r="AV53" i="8" s="1"/>
  <c r="R53" i="8" s="1"/>
  <c r="AT54" i="8"/>
  <c r="AV54" i="8" s="1"/>
  <c r="R54" i="8" s="1"/>
  <c r="AT55" i="8"/>
  <c r="AV55" i="8" s="1"/>
  <c r="R55" i="8" s="1"/>
  <c r="AT56" i="8"/>
  <c r="AV56" i="8" s="1"/>
  <c r="R56" i="8" s="1"/>
  <c r="AT57" i="8"/>
  <c r="AV57" i="8" s="1"/>
  <c r="R57" i="8" s="1"/>
  <c r="AT58" i="8"/>
  <c r="AV58" i="8" s="1"/>
  <c r="R58" i="8" s="1"/>
  <c r="AS15" i="8"/>
  <c r="AU16" i="8"/>
  <c r="AS16" i="8"/>
  <c r="AS17" i="8"/>
  <c r="AS18" i="8"/>
  <c r="AS19" i="8"/>
  <c r="AS20" i="8"/>
  <c r="AS21" i="8"/>
  <c r="AT15" i="8"/>
  <c r="AV15" i="8" s="1"/>
  <c r="R15" i="8" s="1"/>
  <c r="AU15" i="8"/>
  <c r="AU17" i="8"/>
  <c r="AU18" i="8"/>
  <c r="AU19" i="8"/>
  <c r="AU20" i="8"/>
  <c r="AU21" i="8"/>
  <c r="AS22" i="8"/>
  <c r="AU22" i="8"/>
  <c r="AS23" i="8"/>
  <c r="AU23" i="8"/>
  <c r="AS24" i="8"/>
  <c r="AU24" i="8"/>
  <c r="AS25" i="8"/>
  <c r="AU25" i="8"/>
  <c r="AS26" i="8"/>
  <c r="AU26" i="8"/>
  <c r="AS27" i="8"/>
  <c r="AU27" i="8"/>
  <c r="AS28" i="8"/>
  <c r="AU28" i="8"/>
  <c r="AS29" i="8"/>
  <c r="AU29" i="8"/>
  <c r="AS30" i="8"/>
  <c r="AU30" i="8"/>
  <c r="AS31" i="8"/>
  <c r="AU31" i="8"/>
  <c r="AS32" i="8"/>
  <c r="AU32" i="8"/>
  <c r="AS33" i="8"/>
  <c r="AU33" i="8"/>
  <c r="AS34" i="8"/>
  <c r="AU34" i="8"/>
  <c r="AS35" i="8"/>
  <c r="AU35" i="8"/>
  <c r="AS36" i="8"/>
  <c r="AU36" i="8"/>
  <c r="AS37" i="8"/>
  <c r="AU37" i="8"/>
  <c r="AS38" i="8"/>
  <c r="AU38" i="8"/>
  <c r="AS39" i="8"/>
  <c r="AU39" i="8"/>
  <c r="AS40" i="8"/>
  <c r="AU40" i="8"/>
  <c r="AS41" i="8"/>
  <c r="AU41" i="8"/>
  <c r="AS42" i="8"/>
  <c r="AU42" i="8"/>
  <c r="AS43" i="8"/>
  <c r="AU43" i="8"/>
  <c r="AS44" i="8"/>
  <c r="AU44" i="8"/>
  <c r="AS45" i="8"/>
  <c r="AU45" i="8"/>
  <c r="AS46" i="8"/>
  <c r="AU46" i="8"/>
  <c r="AS47" i="8"/>
  <c r="AU47" i="8"/>
  <c r="AS48" i="8"/>
  <c r="AU48" i="8"/>
  <c r="AS49" i="8"/>
  <c r="AU49" i="8"/>
  <c r="AS50" i="8"/>
  <c r="AU50" i="8"/>
  <c r="AS51" i="8"/>
  <c r="AU51" i="8"/>
  <c r="AS52" i="8"/>
  <c r="AU52" i="8"/>
  <c r="AS53" i="8"/>
  <c r="AU53" i="8"/>
  <c r="AS54" i="8"/>
  <c r="AU54" i="8"/>
  <c r="AS55" i="8"/>
  <c r="AU55" i="8"/>
  <c r="AS56" i="8"/>
  <c r="AU56" i="8"/>
  <c r="AS57" i="8"/>
  <c r="AU57" i="8"/>
  <c r="AS58" i="8"/>
  <c r="AU58" i="8"/>
  <c r="U15" i="8"/>
  <c r="AF15" i="8" s="1"/>
  <c r="C15" i="8" s="1"/>
  <c r="M2" i="16"/>
  <c r="C2" i="16"/>
  <c r="D2" i="16"/>
  <c r="E2" i="16"/>
  <c r="F2" i="16"/>
  <c r="G2" i="16"/>
  <c r="H2" i="16"/>
  <c r="I2" i="16"/>
  <c r="J2" i="16"/>
  <c r="K2" i="16"/>
  <c r="L2" i="16"/>
  <c r="B2" i="16"/>
  <c r="K60" i="5"/>
  <c r="T56" i="5"/>
  <c r="E56" i="5" s="1"/>
  <c r="T55" i="5"/>
  <c r="E55" i="5" s="1"/>
  <c r="R57" i="5"/>
  <c r="C57" i="5" s="1"/>
  <c r="R56" i="5"/>
  <c r="C56" i="5" s="1"/>
  <c r="R55" i="5"/>
  <c r="C55" i="5" s="1"/>
  <c r="V3" i="15"/>
  <c r="S3" i="15" s="1"/>
  <c r="V4" i="15"/>
  <c r="S4" i="15" s="1"/>
  <c r="V5" i="15"/>
  <c r="S5" i="15" s="1"/>
  <c r="V6" i="15"/>
  <c r="S6" i="15" s="1"/>
  <c r="V7" i="15"/>
  <c r="S7" i="15" s="1"/>
  <c r="V8" i="15"/>
  <c r="S8" i="15" s="1"/>
  <c r="V9" i="15"/>
  <c r="S9" i="15" s="1"/>
  <c r="V10" i="15"/>
  <c r="S10" i="15" s="1"/>
  <c r="V11" i="15"/>
  <c r="S11" i="15" s="1"/>
  <c r="V12" i="15"/>
  <c r="S12" i="15" s="1"/>
  <c r="V13" i="15"/>
  <c r="S13" i="15" s="1"/>
  <c r="V14" i="15"/>
  <c r="S14" i="15" s="1"/>
  <c r="V15" i="15"/>
  <c r="S15" i="15" s="1"/>
  <c r="V16" i="15"/>
  <c r="S16" i="15" s="1"/>
  <c r="V17" i="15"/>
  <c r="S17" i="15" s="1"/>
  <c r="V18" i="15"/>
  <c r="S18" i="15" s="1"/>
  <c r="V19" i="15"/>
  <c r="S19" i="15" s="1"/>
  <c r="V20" i="15"/>
  <c r="S20" i="15" s="1"/>
  <c r="V21" i="15"/>
  <c r="S21" i="15" s="1"/>
  <c r="V22" i="15"/>
  <c r="S22" i="15" s="1"/>
  <c r="V23" i="15"/>
  <c r="S23" i="15" s="1"/>
  <c r="V24" i="15"/>
  <c r="S24" i="15" s="1"/>
  <c r="V25" i="15"/>
  <c r="S25" i="15" s="1"/>
  <c r="V26" i="15"/>
  <c r="S26" i="15" s="1"/>
  <c r="V27" i="15"/>
  <c r="S27" i="15" s="1"/>
  <c r="V28" i="15"/>
  <c r="S28" i="15" s="1"/>
  <c r="V29" i="15"/>
  <c r="S29" i="15" s="1"/>
  <c r="V30" i="15"/>
  <c r="S30" i="15" s="1"/>
  <c r="V31" i="15"/>
  <c r="S31" i="15" s="1"/>
  <c r="V32" i="15"/>
  <c r="S32" i="15" s="1"/>
  <c r="V33" i="15"/>
  <c r="S33" i="15" s="1"/>
  <c r="V34" i="15"/>
  <c r="S34" i="15" s="1"/>
  <c r="V35" i="15"/>
  <c r="S35" i="15" s="1"/>
  <c r="V36" i="15"/>
  <c r="S36" i="15" s="1"/>
  <c r="V37" i="15"/>
  <c r="S37" i="15" s="1"/>
  <c r="V38" i="15"/>
  <c r="S38" i="15" s="1"/>
  <c r="V39" i="15"/>
  <c r="S39" i="15" s="1"/>
  <c r="V40" i="15"/>
  <c r="S40" i="15" s="1"/>
  <c r="V41" i="15"/>
  <c r="S41" i="15" s="1"/>
  <c r="V42" i="15"/>
  <c r="S42" i="15" s="1"/>
  <c r="V43" i="15"/>
  <c r="S43" i="15" s="1"/>
  <c r="V44" i="15"/>
  <c r="S44" i="15" s="1"/>
  <c r="V45" i="15"/>
  <c r="S45" i="15" s="1"/>
  <c r="V46" i="15"/>
  <c r="S46" i="15" s="1"/>
  <c r="V47" i="15"/>
  <c r="S47" i="15" s="1"/>
  <c r="V48" i="15"/>
  <c r="S48" i="15" s="1"/>
  <c r="V49" i="15"/>
  <c r="S49" i="15" s="1"/>
  <c r="V50" i="15"/>
  <c r="S50" i="15" s="1"/>
  <c r="V51" i="15"/>
  <c r="S51" i="15" s="1"/>
  <c r="V52" i="15"/>
  <c r="S52" i="15" s="1"/>
  <c r="V53" i="15"/>
  <c r="S53" i="15" s="1"/>
  <c r="V54" i="15"/>
  <c r="S54" i="15" s="1"/>
  <c r="V55" i="15"/>
  <c r="S55" i="15" s="1"/>
  <c r="V56" i="15"/>
  <c r="S56" i="15" s="1"/>
  <c r="V57" i="15"/>
  <c r="S57" i="15" s="1"/>
  <c r="V58" i="15"/>
  <c r="S58" i="15" s="1"/>
  <c r="V59" i="15"/>
  <c r="S59" i="15" s="1"/>
  <c r="V60" i="15"/>
  <c r="S60" i="15" s="1"/>
  <c r="V61" i="15"/>
  <c r="S61" i="15" s="1"/>
  <c r="V62" i="15"/>
  <c r="S62" i="15" s="1"/>
  <c r="V63" i="15"/>
  <c r="S63" i="15" s="1"/>
  <c r="V64" i="15"/>
  <c r="S64" i="15" s="1"/>
  <c r="V65" i="15"/>
  <c r="S65" i="15" s="1"/>
  <c r="V66" i="15"/>
  <c r="S66" i="15" s="1"/>
  <c r="V67" i="15"/>
  <c r="S67" i="15" s="1"/>
  <c r="V68" i="15"/>
  <c r="S68" i="15" s="1"/>
  <c r="V69" i="15"/>
  <c r="S69" i="15" s="1"/>
  <c r="V70" i="15"/>
  <c r="S70" i="15" s="1"/>
  <c r="V71" i="15"/>
  <c r="S71" i="15" s="1"/>
  <c r="V72" i="15"/>
  <c r="S72" i="15" s="1"/>
  <c r="V73" i="15"/>
  <c r="S73" i="15" s="1"/>
  <c r="V74" i="15"/>
  <c r="S74" i="15" s="1"/>
  <c r="V75" i="15"/>
  <c r="S75" i="15" s="1"/>
  <c r="V76" i="15"/>
  <c r="S76" i="15" s="1"/>
  <c r="V77" i="15"/>
  <c r="S77" i="15" s="1"/>
  <c r="V78" i="15"/>
  <c r="S78" i="15" s="1"/>
  <c r="V79" i="15"/>
  <c r="S79" i="15" s="1"/>
  <c r="V80" i="15"/>
  <c r="S80" i="15" s="1"/>
  <c r="V81" i="15"/>
  <c r="S81" i="15" s="1"/>
  <c r="V82" i="15"/>
  <c r="S82" i="15" s="1"/>
  <c r="V83" i="15"/>
  <c r="S83" i="15" s="1"/>
  <c r="V84" i="15"/>
  <c r="S84" i="15" s="1"/>
  <c r="V85" i="15"/>
  <c r="S85" i="15" s="1"/>
  <c r="V86" i="15"/>
  <c r="S86" i="15" s="1"/>
  <c r="V87" i="15"/>
  <c r="S87" i="15" s="1"/>
  <c r="V88" i="15"/>
  <c r="S88" i="15" s="1"/>
  <c r="V89" i="15"/>
  <c r="S89" i="15" s="1"/>
  <c r="V90" i="15"/>
  <c r="S90" i="15" s="1"/>
  <c r="V91" i="15"/>
  <c r="S91" i="15" s="1"/>
  <c r="V92" i="15"/>
  <c r="S92" i="15" s="1"/>
  <c r="V93" i="15"/>
  <c r="S93" i="15" s="1"/>
  <c r="V94" i="15"/>
  <c r="S94" i="15" s="1"/>
  <c r="V95" i="15"/>
  <c r="S95" i="15" s="1"/>
  <c r="V96" i="15"/>
  <c r="S96" i="15" s="1"/>
  <c r="V97" i="15"/>
  <c r="S97" i="15" s="1"/>
  <c r="V98" i="15"/>
  <c r="S98" i="15" s="1"/>
  <c r="V99" i="15"/>
  <c r="S99" i="15" s="1"/>
  <c r="V100" i="15"/>
  <c r="S100" i="15" s="1"/>
  <c r="V101" i="15"/>
  <c r="S101" i="15" s="1"/>
  <c r="V102" i="15"/>
  <c r="S102" i="15" s="1"/>
  <c r="V103" i="15"/>
  <c r="S103" i="15" s="1"/>
  <c r="V104" i="15"/>
  <c r="S104" i="15" s="1"/>
  <c r="V105" i="15"/>
  <c r="S105" i="15" s="1"/>
  <c r="V106" i="15"/>
  <c r="S106" i="15" s="1"/>
  <c r="V107" i="15"/>
  <c r="S107" i="15" s="1"/>
  <c r="V108" i="15"/>
  <c r="S108" i="15" s="1"/>
  <c r="V109" i="15"/>
  <c r="S109" i="15" s="1"/>
  <c r="V110" i="15"/>
  <c r="S110" i="15" s="1"/>
  <c r="V111" i="15"/>
  <c r="S111" i="15" s="1"/>
  <c r="V112" i="15"/>
  <c r="S112" i="15" s="1"/>
  <c r="V113" i="15"/>
  <c r="S113" i="15" s="1"/>
  <c r="V114" i="15"/>
  <c r="S114" i="15" s="1"/>
  <c r="V115" i="15"/>
  <c r="S115" i="15" s="1"/>
  <c r="V116" i="15"/>
  <c r="S116" i="15" s="1"/>
  <c r="V117" i="15"/>
  <c r="S117" i="15" s="1"/>
  <c r="V118" i="15"/>
  <c r="S118" i="15" s="1"/>
  <c r="V119" i="15"/>
  <c r="S119" i="15" s="1"/>
  <c r="V120" i="15"/>
  <c r="S120" i="15" s="1"/>
  <c r="V121" i="15"/>
  <c r="S121" i="15" s="1"/>
  <c r="V122" i="15"/>
  <c r="S122" i="15" s="1"/>
  <c r="V123" i="15"/>
  <c r="S123" i="15" s="1"/>
  <c r="V124" i="15"/>
  <c r="S124" i="15" s="1"/>
  <c r="V125" i="15"/>
  <c r="S125" i="15" s="1"/>
  <c r="V126" i="15"/>
  <c r="S126" i="15" s="1"/>
  <c r="V127" i="15"/>
  <c r="S127" i="15" s="1"/>
  <c r="V128" i="15"/>
  <c r="S128" i="15" s="1"/>
  <c r="V129" i="15"/>
  <c r="S129" i="15" s="1"/>
  <c r="V130" i="15"/>
  <c r="S130" i="15" s="1"/>
  <c r="V131" i="15"/>
  <c r="S131" i="15" s="1"/>
  <c r="V132" i="15"/>
  <c r="S132" i="15" s="1"/>
  <c r="V133" i="15"/>
  <c r="S133" i="15" s="1"/>
  <c r="V134" i="15"/>
  <c r="S134" i="15" s="1"/>
  <c r="V135" i="15"/>
  <c r="S135" i="15" s="1"/>
  <c r="V136" i="15"/>
  <c r="S136" i="15" s="1"/>
  <c r="V137" i="15"/>
  <c r="S137" i="15" s="1"/>
  <c r="V138" i="15"/>
  <c r="S138" i="15" s="1"/>
  <c r="V139" i="15"/>
  <c r="S139" i="15" s="1"/>
  <c r="V140" i="15"/>
  <c r="S140" i="15" s="1"/>
  <c r="V141" i="15"/>
  <c r="S141" i="15" s="1"/>
  <c r="V142" i="15"/>
  <c r="S142" i="15" s="1"/>
  <c r="V143" i="15"/>
  <c r="S143" i="15" s="1"/>
  <c r="V144" i="15"/>
  <c r="S144" i="15" s="1"/>
  <c r="V145" i="15"/>
  <c r="S145" i="15" s="1"/>
  <c r="V146" i="15"/>
  <c r="S146" i="15" s="1"/>
  <c r="V147" i="15"/>
  <c r="S147" i="15" s="1"/>
  <c r="V148" i="15"/>
  <c r="S148" i="15" s="1"/>
  <c r="V149" i="15"/>
  <c r="S149" i="15" s="1"/>
  <c r="V150" i="15"/>
  <c r="S150" i="15" s="1"/>
  <c r="V151" i="15"/>
  <c r="S151" i="15" s="1"/>
  <c r="V152" i="15"/>
  <c r="S152" i="15" s="1"/>
  <c r="V153" i="15"/>
  <c r="S153" i="15" s="1"/>
  <c r="V154" i="15"/>
  <c r="S154" i="15" s="1"/>
  <c r="V155" i="15"/>
  <c r="S155" i="15" s="1"/>
  <c r="V156" i="15"/>
  <c r="S156" i="15" s="1"/>
  <c r="V157" i="15"/>
  <c r="S157" i="15" s="1"/>
  <c r="V158" i="15"/>
  <c r="S158" i="15" s="1"/>
  <c r="V159" i="15"/>
  <c r="S159" i="15" s="1"/>
  <c r="V160" i="15"/>
  <c r="S160" i="15" s="1"/>
  <c r="V161" i="15"/>
  <c r="S161" i="15" s="1"/>
  <c r="V162" i="15"/>
  <c r="S162" i="15" s="1"/>
  <c r="V163" i="15"/>
  <c r="S163" i="15" s="1"/>
  <c r="V164" i="15"/>
  <c r="S164" i="15" s="1"/>
  <c r="V165" i="15"/>
  <c r="S165" i="15" s="1"/>
  <c r="V166" i="15"/>
  <c r="S166" i="15" s="1"/>
  <c r="V167" i="15"/>
  <c r="S167" i="15" s="1"/>
  <c r="V168" i="15"/>
  <c r="S168" i="15" s="1"/>
  <c r="V169" i="15"/>
  <c r="S169" i="15" s="1"/>
  <c r="V170" i="15"/>
  <c r="S170" i="15" s="1"/>
  <c r="V171" i="15"/>
  <c r="S171" i="15" s="1"/>
  <c r="V172" i="15"/>
  <c r="S172" i="15" s="1"/>
  <c r="V173" i="15"/>
  <c r="S173" i="15" s="1"/>
  <c r="V174" i="15"/>
  <c r="S174" i="15" s="1"/>
  <c r="V175" i="15"/>
  <c r="S175" i="15" s="1"/>
  <c r="V176" i="15"/>
  <c r="S176" i="15" s="1"/>
  <c r="V177" i="15"/>
  <c r="S177" i="15" s="1"/>
  <c r="V178" i="15"/>
  <c r="S178" i="15" s="1"/>
  <c r="V179" i="15"/>
  <c r="S179" i="15" s="1"/>
  <c r="V180" i="15"/>
  <c r="S180" i="15" s="1"/>
  <c r="V181" i="15"/>
  <c r="S181" i="15" s="1"/>
  <c r="V182" i="15"/>
  <c r="S182" i="15" s="1"/>
  <c r="V183" i="15"/>
  <c r="S183" i="15" s="1"/>
  <c r="V184" i="15"/>
  <c r="S184" i="15" s="1"/>
  <c r="V185" i="15"/>
  <c r="S185" i="15" s="1"/>
  <c r="V186" i="15"/>
  <c r="S186" i="15" s="1"/>
  <c r="V187" i="15"/>
  <c r="S187" i="15" s="1"/>
  <c r="V188" i="15"/>
  <c r="S188" i="15" s="1"/>
  <c r="V189" i="15"/>
  <c r="S189" i="15" s="1"/>
  <c r="V190" i="15"/>
  <c r="S190" i="15" s="1"/>
  <c r="V191" i="15"/>
  <c r="S191" i="15" s="1"/>
  <c r="V192" i="15"/>
  <c r="S192" i="15" s="1"/>
  <c r="V193" i="15"/>
  <c r="V194" i="15"/>
  <c r="S194" i="15" s="1"/>
  <c r="V195" i="15"/>
  <c r="S195" i="15" s="1"/>
  <c r="V196" i="15"/>
  <c r="S196" i="15" s="1"/>
  <c r="V197" i="15"/>
  <c r="S197" i="15" s="1"/>
  <c r="V198" i="15"/>
  <c r="S198" i="15" s="1"/>
  <c r="V199" i="15"/>
  <c r="S199" i="15" s="1"/>
  <c r="V200" i="15"/>
  <c r="S200" i="15" s="1"/>
  <c r="V201" i="15"/>
  <c r="S201" i="15" s="1"/>
  <c r="V202" i="15"/>
  <c r="S202" i="15" s="1"/>
  <c r="V203" i="15"/>
  <c r="S203" i="15" s="1"/>
  <c r="V204" i="15"/>
  <c r="S204" i="15" s="1"/>
  <c r="V205" i="15"/>
  <c r="S205" i="15" s="1"/>
  <c r="V206" i="15"/>
  <c r="S206" i="15" s="1"/>
  <c r="V207" i="15"/>
  <c r="S207" i="15" s="1"/>
  <c r="V208" i="15"/>
  <c r="S208" i="15" s="1"/>
  <c r="V209" i="15"/>
  <c r="S209" i="15" s="1"/>
  <c r="V210" i="15"/>
  <c r="S210" i="15" s="1"/>
  <c r="V211" i="15"/>
  <c r="S211" i="15" s="1"/>
  <c r="V212" i="15"/>
  <c r="S212" i="15" s="1"/>
  <c r="V213" i="15"/>
  <c r="S213" i="15" s="1"/>
  <c r="V214" i="15"/>
  <c r="S214" i="15" s="1"/>
  <c r="V215" i="15"/>
  <c r="S215" i="15" s="1"/>
  <c r="V216" i="15"/>
  <c r="S216" i="15" s="1"/>
  <c r="V217" i="15"/>
  <c r="S217" i="15" s="1"/>
  <c r="V218" i="15"/>
  <c r="S218" i="15" s="1"/>
  <c r="V219" i="15"/>
  <c r="S219" i="15" s="1"/>
  <c r="V220" i="15"/>
  <c r="S220" i="15" s="1"/>
  <c r="V221" i="15"/>
  <c r="S221" i="15" s="1"/>
  <c r="V222" i="15"/>
  <c r="S222" i="15" s="1"/>
  <c r="V223" i="15"/>
  <c r="S223" i="15" s="1"/>
  <c r="V224" i="15"/>
  <c r="S224" i="15" s="1"/>
  <c r="V225" i="15"/>
  <c r="S225" i="15" s="1"/>
  <c r="V226" i="15"/>
  <c r="S226" i="15" s="1"/>
  <c r="S193" i="15"/>
  <c r="S1585" i="15"/>
  <c r="R1585" i="15" s="1"/>
  <c r="S1586" i="15"/>
  <c r="R1586" i="15" s="1"/>
  <c r="V227" i="15"/>
  <c r="S227" i="15" s="1"/>
  <c r="V228" i="15"/>
  <c r="S228" i="15" s="1"/>
  <c r="V229" i="15"/>
  <c r="S229" i="15" s="1"/>
  <c r="V230" i="15"/>
  <c r="S230" i="15" s="1"/>
  <c r="V231" i="15"/>
  <c r="S231" i="15" s="1"/>
  <c r="V232" i="15"/>
  <c r="S232" i="15" s="1"/>
  <c r="V233" i="15"/>
  <c r="S233" i="15" s="1"/>
  <c r="V234" i="15"/>
  <c r="S234" i="15" s="1"/>
  <c r="V235" i="15"/>
  <c r="S235" i="15" s="1"/>
  <c r="V236" i="15"/>
  <c r="S236" i="15" s="1"/>
  <c r="V237" i="15"/>
  <c r="S237" i="15" s="1"/>
  <c r="V238" i="15"/>
  <c r="S238" i="15" s="1"/>
  <c r="V239" i="15"/>
  <c r="S239" i="15" s="1"/>
  <c r="V240" i="15"/>
  <c r="S240" i="15" s="1"/>
  <c r="V241" i="15"/>
  <c r="S241" i="15" s="1"/>
  <c r="V242" i="15"/>
  <c r="S242" i="15" s="1"/>
  <c r="V243" i="15"/>
  <c r="S243" i="15" s="1"/>
  <c r="V244" i="15"/>
  <c r="S244" i="15" s="1"/>
  <c r="V245" i="15"/>
  <c r="S245" i="15" s="1"/>
  <c r="V246" i="15"/>
  <c r="S246" i="15" s="1"/>
  <c r="V247" i="15"/>
  <c r="S247" i="15" s="1"/>
  <c r="V248" i="15"/>
  <c r="S248" i="15" s="1"/>
  <c r="V249" i="15"/>
  <c r="S249" i="15" s="1"/>
  <c r="V250" i="15"/>
  <c r="S250" i="15" s="1"/>
  <c r="V251" i="15"/>
  <c r="S251" i="15" s="1"/>
  <c r="V252" i="15"/>
  <c r="S252" i="15" s="1"/>
  <c r="V253" i="15"/>
  <c r="S253" i="15" s="1"/>
  <c r="V254" i="15"/>
  <c r="S254" i="15" s="1"/>
  <c r="V255" i="15"/>
  <c r="S255" i="15" s="1"/>
  <c r="V256" i="15"/>
  <c r="S256" i="15" s="1"/>
  <c r="V257" i="15"/>
  <c r="S257" i="15" s="1"/>
  <c r="V258" i="15"/>
  <c r="S258" i="15" s="1"/>
  <c r="V259" i="15"/>
  <c r="S259" i="15" s="1"/>
  <c r="V260" i="15"/>
  <c r="S260" i="15" s="1"/>
  <c r="V261" i="15"/>
  <c r="S261" i="15" s="1"/>
  <c r="V262" i="15"/>
  <c r="S262" i="15" s="1"/>
  <c r="V263" i="15"/>
  <c r="S263" i="15" s="1"/>
  <c r="V264" i="15"/>
  <c r="S264" i="15" s="1"/>
  <c r="V265" i="15"/>
  <c r="S265" i="15" s="1"/>
  <c r="V266" i="15"/>
  <c r="S266" i="15" s="1"/>
  <c r="V267" i="15"/>
  <c r="S267" i="15" s="1"/>
  <c r="V268" i="15"/>
  <c r="S268" i="15" s="1"/>
  <c r="V269" i="15"/>
  <c r="S269" i="15" s="1"/>
  <c r="V270" i="15"/>
  <c r="S270" i="15" s="1"/>
  <c r="V271" i="15"/>
  <c r="S271" i="15" s="1"/>
  <c r="V272" i="15"/>
  <c r="S272" i="15" s="1"/>
  <c r="V273" i="15"/>
  <c r="S273" i="15" s="1"/>
  <c r="V274" i="15"/>
  <c r="S274" i="15" s="1"/>
  <c r="V275" i="15"/>
  <c r="S275" i="15" s="1"/>
  <c r="V276" i="15"/>
  <c r="S276" i="15" s="1"/>
  <c r="V277" i="15"/>
  <c r="S277" i="15" s="1"/>
  <c r="V278" i="15"/>
  <c r="S278" i="15" s="1"/>
  <c r="V279" i="15"/>
  <c r="S279" i="15" s="1"/>
  <c r="V280" i="15"/>
  <c r="S280" i="15" s="1"/>
  <c r="V281" i="15"/>
  <c r="S281" i="15" s="1"/>
  <c r="V282" i="15"/>
  <c r="S282" i="15" s="1"/>
  <c r="V283" i="15"/>
  <c r="S283" i="15" s="1"/>
  <c r="V284" i="15"/>
  <c r="S284" i="15" s="1"/>
  <c r="V285" i="15"/>
  <c r="S285" i="15" s="1"/>
  <c r="V286" i="15"/>
  <c r="S286" i="15" s="1"/>
  <c r="V287" i="15"/>
  <c r="S287" i="15" s="1"/>
  <c r="V288" i="15"/>
  <c r="S288" i="15" s="1"/>
  <c r="V289" i="15"/>
  <c r="S289" i="15" s="1"/>
  <c r="V290" i="15"/>
  <c r="S290" i="15" s="1"/>
  <c r="V291" i="15"/>
  <c r="S291" i="15" s="1"/>
  <c r="V292" i="15"/>
  <c r="S292" i="15" s="1"/>
  <c r="V293" i="15"/>
  <c r="S293" i="15" s="1"/>
  <c r="V294" i="15"/>
  <c r="S294" i="15" s="1"/>
  <c r="V295" i="15"/>
  <c r="S295" i="15" s="1"/>
  <c r="V296" i="15"/>
  <c r="S296" i="15" s="1"/>
  <c r="V297" i="15"/>
  <c r="S297" i="15" s="1"/>
  <c r="V298" i="15"/>
  <c r="S298" i="15" s="1"/>
  <c r="V299" i="15"/>
  <c r="S299" i="15" s="1"/>
  <c r="V300" i="15"/>
  <c r="S300" i="15" s="1"/>
  <c r="V301" i="15"/>
  <c r="S301" i="15" s="1"/>
  <c r="V302" i="15"/>
  <c r="S302" i="15" s="1"/>
  <c r="V303" i="15"/>
  <c r="S303" i="15" s="1"/>
  <c r="V304" i="15"/>
  <c r="S304" i="15" s="1"/>
  <c r="V305" i="15"/>
  <c r="S305" i="15" s="1"/>
  <c r="V306" i="15"/>
  <c r="S306" i="15" s="1"/>
  <c r="V307" i="15"/>
  <c r="S307" i="15" s="1"/>
  <c r="V308" i="15"/>
  <c r="S308" i="15" s="1"/>
  <c r="V309" i="15"/>
  <c r="S309" i="15" s="1"/>
  <c r="V310" i="15"/>
  <c r="S310" i="15" s="1"/>
  <c r="V311" i="15"/>
  <c r="S311" i="15" s="1"/>
  <c r="V312" i="15"/>
  <c r="S312" i="15" s="1"/>
  <c r="V313" i="15"/>
  <c r="S313" i="15" s="1"/>
  <c r="V314" i="15"/>
  <c r="S314" i="15" s="1"/>
  <c r="V315" i="15"/>
  <c r="S315" i="15" s="1"/>
  <c r="V316" i="15"/>
  <c r="S316" i="15" s="1"/>
  <c r="V317" i="15"/>
  <c r="S317" i="15" s="1"/>
  <c r="V318" i="15"/>
  <c r="S318" i="15" s="1"/>
  <c r="V319" i="15"/>
  <c r="S319" i="15" s="1"/>
  <c r="V320" i="15"/>
  <c r="S320" i="15" s="1"/>
  <c r="V321" i="15"/>
  <c r="S321" i="15" s="1"/>
  <c r="V322" i="15"/>
  <c r="S322" i="15" s="1"/>
  <c r="V323" i="15"/>
  <c r="S323" i="15" s="1"/>
  <c r="V324" i="15"/>
  <c r="S324" i="15" s="1"/>
  <c r="V325" i="15"/>
  <c r="S325" i="15" s="1"/>
  <c r="V326" i="15"/>
  <c r="S326" i="15" s="1"/>
  <c r="V327" i="15"/>
  <c r="S327" i="15" s="1"/>
  <c r="V328" i="15"/>
  <c r="S328" i="15" s="1"/>
  <c r="V329" i="15"/>
  <c r="S329" i="15" s="1"/>
  <c r="V330" i="15"/>
  <c r="S330" i="15" s="1"/>
  <c r="V331" i="15"/>
  <c r="S331" i="15" s="1"/>
  <c r="V332" i="15"/>
  <c r="S332" i="15" s="1"/>
  <c r="V333" i="15"/>
  <c r="S333" i="15" s="1"/>
  <c r="V334" i="15"/>
  <c r="S334" i="15" s="1"/>
  <c r="V335" i="15"/>
  <c r="S335" i="15" s="1"/>
  <c r="V336" i="15"/>
  <c r="S336" i="15" s="1"/>
  <c r="V337" i="15"/>
  <c r="S337" i="15" s="1"/>
  <c r="V338" i="15"/>
  <c r="S338" i="15" s="1"/>
  <c r="V339" i="15"/>
  <c r="S339" i="15" s="1"/>
  <c r="V340" i="15"/>
  <c r="S340" i="15" s="1"/>
  <c r="V341" i="15"/>
  <c r="S341" i="15" s="1"/>
  <c r="V342" i="15"/>
  <c r="S342" i="15" s="1"/>
  <c r="V343" i="15"/>
  <c r="S343" i="15" s="1"/>
  <c r="V344" i="15"/>
  <c r="S344" i="15" s="1"/>
  <c r="V345" i="15"/>
  <c r="S345" i="15" s="1"/>
  <c r="V346" i="15"/>
  <c r="S346" i="15" s="1"/>
  <c r="V347" i="15"/>
  <c r="S347" i="15" s="1"/>
  <c r="V348" i="15"/>
  <c r="S348" i="15" s="1"/>
  <c r="V349" i="15"/>
  <c r="S349" i="15" s="1"/>
  <c r="V350" i="15"/>
  <c r="S350" i="15" s="1"/>
  <c r="V351" i="15"/>
  <c r="S351" i="15" s="1"/>
  <c r="V352" i="15"/>
  <c r="S352" i="15" s="1"/>
  <c r="V353" i="15"/>
  <c r="S353" i="15" s="1"/>
  <c r="V354" i="15"/>
  <c r="S354" i="15" s="1"/>
  <c r="V355" i="15"/>
  <c r="S355" i="15" s="1"/>
  <c r="V356" i="15"/>
  <c r="S356" i="15" s="1"/>
  <c r="V357" i="15"/>
  <c r="S357" i="15" s="1"/>
  <c r="V358" i="15"/>
  <c r="S358" i="15" s="1"/>
  <c r="V359" i="15"/>
  <c r="S359" i="15" s="1"/>
  <c r="V360" i="15"/>
  <c r="S360" i="15" s="1"/>
  <c r="V361" i="15"/>
  <c r="S361" i="15" s="1"/>
  <c r="V362" i="15"/>
  <c r="S362" i="15" s="1"/>
  <c r="V363" i="15"/>
  <c r="S363" i="15" s="1"/>
  <c r="V364" i="15"/>
  <c r="S364" i="15" s="1"/>
  <c r="V365" i="15"/>
  <c r="S365" i="15" s="1"/>
  <c r="V366" i="15"/>
  <c r="S366" i="15" s="1"/>
  <c r="V367" i="15"/>
  <c r="S367" i="15" s="1"/>
  <c r="V368" i="15"/>
  <c r="S368" i="15" s="1"/>
  <c r="V369" i="15"/>
  <c r="S369" i="15" s="1"/>
  <c r="V370" i="15"/>
  <c r="S370" i="15" s="1"/>
  <c r="V371" i="15"/>
  <c r="S371" i="15" s="1"/>
  <c r="V372" i="15"/>
  <c r="S372" i="15" s="1"/>
  <c r="V373" i="15"/>
  <c r="S373" i="15" s="1"/>
  <c r="V374" i="15"/>
  <c r="S374" i="15" s="1"/>
  <c r="V375" i="15"/>
  <c r="S375" i="15" s="1"/>
  <c r="V376" i="15"/>
  <c r="S376" i="15" s="1"/>
  <c r="V377" i="15"/>
  <c r="S377" i="15" s="1"/>
  <c r="V378" i="15"/>
  <c r="S378" i="15" s="1"/>
  <c r="V379" i="15"/>
  <c r="S379" i="15" s="1"/>
  <c r="V380" i="15"/>
  <c r="S380" i="15" s="1"/>
  <c r="V381" i="15"/>
  <c r="S381" i="15" s="1"/>
  <c r="V382" i="15"/>
  <c r="S382" i="15" s="1"/>
  <c r="V383" i="15"/>
  <c r="S383" i="15" s="1"/>
  <c r="V384" i="15"/>
  <c r="S384" i="15" s="1"/>
  <c r="V385" i="15"/>
  <c r="S385" i="15" s="1"/>
  <c r="V386" i="15"/>
  <c r="S386" i="15" s="1"/>
  <c r="V387" i="15"/>
  <c r="S387" i="15" s="1"/>
  <c r="V388" i="15"/>
  <c r="S388" i="15" s="1"/>
  <c r="V389" i="15"/>
  <c r="S389" i="15" s="1"/>
  <c r="V390" i="15"/>
  <c r="S390" i="15" s="1"/>
  <c r="V391" i="15"/>
  <c r="S391" i="15" s="1"/>
  <c r="V392" i="15"/>
  <c r="S392" i="15" s="1"/>
  <c r="V393" i="15"/>
  <c r="S393" i="15" s="1"/>
  <c r="V394" i="15"/>
  <c r="S394" i="15" s="1"/>
  <c r="V395" i="15"/>
  <c r="S395" i="15" s="1"/>
  <c r="V396" i="15"/>
  <c r="S396" i="15" s="1"/>
  <c r="V397" i="15"/>
  <c r="S397" i="15" s="1"/>
  <c r="V398" i="15"/>
  <c r="S398" i="15" s="1"/>
  <c r="V399" i="15"/>
  <c r="S399" i="15" s="1"/>
  <c r="V400" i="15"/>
  <c r="S400" i="15" s="1"/>
  <c r="V401" i="15"/>
  <c r="S401" i="15" s="1"/>
  <c r="V402" i="15"/>
  <c r="S402" i="15" s="1"/>
  <c r="V403" i="15"/>
  <c r="S403" i="15" s="1"/>
  <c r="V404" i="15"/>
  <c r="S404" i="15" s="1"/>
  <c r="V405" i="15"/>
  <c r="S405" i="15" s="1"/>
  <c r="V406" i="15"/>
  <c r="S406" i="15" s="1"/>
  <c r="V407" i="15"/>
  <c r="S407" i="15" s="1"/>
  <c r="V408" i="15"/>
  <c r="S408" i="15" s="1"/>
  <c r="V409" i="15"/>
  <c r="S409" i="15" s="1"/>
  <c r="V410" i="15"/>
  <c r="S410" i="15" s="1"/>
  <c r="V411" i="15"/>
  <c r="S411" i="15" s="1"/>
  <c r="V412" i="15"/>
  <c r="S412" i="15" s="1"/>
  <c r="V413" i="15"/>
  <c r="S413" i="15" s="1"/>
  <c r="V414" i="15"/>
  <c r="S414" i="15" s="1"/>
  <c r="V415" i="15"/>
  <c r="S415" i="15" s="1"/>
  <c r="V416" i="15"/>
  <c r="S416" i="15" s="1"/>
  <c r="V417" i="15"/>
  <c r="S417" i="15" s="1"/>
  <c r="V418" i="15"/>
  <c r="S418" i="15" s="1"/>
  <c r="V419" i="15"/>
  <c r="S419" i="15" s="1"/>
  <c r="V420" i="15"/>
  <c r="S420" i="15" s="1"/>
  <c r="V421" i="15"/>
  <c r="S421" i="15" s="1"/>
  <c r="V422" i="15"/>
  <c r="S422" i="15" s="1"/>
  <c r="V423" i="15"/>
  <c r="S423" i="15" s="1"/>
  <c r="V424" i="15"/>
  <c r="S424" i="15" s="1"/>
  <c r="V425" i="15"/>
  <c r="S425" i="15" s="1"/>
  <c r="V426" i="15"/>
  <c r="S426" i="15" s="1"/>
  <c r="V427" i="15"/>
  <c r="S427" i="15" s="1"/>
  <c r="V428" i="15"/>
  <c r="S428" i="15" s="1"/>
  <c r="V429" i="15"/>
  <c r="S429" i="15" s="1"/>
  <c r="V430" i="15"/>
  <c r="S430" i="15" s="1"/>
  <c r="V431" i="15"/>
  <c r="S431" i="15" s="1"/>
  <c r="V432" i="15"/>
  <c r="S432" i="15" s="1"/>
  <c r="V433" i="15"/>
  <c r="S433" i="15" s="1"/>
  <c r="V434" i="15"/>
  <c r="S434" i="15" s="1"/>
  <c r="V435" i="15"/>
  <c r="S435" i="15" s="1"/>
  <c r="V436" i="15"/>
  <c r="S436" i="15" s="1"/>
  <c r="V437" i="15"/>
  <c r="S437" i="15" s="1"/>
  <c r="V438" i="15"/>
  <c r="S438" i="15" s="1"/>
  <c r="V439" i="15"/>
  <c r="S439" i="15" s="1"/>
  <c r="V440" i="15"/>
  <c r="S440" i="15" s="1"/>
  <c r="V441" i="15"/>
  <c r="S441" i="15" s="1"/>
  <c r="V442" i="15"/>
  <c r="S442" i="15" s="1"/>
  <c r="V443" i="15"/>
  <c r="S443" i="15" s="1"/>
  <c r="V444" i="15"/>
  <c r="S444" i="15" s="1"/>
  <c r="V445" i="15"/>
  <c r="S445" i="15" s="1"/>
  <c r="V446" i="15"/>
  <c r="S446" i="15" s="1"/>
  <c r="V447" i="15"/>
  <c r="S447" i="15" s="1"/>
  <c r="V448" i="15"/>
  <c r="S448" i="15" s="1"/>
  <c r="V449" i="15"/>
  <c r="S449" i="15" s="1"/>
  <c r="V450" i="15"/>
  <c r="S450" i="15" s="1"/>
  <c r="V451" i="15"/>
  <c r="S451" i="15" s="1"/>
  <c r="V452" i="15"/>
  <c r="S452" i="15" s="1"/>
  <c r="V453" i="15"/>
  <c r="S453" i="15" s="1"/>
  <c r="V454" i="15"/>
  <c r="S454" i="15" s="1"/>
  <c r="V455" i="15"/>
  <c r="S455" i="15" s="1"/>
  <c r="V456" i="15"/>
  <c r="S456" i="15" s="1"/>
  <c r="V457" i="15"/>
  <c r="S457" i="15" s="1"/>
  <c r="V458" i="15"/>
  <c r="S458" i="15" s="1"/>
  <c r="V459" i="15"/>
  <c r="S459" i="15" s="1"/>
  <c r="V460" i="15"/>
  <c r="S460" i="15" s="1"/>
  <c r="V461" i="15"/>
  <c r="S461" i="15" s="1"/>
  <c r="V462" i="15"/>
  <c r="S462" i="15" s="1"/>
  <c r="V463" i="15"/>
  <c r="S463" i="15" s="1"/>
  <c r="V464" i="15"/>
  <c r="S464" i="15" s="1"/>
  <c r="V465" i="15"/>
  <c r="S465" i="15" s="1"/>
  <c r="V466" i="15"/>
  <c r="S466" i="15" s="1"/>
  <c r="V467" i="15"/>
  <c r="S467" i="15" s="1"/>
  <c r="V468" i="15"/>
  <c r="S468" i="15" s="1"/>
  <c r="V469" i="15"/>
  <c r="S469" i="15" s="1"/>
  <c r="V470" i="15"/>
  <c r="S470" i="15" s="1"/>
  <c r="V471" i="15"/>
  <c r="S471" i="15" s="1"/>
  <c r="V472" i="15"/>
  <c r="S472" i="15" s="1"/>
  <c r="V473" i="15"/>
  <c r="S473" i="15" s="1"/>
  <c r="V474" i="15"/>
  <c r="S474" i="15" s="1"/>
  <c r="V475" i="15"/>
  <c r="S475" i="15" s="1"/>
  <c r="V476" i="15"/>
  <c r="S476" i="15" s="1"/>
  <c r="V477" i="15"/>
  <c r="S477" i="15" s="1"/>
  <c r="V478" i="15"/>
  <c r="S478" i="15" s="1"/>
  <c r="V479" i="15"/>
  <c r="S479" i="15" s="1"/>
  <c r="V480" i="15"/>
  <c r="S480" i="15" s="1"/>
  <c r="V481" i="15"/>
  <c r="S481" i="15" s="1"/>
  <c r="V482" i="15"/>
  <c r="S482" i="15" s="1"/>
  <c r="V483" i="15"/>
  <c r="S483" i="15" s="1"/>
  <c r="V484" i="15"/>
  <c r="S484" i="15" s="1"/>
  <c r="V485" i="15"/>
  <c r="S485" i="15" s="1"/>
  <c r="V486" i="15"/>
  <c r="S486" i="15" s="1"/>
  <c r="V487" i="15"/>
  <c r="S487" i="15" s="1"/>
  <c r="V488" i="15"/>
  <c r="S488" i="15" s="1"/>
  <c r="V489" i="15"/>
  <c r="S489" i="15" s="1"/>
  <c r="V490" i="15"/>
  <c r="S490" i="15" s="1"/>
  <c r="V491" i="15"/>
  <c r="S491" i="15" s="1"/>
  <c r="V492" i="15"/>
  <c r="S492" i="15" s="1"/>
  <c r="V493" i="15"/>
  <c r="S493" i="15" s="1"/>
  <c r="V494" i="15"/>
  <c r="S494" i="15" s="1"/>
  <c r="V495" i="15"/>
  <c r="S495" i="15" s="1"/>
  <c r="V496" i="15"/>
  <c r="S496" i="15" s="1"/>
  <c r="V497" i="15"/>
  <c r="S497" i="15" s="1"/>
  <c r="V498" i="15"/>
  <c r="S498" i="15" s="1"/>
  <c r="V499" i="15"/>
  <c r="S499" i="15" s="1"/>
  <c r="V500" i="15"/>
  <c r="S500" i="15" s="1"/>
  <c r="V501" i="15"/>
  <c r="S501" i="15" s="1"/>
  <c r="V502" i="15"/>
  <c r="S502" i="15" s="1"/>
  <c r="V503" i="15"/>
  <c r="S503" i="15" s="1"/>
  <c r="V504" i="15"/>
  <c r="S504" i="15" s="1"/>
  <c r="V505" i="15"/>
  <c r="S505" i="15" s="1"/>
  <c r="V506" i="15"/>
  <c r="S506" i="15" s="1"/>
  <c r="V507" i="15"/>
  <c r="S507" i="15" s="1"/>
  <c r="V508" i="15"/>
  <c r="S508" i="15" s="1"/>
  <c r="V509" i="15"/>
  <c r="S509" i="15" s="1"/>
  <c r="V510" i="15"/>
  <c r="S510" i="15" s="1"/>
  <c r="V511" i="15"/>
  <c r="S511" i="15" s="1"/>
  <c r="V512" i="15"/>
  <c r="S512" i="15" s="1"/>
  <c r="V513" i="15"/>
  <c r="S513" i="15" s="1"/>
  <c r="V514" i="15"/>
  <c r="S514" i="15" s="1"/>
  <c r="V515" i="15"/>
  <c r="S515" i="15" s="1"/>
  <c r="V516" i="15"/>
  <c r="S516" i="15" s="1"/>
  <c r="V517" i="15"/>
  <c r="S517" i="15" s="1"/>
  <c r="V518" i="15"/>
  <c r="S518" i="15" s="1"/>
  <c r="V519" i="15"/>
  <c r="S519" i="15" s="1"/>
  <c r="V520" i="15"/>
  <c r="S520" i="15" s="1"/>
  <c r="V521" i="15"/>
  <c r="S521" i="15" s="1"/>
  <c r="V522" i="15"/>
  <c r="S522" i="15" s="1"/>
  <c r="V523" i="15"/>
  <c r="S523" i="15" s="1"/>
  <c r="V524" i="15"/>
  <c r="S524" i="15" s="1"/>
  <c r="V525" i="15"/>
  <c r="S525" i="15" s="1"/>
  <c r="V526" i="15"/>
  <c r="S526" i="15" s="1"/>
  <c r="V527" i="15"/>
  <c r="S527" i="15" s="1"/>
  <c r="V528" i="15"/>
  <c r="S528" i="15" s="1"/>
  <c r="V529" i="15"/>
  <c r="S529" i="15" s="1"/>
  <c r="V530" i="15"/>
  <c r="S530" i="15" s="1"/>
  <c r="V531" i="15"/>
  <c r="S531" i="15" s="1"/>
  <c r="R531" i="15" s="1"/>
  <c r="V532" i="15"/>
  <c r="S532" i="15" s="1"/>
  <c r="V533" i="15"/>
  <c r="S533" i="15" s="1"/>
  <c r="V534" i="15"/>
  <c r="S534" i="15" s="1"/>
  <c r="V535" i="15"/>
  <c r="S535" i="15" s="1"/>
  <c r="V536" i="15"/>
  <c r="S536" i="15" s="1"/>
  <c r="V537" i="15"/>
  <c r="S537" i="15" s="1"/>
  <c r="V538" i="15"/>
  <c r="S538" i="15" s="1"/>
  <c r="V539" i="15"/>
  <c r="S539" i="15" s="1"/>
  <c r="V540" i="15"/>
  <c r="S540" i="15" s="1"/>
  <c r="V541" i="15"/>
  <c r="S541" i="15" s="1"/>
  <c r="V542" i="15"/>
  <c r="S542" i="15" s="1"/>
  <c r="V543" i="15"/>
  <c r="S543" i="15" s="1"/>
  <c r="V544" i="15"/>
  <c r="S544" i="15" s="1"/>
  <c r="V545" i="15"/>
  <c r="S545" i="15" s="1"/>
  <c r="V546" i="15"/>
  <c r="S546" i="15" s="1"/>
  <c r="V547" i="15"/>
  <c r="S547" i="15" s="1"/>
  <c r="V548" i="15"/>
  <c r="S548" i="15" s="1"/>
  <c r="V549" i="15"/>
  <c r="S549" i="15" s="1"/>
  <c r="V550" i="15"/>
  <c r="S550" i="15" s="1"/>
  <c r="V551" i="15"/>
  <c r="S551" i="15" s="1"/>
  <c r="V552" i="15"/>
  <c r="S552" i="15" s="1"/>
  <c r="V553" i="15"/>
  <c r="S553" i="15" s="1"/>
  <c r="V554" i="15"/>
  <c r="S554" i="15" s="1"/>
  <c r="V555" i="15"/>
  <c r="S555" i="15" s="1"/>
  <c r="V556" i="15"/>
  <c r="S556" i="15" s="1"/>
  <c r="V557" i="15"/>
  <c r="S557" i="15" s="1"/>
  <c r="V558" i="15"/>
  <c r="S558" i="15" s="1"/>
  <c r="V559" i="15"/>
  <c r="S559" i="15" s="1"/>
  <c r="V560" i="15"/>
  <c r="S560" i="15" s="1"/>
  <c r="V561" i="15"/>
  <c r="S561" i="15" s="1"/>
  <c r="V562" i="15"/>
  <c r="S562" i="15" s="1"/>
  <c r="V563" i="15"/>
  <c r="S563" i="15" s="1"/>
  <c r="V564" i="15"/>
  <c r="S564" i="15" s="1"/>
  <c r="V565" i="15"/>
  <c r="S565" i="15" s="1"/>
  <c r="V566" i="15"/>
  <c r="S566" i="15" s="1"/>
  <c r="V567" i="15"/>
  <c r="S567" i="15" s="1"/>
  <c r="V568" i="15"/>
  <c r="S568" i="15" s="1"/>
  <c r="V569" i="15"/>
  <c r="S569" i="15" s="1"/>
  <c r="V570" i="15"/>
  <c r="S570" i="15" s="1"/>
  <c r="V571" i="15"/>
  <c r="S571" i="15" s="1"/>
  <c r="V572" i="15"/>
  <c r="S572" i="15" s="1"/>
  <c r="V573" i="15"/>
  <c r="S573" i="15" s="1"/>
  <c r="V574" i="15"/>
  <c r="S574" i="15" s="1"/>
  <c r="V575" i="15"/>
  <c r="S575" i="15" s="1"/>
  <c r="V576" i="15"/>
  <c r="S576" i="15" s="1"/>
  <c r="V577" i="15"/>
  <c r="S577" i="15" s="1"/>
  <c r="V578" i="15"/>
  <c r="S578" i="15" s="1"/>
  <c r="V579" i="15"/>
  <c r="S579" i="15" s="1"/>
  <c r="V580" i="15"/>
  <c r="S580" i="15" s="1"/>
  <c r="V581" i="15"/>
  <c r="S581" i="15" s="1"/>
  <c r="V582" i="15"/>
  <c r="S582" i="15" s="1"/>
  <c r="V583" i="15"/>
  <c r="S583" i="15" s="1"/>
  <c r="V584" i="15"/>
  <c r="S584" i="15" s="1"/>
  <c r="V585" i="15"/>
  <c r="S585" i="15" s="1"/>
  <c r="V586" i="15"/>
  <c r="S586" i="15" s="1"/>
  <c r="V587" i="15"/>
  <c r="S587" i="15" s="1"/>
  <c r="V588" i="15"/>
  <c r="S588" i="15" s="1"/>
  <c r="V589" i="15"/>
  <c r="S589" i="15" s="1"/>
  <c r="V590" i="15"/>
  <c r="S590" i="15" s="1"/>
  <c r="V591" i="15"/>
  <c r="S591" i="15" s="1"/>
  <c r="V592" i="15"/>
  <c r="S592" i="15" s="1"/>
  <c r="V593" i="15"/>
  <c r="S593" i="15" s="1"/>
  <c r="V594" i="15"/>
  <c r="S594" i="15" s="1"/>
  <c r="V595" i="15"/>
  <c r="S595" i="15" s="1"/>
  <c r="V596" i="15"/>
  <c r="S596" i="15" s="1"/>
  <c r="V597" i="15"/>
  <c r="S597" i="15" s="1"/>
  <c r="V598" i="15"/>
  <c r="S598" i="15" s="1"/>
  <c r="V599" i="15"/>
  <c r="S599" i="15" s="1"/>
  <c r="V600" i="15"/>
  <c r="S600" i="15" s="1"/>
  <c r="V601" i="15"/>
  <c r="S601" i="15" s="1"/>
  <c r="V602" i="15"/>
  <c r="S602" i="15" s="1"/>
  <c r="V603" i="15"/>
  <c r="S603" i="15" s="1"/>
  <c r="V604" i="15"/>
  <c r="S604" i="15" s="1"/>
  <c r="V605" i="15"/>
  <c r="S605" i="15" s="1"/>
  <c r="V606" i="15"/>
  <c r="S606" i="15" s="1"/>
  <c r="V607" i="15"/>
  <c r="S607" i="15" s="1"/>
  <c r="V608" i="15"/>
  <c r="S608" i="15" s="1"/>
  <c r="V609" i="15"/>
  <c r="S609" i="15" s="1"/>
  <c r="V610" i="15"/>
  <c r="S610" i="15" s="1"/>
  <c r="V611" i="15"/>
  <c r="S611" i="15" s="1"/>
  <c r="V612" i="15"/>
  <c r="S612" i="15" s="1"/>
  <c r="V613" i="15"/>
  <c r="S613" i="15" s="1"/>
  <c r="V614" i="15"/>
  <c r="S614" i="15" s="1"/>
  <c r="V615" i="15"/>
  <c r="S615" i="15" s="1"/>
  <c r="V616" i="15"/>
  <c r="S616" i="15" s="1"/>
  <c r="V617" i="15"/>
  <c r="S617" i="15" s="1"/>
  <c r="V618" i="15"/>
  <c r="S618" i="15" s="1"/>
  <c r="V619" i="15"/>
  <c r="S619" i="15" s="1"/>
  <c r="V620" i="15"/>
  <c r="S620" i="15" s="1"/>
  <c r="V621" i="15"/>
  <c r="S621" i="15" s="1"/>
  <c r="V622" i="15"/>
  <c r="S622" i="15" s="1"/>
  <c r="V623" i="15"/>
  <c r="S623" i="15" s="1"/>
  <c r="V624" i="15"/>
  <c r="S624" i="15" s="1"/>
  <c r="V625" i="15"/>
  <c r="S625" i="15" s="1"/>
  <c r="V626" i="15"/>
  <c r="S626" i="15" s="1"/>
  <c r="V627" i="15"/>
  <c r="S627" i="15" s="1"/>
  <c r="V628" i="15"/>
  <c r="S628" i="15" s="1"/>
  <c r="V629" i="15"/>
  <c r="S629" i="15" s="1"/>
  <c r="V630" i="15"/>
  <c r="S630" i="15" s="1"/>
  <c r="V631" i="15"/>
  <c r="S631" i="15" s="1"/>
  <c r="V632" i="15"/>
  <c r="S632" i="15" s="1"/>
  <c r="V633" i="15"/>
  <c r="S633" i="15" s="1"/>
  <c r="V634" i="15"/>
  <c r="S634" i="15" s="1"/>
  <c r="V635" i="15"/>
  <c r="S635" i="15" s="1"/>
  <c r="V636" i="15"/>
  <c r="S636" i="15" s="1"/>
  <c r="V637" i="15"/>
  <c r="S637" i="15" s="1"/>
  <c r="V638" i="15"/>
  <c r="S638" i="15" s="1"/>
  <c r="V639" i="15"/>
  <c r="S639" i="15" s="1"/>
  <c r="V640" i="15"/>
  <c r="S640" i="15" s="1"/>
  <c r="V641" i="15"/>
  <c r="S641" i="15" s="1"/>
  <c r="V642" i="15"/>
  <c r="S642" i="15" s="1"/>
  <c r="V643" i="15"/>
  <c r="S643" i="15" s="1"/>
  <c r="V644" i="15"/>
  <c r="S644" i="15" s="1"/>
  <c r="V645" i="15"/>
  <c r="S645" i="15" s="1"/>
  <c r="V646" i="15"/>
  <c r="S646" i="15" s="1"/>
  <c r="V647" i="15"/>
  <c r="S647" i="15" s="1"/>
  <c r="V648" i="15"/>
  <c r="S648" i="15" s="1"/>
  <c r="V649" i="15"/>
  <c r="S649" i="15" s="1"/>
  <c r="V650" i="15"/>
  <c r="S650" i="15" s="1"/>
  <c r="V651" i="15"/>
  <c r="S651" i="15" s="1"/>
  <c r="V652" i="15"/>
  <c r="S652" i="15" s="1"/>
  <c r="V653" i="15"/>
  <c r="S653" i="15" s="1"/>
  <c r="V654" i="15"/>
  <c r="S654" i="15" s="1"/>
  <c r="V655" i="15"/>
  <c r="S655" i="15" s="1"/>
  <c r="V656" i="15"/>
  <c r="S656" i="15" s="1"/>
  <c r="V657" i="15"/>
  <c r="S657" i="15" s="1"/>
  <c r="V658" i="15"/>
  <c r="S658" i="15" s="1"/>
  <c r="V659" i="15"/>
  <c r="S659" i="15" s="1"/>
  <c r="V660" i="15"/>
  <c r="S660" i="15" s="1"/>
  <c r="V661" i="15"/>
  <c r="S661" i="15" s="1"/>
  <c r="V662" i="15"/>
  <c r="S662" i="15" s="1"/>
  <c r="V663" i="15"/>
  <c r="S663" i="15" s="1"/>
  <c r="V664" i="15"/>
  <c r="S664" i="15" s="1"/>
  <c r="V665" i="15"/>
  <c r="S665" i="15" s="1"/>
  <c r="V666" i="15"/>
  <c r="S666" i="15" s="1"/>
  <c r="V667" i="15"/>
  <c r="S667" i="15" s="1"/>
  <c r="V668" i="15"/>
  <c r="S668" i="15" s="1"/>
  <c r="V669" i="15"/>
  <c r="S669" i="15" s="1"/>
  <c r="V670" i="15"/>
  <c r="S670" i="15" s="1"/>
  <c r="V671" i="15"/>
  <c r="S671" i="15" s="1"/>
  <c r="V672" i="15"/>
  <c r="S672" i="15" s="1"/>
  <c r="V673" i="15"/>
  <c r="S673" i="15" s="1"/>
  <c r="V674" i="15"/>
  <c r="S674" i="15" s="1"/>
  <c r="V675" i="15"/>
  <c r="S675" i="15" s="1"/>
  <c r="V676" i="15"/>
  <c r="S676" i="15" s="1"/>
  <c r="V677" i="15"/>
  <c r="S677" i="15" s="1"/>
  <c r="V678" i="15"/>
  <c r="S678" i="15" s="1"/>
  <c r="V679" i="15"/>
  <c r="S679" i="15" s="1"/>
  <c r="V680" i="15"/>
  <c r="S680" i="15" s="1"/>
  <c r="V681" i="15"/>
  <c r="S681" i="15" s="1"/>
  <c r="V682" i="15"/>
  <c r="S682" i="15" s="1"/>
  <c r="V683" i="15"/>
  <c r="S683" i="15" s="1"/>
  <c r="V684" i="15"/>
  <c r="S684" i="15" s="1"/>
  <c r="V685" i="15"/>
  <c r="S685" i="15" s="1"/>
  <c r="V686" i="15"/>
  <c r="S686" i="15" s="1"/>
  <c r="V687" i="15"/>
  <c r="S687" i="15" s="1"/>
  <c r="V688" i="15"/>
  <c r="S688" i="15" s="1"/>
  <c r="V689" i="15"/>
  <c r="S689" i="15" s="1"/>
  <c r="V690" i="15"/>
  <c r="S690" i="15" s="1"/>
  <c r="V691" i="15"/>
  <c r="S691" i="15" s="1"/>
  <c r="V692" i="15"/>
  <c r="S692" i="15" s="1"/>
  <c r="V693" i="15"/>
  <c r="S693" i="15" s="1"/>
  <c r="V694" i="15"/>
  <c r="S694" i="15" s="1"/>
  <c r="V695" i="15"/>
  <c r="S695" i="15" s="1"/>
  <c r="V696" i="15"/>
  <c r="S696" i="15" s="1"/>
  <c r="V697" i="15"/>
  <c r="S697" i="15" s="1"/>
  <c r="V698" i="15"/>
  <c r="S698" i="15" s="1"/>
  <c r="V699" i="15"/>
  <c r="S699" i="15" s="1"/>
  <c r="V700" i="15"/>
  <c r="S700" i="15" s="1"/>
  <c r="V701" i="15"/>
  <c r="S701" i="15" s="1"/>
  <c r="V702" i="15"/>
  <c r="S702" i="15" s="1"/>
  <c r="V703" i="15"/>
  <c r="S703" i="15" s="1"/>
  <c r="V704" i="15"/>
  <c r="S704" i="15" s="1"/>
  <c r="V705" i="15"/>
  <c r="S705" i="15" s="1"/>
  <c r="V706" i="15"/>
  <c r="S706" i="15" s="1"/>
  <c r="V707" i="15"/>
  <c r="S707" i="15" s="1"/>
  <c r="V708" i="15"/>
  <c r="S708" i="15" s="1"/>
  <c r="V709" i="15"/>
  <c r="S709" i="15" s="1"/>
  <c r="V710" i="15"/>
  <c r="S710" i="15" s="1"/>
  <c r="V711" i="15"/>
  <c r="S711" i="15" s="1"/>
  <c r="V712" i="15"/>
  <c r="S712" i="15" s="1"/>
  <c r="V713" i="15"/>
  <c r="S713" i="15" s="1"/>
  <c r="V714" i="15"/>
  <c r="S714" i="15" s="1"/>
  <c r="V715" i="15"/>
  <c r="S715" i="15" s="1"/>
  <c r="V716" i="15"/>
  <c r="S716" i="15" s="1"/>
  <c r="V717" i="15"/>
  <c r="S717" i="15" s="1"/>
  <c r="V718" i="15"/>
  <c r="S718" i="15" s="1"/>
  <c r="V719" i="15"/>
  <c r="S719" i="15" s="1"/>
  <c r="V720" i="15"/>
  <c r="S720" i="15" s="1"/>
  <c r="V721" i="15"/>
  <c r="S721" i="15" s="1"/>
  <c r="V722" i="15"/>
  <c r="S722" i="15" s="1"/>
  <c r="V723" i="15"/>
  <c r="S723" i="15" s="1"/>
  <c r="V724" i="15"/>
  <c r="S724" i="15" s="1"/>
  <c r="V725" i="15"/>
  <c r="S725" i="15" s="1"/>
  <c r="V726" i="15"/>
  <c r="S726" i="15" s="1"/>
  <c r="V727" i="15"/>
  <c r="S727" i="15" s="1"/>
  <c r="V728" i="15"/>
  <c r="S728" i="15" s="1"/>
  <c r="V729" i="15"/>
  <c r="S729" i="15" s="1"/>
  <c r="V730" i="15"/>
  <c r="S730" i="15" s="1"/>
  <c r="V731" i="15"/>
  <c r="S731" i="15" s="1"/>
  <c r="V732" i="15"/>
  <c r="S732" i="15" s="1"/>
  <c r="V733" i="15"/>
  <c r="S733" i="15" s="1"/>
  <c r="V734" i="15"/>
  <c r="S734" i="15" s="1"/>
  <c r="V735" i="15"/>
  <c r="S735" i="15" s="1"/>
  <c r="V736" i="15"/>
  <c r="S736" i="15" s="1"/>
  <c r="V737" i="15"/>
  <c r="S737" i="15" s="1"/>
  <c r="V738" i="15"/>
  <c r="S738" i="15" s="1"/>
  <c r="V739" i="15"/>
  <c r="S739" i="15" s="1"/>
  <c r="V740" i="15"/>
  <c r="S740" i="15" s="1"/>
  <c r="V741" i="15"/>
  <c r="S741" i="15" s="1"/>
  <c r="V742" i="15"/>
  <c r="S742" i="15" s="1"/>
  <c r="V743" i="15"/>
  <c r="S743" i="15" s="1"/>
  <c r="V744" i="15"/>
  <c r="S744" i="15" s="1"/>
  <c r="V745" i="15"/>
  <c r="S745" i="15" s="1"/>
  <c r="V746" i="15"/>
  <c r="S746" i="15" s="1"/>
  <c r="V747" i="15"/>
  <c r="S747" i="15" s="1"/>
  <c r="V748" i="15"/>
  <c r="S748" i="15" s="1"/>
  <c r="V749" i="15"/>
  <c r="S749" i="15" s="1"/>
  <c r="V750" i="15"/>
  <c r="S750" i="15" s="1"/>
  <c r="V751" i="15"/>
  <c r="S751" i="15" s="1"/>
  <c r="V752" i="15"/>
  <c r="S752" i="15" s="1"/>
  <c r="V753" i="15"/>
  <c r="S753" i="15" s="1"/>
  <c r="V754" i="15"/>
  <c r="S754" i="15" s="1"/>
  <c r="V755" i="15"/>
  <c r="S755" i="15" s="1"/>
  <c r="V756" i="15"/>
  <c r="S756" i="15" s="1"/>
  <c r="V757" i="15"/>
  <c r="S757" i="15" s="1"/>
  <c r="V758" i="15"/>
  <c r="S758" i="15" s="1"/>
  <c r="V759" i="15"/>
  <c r="S759" i="15" s="1"/>
  <c r="V760" i="15"/>
  <c r="S760" i="15" s="1"/>
  <c r="V761" i="15"/>
  <c r="S761" i="15" s="1"/>
  <c r="V762" i="15"/>
  <c r="S762" i="15" s="1"/>
  <c r="V763" i="15"/>
  <c r="S763" i="15" s="1"/>
  <c r="V764" i="15"/>
  <c r="S764" i="15" s="1"/>
  <c r="V765" i="15"/>
  <c r="S765" i="15" s="1"/>
  <c r="V766" i="15"/>
  <c r="S766" i="15" s="1"/>
  <c r="V767" i="15"/>
  <c r="S767" i="15" s="1"/>
  <c r="V768" i="15"/>
  <c r="S768" i="15" s="1"/>
  <c r="V769" i="15"/>
  <c r="S769" i="15" s="1"/>
  <c r="V770" i="15"/>
  <c r="S770" i="15" s="1"/>
  <c r="V771" i="15"/>
  <c r="S771" i="15" s="1"/>
  <c r="V772" i="15"/>
  <c r="S772" i="15" s="1"/>
  <c r="V773" i="15"/>
  <c r="S773" i="15" s="1"/>
  <c r="V774" i="15"/>
  <c r="S774" i="15" s="1"/>
  <c r="V775" i="15"/>
  <c r="S775" i="15" s="1"/>
  <c r="V776" i="15"/>
  <c r="S776" i="15" s="1"/>
  <c r="V777" i="15"/>
  <c r="S777" i="15" s="1"/>
  <c r="V778" i="15"/>
  <c r="S778" i="15" s="1"/>
  <c r="V779" i="15"/>
  <c r="S779" i="15" s="1"/>
  <c r="V780" i="15"/>
  <c r="S780" i="15" s="1"/>
  <c r="V781" i="15"/>
  <c r="S781" i="15" s="1"/>
  <c r="V782" i="15"/>
  <c r="S782" i="15" s="1"/>
  <c r="V783" i="15"/>
  <c r="S783" i="15" s="1"/>
  <c r="V784" i="15"/>
  <c r="S784" i="15" s="1"/>
  <c r="V785" i="15"/>
  <c r="S785" i="15" s="1"/>
  <c r="V786" i="15"/>
  <c r="S786" i="15" s="1"/>
  <c r="V787" i="15"/>
  <c r="S787" i="15" s="1"/>
  <c r="V788" i="15"/>
  <c r="S788" i="15" s="1"/>
  <c r="V789" i="15"/>
  <c r="S789" i="15" s="1"/>
  <c r="V790" i="15"/>
  <c r="S790" i="15" s="1"/>
  <c r="V791" i="15"/>
  <c r="S791" i="15" s="1"/>
  <c r="V792" i="15"/>
  <c r="S792" i="15" s="1"/>
  <c r="V793" i="15"/>
  <c r="S793" i="15" s="1"/>
  <c r="V794" i="15"/>
  <c r="S794" i="15" s="1"/>
  <c r="V795" i="15"/>
  <c r="S795" i="15" s="1"/>
  <c r="V796" i="15"/>
  <c r="S796" i="15" s="1"/>
  <c r="V797" i="15"/>
  <c r="S797" i="15" s="1"/>
  <c r="V798" i="15"/>
  <c r="S798" i="15" s="1"/>
  <c r="V799" i="15"/>
  <c r="S799" i="15" s="1"/>
  <c r="V800" i="15"/>
  <c r="S800" i="15" s="1"/>
  <c r="V801" i="15"/>
  <c r="S801" i="15" s="1"/>
  <c r="V802" i="15"/>
  <c r="S802" i="15" s="1"/>
  <c r="V803" i="15"/>
  <c r="S803" i="15" s="1"/>
  <c r="V804" i="15"/>
  <c r="S804" i="15" s="1"/>
  <c r="V805" i="15"/>
  <c r="S805" i="15" s="1"/>
  <c r="V806" i="15"/>
  <c r="S806" i="15" s="1"/>
  <c r="V807" i="15"/>
  <c r="S807" i="15" s="1"/>
  <c r="V808" i="15"/>
  <c r="S808" i="15" s="1"/>
  <c r="V809" i="15"/>
  <c r="S809" i="15" s="1"/>
  <c r="V810" i="15"/>
  <c r="S810" i="15" s="1"/>
  <c r="V811" i="15"/>
  <c r="S811" i="15" s="1"/>
  <c r="V812" i="15"/>
  <c r="S812" i="15" s="1"/>
  <c r="V813" i="15"/>
  <c r="S813" i="15" s="1"/>
  <c r="V814" i="15"/>
  <c r="S814" i="15" s="1"/>
  <c r="V815" i="15"/>
  <c r="S815" i="15" s="1"/>
  <c r="V816" i="15"/>
  <c r="S816" i="15" s="1"/>
  <c r="V817" i="15"/>
  <c r="S817" i="15" s="1"/>
  <c r="V818" i="15"/>
  <c r="S818" i="15" s="1"/>
  <c r="V819" i="15"/>
  <c r="S819" i="15" s="1"/>
  <c r="V820" i="15"/>
  <c r="S820" i="15" s="1"/>
  <c r="V821" i="15"/>
  <c r="S821" i="15" s="1"/>
  <c r="V822" i="15"/>
  <c r="S822" i="15" s="1"/>
  <c r="V823" i="15"/>
  <c r="S823" i="15" s="1"/>
  <c r="V824" i="15"/>
  <c r="S824" i="15" s="1"/>
  <c r="V825" i="15"/>
  <c r="S825" i="15" s="1"/>
  <c r="V826" i="15"/>
  <c r="S826" i="15" s="1"/>
  <c r="V827" i="15"/>
  <c r="S827" i="15" s="1"/>
  <c r="V828" i="15"/>
  <c r="S828" i="15" s="1"/>
  <c r="V829" i="15"/>
  <c r="S829" i="15" s="1"/>
  <c r="V830" i="15"/>
  <c r="S830" i="15" s="1"/>
  <c r="V831" i="15"/>
  <c r="S831" i="15" s="1"/>
  <c r="V832" i="15"/>
  <c r="S832" i="15" s="1"/>
  <c r="V833" i="15"/>
  <c r="S833" i="15" s="1"/>
  <c r="V834" i="15"/>
  <c r="S834" i="15" s="1"/>
  <c r="V835" i="15"/>
  <c r="S835" i="15" s="1"/>
  <c r="V836" i="15"/>
  <c r="S836" i="15" s="1"/>
  <c r="V837" i="15"/>
  <c r="S837" i="15" s="1"/>
  <c r="V838" i="15"/>
  <c r="S838" i="15" s="1"/>
  <c r="V839" i="15"/>
  <c r="S839" i="15" s="1"/>
  <c r="V840" i="15"/>
  <c r="S840" i="15" s="1"/>
  <c r="V841" i="15"/>
  <c r="S841" i="15" s="1"/>
  <c r="V842" i="15"/>
  <c r="S842" i="15" s="1"/>
  <c r="V843" i="15"/>
  <c r="S843" i="15" s="1"/>
  <c r="V844" i="15"/>
  <c r="S844" i="15" s="1"/>
  <c r="V845" i="15"/>
  <c r="S845" i="15" s="1"/>
  <c r="V846" i="15"/>
  <c r="S846" i="15" s="1"/>
  <c r="V847" i="15"/>
  <c r="S847" i="15" s="1"/>
  <c r="V848" i="15"/>
  <c r="S848" i="15" s="1"/>
  <c r="V849" i="15"/>
  <c r="S849" i="15" s="1"/>
  <c r="V850" i="15"/>
  <c r="S850" i="15" s="1"/>
  <c r="V851" i="15"/>
  <c r="S851" i="15" s="1"/>
  <c r="V852" i="15"/>
  <c r="S852" i="15" s="1"/>
  <c r="V853" i="15"/>
  <c r="S853" i="15" s="1"/>
  <c r="V854" i="15"/>
  <c r="S854" i="15" s="1"/>
  <c r="V855" i="15"/>
  <c r="S855" i="15" s="1"/>
  <c r="V856" i="15"/>
  <c r="S856" i="15" s="1"/>
  <c r="V857" i="15"/>
  <c r="S857" i="15" s="1"/>
  <c r="V858" i="15"/>
  <c r="S858" i="15" s="1"/>
  <c r="V859" i="15"/>
  <c r="S859" i="15" s="1"/>
  <c r="V860" i="15"/>
  <c r="S860" i="15" s="1"/>
  <c r="V861" i="15"/>
  <c r="S861" i="15" s="1"/>
  <c r="V862" i="15"/>
  <c r="S862" i="15" s="1"/>
  <c r="V863" i="15"/>
  <c r="S863" i="15" s="1"/>
  <c r="V864" i="15"/>
  <c r="S864" i="15" s="1"/>
  <c r="V865" i="15"/>
  <c r="S865" i="15" s="1"/>
  <c r="V866" i="15"/>
  <c r="S866" i="15" s="1"/>
  <c r="V867" i="15"/>
  <c r="S867" i="15" s="1"/>
  <c r="V868" i="15"/>
  <c r="S868" i="15" s="1"/>
  <c r="V869" i="15"/>
  <c r="S869" i="15" s="1"/>
  <c r="V870" i="15"/>
  <c r="S870" i="15" s="1"/>
  <c r="V871" i="15"/>
  <c r="S871" i="15" s="1"/>
  <c r="V872" i="15"/>
  <c r="S872" i="15" s="1"/>
  <c r="V873" i="15"/>
  <c r="S873" i="15" s="1"/>
  <c r="V874" i="15"/>
  <c r="S874" i="15" s="1"/>
  <c r="V875" i="15"/>
  <c r="S875" i="15" s="1"/>
  <c r="V876" i="15"/>
  <c r="S876" i="15" s="1"/>
  <c r="V877" i="15"/>
  <c r="S877" i="15" s="1"/>
  <c r="V878" i="15"/>
  <c r="S878" i="15" s="1"/>
  <c r="V879" i="15"/>
  <c r="S879" i="15" s="1"/>
  <c r="V880" i="15"/>
  <c r="S880" i="15" s="1"/>
  <c r="V881" i="15"/>
  <c r="S881" i="15" s="1"/>
  <c r="V882" i="15"/>
  <c r="S882" i="15" s="1"/>
  <c r="V883" i="15"/>
  <c r="S883" i="15" s="1"/>
  <c r="V884" i="15"/>
  <c r="S884" i="15" s="1"/>
  <c r="V885" i="15"/>
  <c r="S885" i="15" s="1"/>
  <c r="V886" i="15"/>
  <c r="S886" i="15" s="1"/>
  <c r="V887" i="15"/>
  <c r="S887" i="15" s="1"/>
  <c r="V888" i="15"/>
  <c r="S888" i="15" s="1"/>
  <c r="V889" i="15"/>
  <c r="S889" i="15" s="1"/>
  <c r="V890" i="15"/>
  <c r="S890" i="15" s="1"/>
  <c r="V891" i="15"/>
  <c r="S891" i="15" s="1"/>
  <c r="V892" i="15"/>
  <c r="S892" i="15" s="1"/>
  <c r="V893" i="15"/>
  <c r="S893" i="15" s="1"/>
  <c r="V894" i="15"/>
  <c r="S894" i="15" s="1"/>
  <c r="V895" i="15"/>
  <c r="S895" i="15" s="1"/>
  <c r="V896" i="15"/>
  <c r="S896" i="15" s="1"/>
  <c r="V897" i="15"/>
  <c r="S897" i="15" s="1"/>
  <c r="V898" i="15"/>
  <c r="S898" i="15" s="1"/>
  <c r="V899" i="15"/>
  <c r="S899" i="15" s="1"/>
  <c r="V900" i="15"/>
  <c r="S900" i="15" s="1"/>
  <c r="V901" i="15"/>
  <c r="S901" i="15" s="1"/>
  <c r="V902" i="15"/>
  <c r="S902" i="15" s="1"/>
  <c r="V903" i="15"/>
  <c r="S903" i="15" s="1"/>
  <c r="V904" i="15"/>
  <c r="S904" i="15" s="1"/>
  <c r="V905" i="15"/>
  <c r="S905" i="15" s="1"/>
  <c r="V906" i="15"/>
  <c r="S906" i="15" s="1"/>
  <c r="V907" i="15"/>
  <c r="S907" i="15" s="1"/>
  <c r="V908" i="15"/>
  <c r="S908" i="15" s="1"/>
  <c r="V909" i="15"/>
  <c r="S909" i="15" s="1"/>
  <c r="V910" i="15"/>
  <c r="S910" i="15" s="1"/>
  <c r="V911" i="15"/>
  <c r="S911" i="15" s="1"/>
  <c r="V912" i="15"/>
  <c r="S912" i="15" s="1"/>
  <c r="V913" i="15"/>
  <c r="S913" i="15" s="1"/>
  <c r="V914" i="15"/>
  <c r="S914" i="15" s="1"/>
  <c r="V915" i="15"/>
  <c r="S915" i="15" s="1"/>
  <c r="V916" i="15"/>
  <c r="S916" i="15" s="1"/>
  <c r="V917" i="15"/>
  <c r="S917" i="15" s="1"/>
  <c r="V918" i="15"/>
  <c r="S918" i="15" s="1"/>
  <c r="V919" i="15"/>
  <c r="S919" i="15" s="1"/>
  <c r="V920" i="15"/>
  <c r="S920" i="15" s="1"/>
  <c r="V921" i="15"/>
  <c r="S921" i="15" s="1"/>
  <c r="V922" i="15"/>
  <c r="S922" i="15" s="1"/>
  <c r="V923" i="15"/>
  <c r="S923" i="15" s="1"/>
  <c r="V924" i="15"/>
  <c r="S924" i="15" s="1"/>
  <c r="V925" i="15"/>
  <c r="S925" i="15" s="1"/>
  <c r="V926" i="15"/>
  <c r="S926" i="15" s="1"/>
  <c r="V927" i="15"/>
  <c r="S927" i="15" s="1"/>
  <c r="V928" i="15"/>
  <c r="S928" i="15" s="1"/>
  <c r="V929" i="15"/>
  <c r="S929" i="15" s="1"/>
  <c r="V930" i="15"/>
  <c r="S930" i="15" s="1"/>
  <c r="V931" i="15"/>
  <c r="S931" i="15" s="1"/>
  <c r="V932" i="15"/>
  <c r="S932" i="15" s="1"/>
  <c r="V933" i="15"/>
  <c r="S933" i="15" s="1"/>
  <c r="V934" i="15"/>
  <c r="S934" i="15" s="1"/>
  <c r="V935" i="15"/>
  <c r="S935" i="15" s="1"/>
  <c r="V936" i="15"/>
  <c r="S936" i="15" s="1"/>
  <c r="V937" i="15"/>
  <c r="S937" i="15" s="1"/>
  <c r="V938" i="15"/>
  <c r="S938" i="15" s="1"/>
  <c r="V939" i="15"/>
  <c r="S939" i="15" s="1"/>
  <c r="V940" i="15"/>
  <c r="S940" i="15" s="1"/>
  <c r="V941" i="15"/>
  <c r="S941" i="15" s="1"/>
  <c r="V942" i="15"/>
  <c r="S942" i="15" s="1"/>
  <c r="V943" i="15"/>
  <c r="S943" i="15" s="1"/>
  <c r="V944" i="15"/>
  <c r="S944" i="15" s="1"/>
  <c r="V945" i="15"/>
  <c r="S945" i="15" s="1"/>
  <c r="V946" i="15"/>
  <c r="S946" i="15" s="1"/>
  <c r="V947" i="15"/>
  <c r="S947" i="15" s="1"/>
  <c r="V948" i="15"/>
  <c r="S948" i="15" s="1"/>
  <c r="V949" i="15"/>
  <c r="S949" i="15" s="1"/>
  <c r="V950" i="15"/>
  <c r="S950" i="15" s="1"/>
  <c r="V951" i="15"/>
  <c r="S951" i="15" s="1"/>
  <c r="V952" i="15"/>
  <c r="S952" i="15" s="1"/>
  <c r="V953" i="15"/>
  <c r="S953" i="15" s="1"/>
  <c r="V954" i="15"/>
  <c r="S954" i="15" s="1"/>
  <c r="V955" i="15"/>
  <c r="S955" i="15" s="1"/>
  <c r="V956" i="15"/>
  <c r="S956" i="15" s="1"/>
  <c r="V957" i="15"/>
  <c r="S957" i="15" s="1"/>
  <c r="V958" i="15"/>
  <c r="S958" i="15" s="1"/>
  <c r="V959" i="15"/>
  <c r="S959" i="15" s="1"/>
  <c r="V960" i="15"/>
  <c r="S960" i="15" s="1"/>
  <c r="V961" i="15"/>
  <c r="S961" i="15" s="1"/>
  <c r="V962" i="15"/>
  <c r="S962" i="15" s="1"/>
  <c r="V963" i="15"/>
  <c r="S963" i="15" s="1"/>
  <c r="V964" i="15"/>
  <c r="S964" i="15" s="1"/>
  <c r="V965" i="15"/>
  <c r="S965" i="15" s="1"/>
  <c r="V966" i="15"/>
  <c r="S966" i="15" s="1"/>
  <c r="V967" i="15"/>
  <c r="S967" i="15" s="1"/>
  <c r="V968" i="15"/>
  <c r="S968" i="15" s="1"/>
  <c r="V969" i="15"/>
  <c r="S969" i="15" s="1"/>
  <c r="V970" i="15"/>
  <c r="S970" i="15" s="1"/>
  <c r="V971" i="15"/>
  <c r="S971" i="15" s="1"/>
  <c r="V972" i="15"/>
  <c r="S972" i="15" s="1"/>
  <c r="V973" i="15"/>
  <c r="S973" i="15" s="1"/>
  <c r="V974" i="15"/>
  <c r="S974" i="15" s="1"/>
  <c r="V975" i="15"/>
  <c r="S975" i="15" s="1"/>
  <c r="V976" i="15"/>
  <c r="S976" i="15" s="1"/>
  <c r="V977" i="15"/>
  <c r="S977" i="15" s="1"/>
  <c r="V978" i="15"/>
  <c r="S978" i="15" s="1"/>
  <c r="V979" i="15"/>
  <c r="S979" i="15" s="1"/>
  <c r="V980" i="15"/>
  <c r="S980" i="15" s="1"/>
  <c r="V981" i="15"/>
  <c r="S981" i="15" s="1"/>
  <c r="V982" i="15"/>
  <c r="S982" i="15" s="1"/>
  <c r="V983" i="15"/>
  <c r="S983" i="15" s="1"/>
  <c r="V984" i="15"/>
  <c r="S984" i="15" s="1"/>
  <c r="V985" i="15"/>
  <c r="S985" i="15" s="1"/>
  <c r="V986" i="15"/>
  <c r="S986" i="15" s="1"/>
  <c r="V987" i="15"/>
  <c r="S987" i="15" s="1"/>
  <c r="V988" i="15"/>
  <c r="S988" i="15" s="1"/>
  <c r="V989" i="15"/>
  <c r="S989" i="15" s="1"/>
  <c r="V990" i="15"/>
  <c r="S990" i="15" s="1"/>
  <c r="V991" i="15"/>
  <c r="S991" i="15" s="1"/>
  <c r="V992" i="15"/>
  <c r="S992" i="15" s="1"/>
  <c r="V993" i="15"/>
  <c r="S993" i="15" s="1"/>
  <c r="V994" i="15"/>
  <c r="S994" i="15" s="1"/>
  <c r="V995" i="15"/>
  <c r="S995" i="15" s="1"/>
  <c r="V996" i="15"/>
  <c r="S996" i="15" s="1"/>
  <c r="V997" i="15"/>
  <c r="S997" i="15" s="1"/>
  <c r="V998" i="15"/>
  <c r="S998" i="15" s="1"/>
  <c r="V999" i="15"/>
  <c r="S999" i="15" s="1"/>
  <c r="V1000" i="15"/>
  <c r="S1000" i="15" s="1"/>
  <c r="V1001" i="15"/>
  <c r="S1001" i="15" s="1"/>
  <c r="V1002" i="15"/>
  <c r="S1002" i="15" s="1"/>
  <c r="V1003" i="15"/>
  <c r="S1003" i="15" s="1"/>
  <c r="V1004" i="15"/>
  <c r="S1004" i="15" s="1"/>
  <c r="V1005" i="15"/>
  <c r="S1005" i="15" s="1"/>
  <c r="V1006" i="15"/>
  <c r="S1006" i="15" s="1"/>
  <c r="V1007" i="15"/>
  <c r="S1007" i="15" s="1"/>
  <c r="V1008" i="15"/>
  <c r="S1008" i="15" s="1"/>
  <c r="V1009" i="15"/>
  <c r="S1009" i="15" s="1"/>
  <c r="V1010" i="15"/>
  <c r="S1010" i="15" s="1"/>
  <c r="V1011" i="15"/>
  <c r="S1011" i="15" s="1"/>
  <c r="V1012" i="15"/>
  <c r="S1012" i="15" s="1"/>
  <c r="V1013" i="15"/>
  <c r="S1013" i="15" s="1"/>
  <c r="V1014" i="15"/>
  <c r="S1014" i="15" s="1"/>
  <c r="V1015" i="15"/>
  <c r="S1015" i="15" s="1"/>
  <c r="V1016" i="15"/>
  <c r="S1016" i="15" s="1"/>
  <c r="V1017" i="15"/>
  <c r="S1017" i="15" s="1"/>
  <c r="V1018" i="15"/>
  <c r="S1018" i="15" s="1"/>
  <c r="V1019" i="15"/>
  <c r="S1019" i="15" s="1"/>
  <c r="V1020" i="15"/>
  <c r="S1020" i="15" s="1"/>
  <c r="V1021" i="15"/>
  <c r="S1021" i="15" s="1"/>
  <c r="V1022" i="15"/>
  <c r="S1022" i="15" s="1"/>
  <c r="V1023" i="15"/>
  <c r="S1023" i="15" s="1"/>
  <c r="V1024" i="15"/>
  <c r="S1024" i="15" s="1"/>
  <c r="V1025" i="15"/>
  <c r="S1025" i="15" s="1"/>
  <c r="V1026" i="15"/>
  <c r="S1026" i="15" s="1"/>
  <c r="V1027" i="15"/>
  <c r="S1027" i="15" s="1"/>
  <c r="V1028" i="15"/>
  <c r="S1028" i="15" s="1"/>
  <c r="V1029" i="15"/>
  <c r="S1029" i="15" s="1"/>
  <c r="V1030" i="15"/>
  <c r="S1030" i="15" s="1"/>
  <c r="V1031" i="15"/>
  <c r="S1031" i="15" s="1"/>
  <c r="V1032" i="15"/>
  <c r="S1032" i="15" s="1"/>
  <c r="V1033" i="15"/>
  <c r="S1033" i="15" s="1"/>
  <c r="V1034" i="15"/>
  <c r="S1034" i="15" s="1"/>
  <c r="V1035" i="15"/>
  <c r="S1035" i="15" s="1"/>
  <c r="V1036" i="15"/>
  <c r="S1036" i="15" s="1"/>
  <c r="V1037" i="15"/>
  <c r="S1037" i="15" s="1"/>
  <c r="V1038" i="15"/>
  <c r="S1038" i="15" s="1"/>
  <c r="V1039" i="15"/>
  <c r="S1039" i="15" s="1"/>
  <c r="V1040" i="15"/>
  <c r="S1040" i="15" s="1"/>
  <c r="V1041" i="15"/>
  <c r="S1041" i="15" s="1"/>
  <c r="V1042" i="15"/>
  <c r="S1042" i="15" s="1"/>
  <c r="V1043" i="15"/>
  <c r="S1043" i="15" s="1"/>
  <c r="V1044" i="15"/>
  <c r="S1044" i="15" s="1"/>
  <c r="V1045" i="15"/>
  <c r="S1045" i="15" s="1"/>
  <c r="V1046" i="15"/>
  <c r="S1046" i="15" s="1"/>
  <c r="V1047" i="15"/>
  <c r="S1047" i="15" s="1"/>
  <c r="V1048" i="15"/>
  <c r="S1048" i="15" s="1"/>
  <c r="V1049" i="15"/>
  <c r="S1049" i="15" s="1"/>
  <c r="V1050" i="15"/>
  <c r="S1050" i="15" s="1"/>
  <c r="V1051" i="15"/>
  <c r="S1051" i="15" s="1"/>
  <c r="V1052" i="15"/>
  <c r="S1052" i="15" s="1"/>
  <c r="V1053" i="15"/>
  <c r="S1053" i="15" s="1"/>
  <c r="V1054" i="15"/>
  <c r="S1054" i="15" s="1"/>
  <c r="V1055" i="15"/>
  <c r="S1055" i="15" s="1"/>
  <c r="V1056" i="15"/>
  <c r="S1056" i="15" s="1"/>
  <c r="V1057" i="15"/>
  <c r="S1057" i="15" s="1"/>
  <c r="V1058" i="15"/>
  <c r="S1058" i="15" s="1"/>
  <c r="V1059" i="15"/>
  <c r="S1059" i="15" s="1"/>
  <c r="V1060" i="15"/>
  <c r="S1060" i="15" s="1"/>
  <c r="V1061" i="15"/>
  <c r="S1061" i="15" s="1"/>
  <c r="V1062" i="15"/>
  <c r="S1062" i="15" s="1"/>
  <c r="V1063" i="15"/>
  <c r="S1063" i="15" s="1"/>
  <c r="V1064" i="15"/>
  <c r="S1064" i="15" s="1"/>
  <c r="V1065" i="15"/>
  <c r="S1065" i="15" s="1"/>
  <c r="V1066" i="15"/>
  <c r="S1066" i="15" s="1"/>
  <c r="V1067" i="15"/>
  <c r="S1067" i="15" s="1"/>
  <c r="V1068" i="15"/>
  <c r="S1068" i="15" s="1"/>
  <c r="V1069" i="15"/>
  <c r="S1069" i="15" s="1"/>
  <c r="V1070" i="15"/>
  <c r="S1070" i="15" s="1"/>
  <c r="V1071" i="15"/>
  <c r="S1071" i="15" s="1"/>
  <c r="V1072" i="15"/>
  <c r="S1072" i="15" s="1"/>
  <c r="V1073" i="15"/>
  <c r="S1073" i="15" s="1"/>
  <c r="V1074" i="15"/>
  <c r="S1074" i="15" s="1"/>
  <c r="V1075" i="15"/>
  <c r="S1075" i="15" s="1"/>
  <c r="V1076" i="15"/>
  <c r="S1076" i="15" s="1"/>
  <c r="V1077" i="15"/>
  <c r="S1077" i="15" s="1"/>
  <c r="V1078" i="15"/>
  <c r="S1078" i="15" s="1"/>
  <c r="V1079" i="15"/>
  <c r="S1079" i="15" s="1"/>
  <c r="V1080" i="15"/>
  <c r="S1080" i="15" s="1"/>
  <c r="V1081" i="15"/>
  <c r="S1081" i="15" s="1"/>
  <c r="V1082" i="15"/>
  <c r="S1082" i="15" s="1"/>
  <c r="V1083" i="15"/>
  <c r="S1083" i="15" s="1"/>
  <c r="V1084" i="15"/>
  <c r="S1084" i="15" s="1"/>
  <c r="V1085" i="15"/>
  <c r="S1085" i="15" s="1"/>
  <c r="V1086" i="15"/>
  <c r="S1086" i="15" s="1"/>
  <c r="V1087" i="15"/>
  <c r="S1087" i="15" s="1"/>
  <c r="V1088" i="15"/>
  <c r="S1088" i="15" s="1"/>
  <c r="V1089" i="15"/>
  <c r="S1089" i="15" s="1"/>
  <c r="V1090" i="15"/>
  <c r="S1090" i="15" s="1"/>
  <c r="V1091" i="15"/>
  <c r="S1091" i="15" s="1"/>
  <c r="V1092" i="15"/>
  <c r="S1092" i="15" s="1"/>
  <c r="V1093" i="15"/>
  <c r="S1093" i="15" s="1"/>
  <c r="V1094" i="15"/>
  <c r="S1094" i="15" s="1"/>
  <c r="V1095" i="15"/>
  <c r="S1095" i="15" s="1"/>
  <c r="V1096" i="15"/>
  <c r="S1096" i="15" s="1"/>
  <c r="V1097" i="15"/>
  <c r="S1097" i="15" s="1"/>
  <c r="V1098" i="15"/>
  <c r="S1098" i="15" s="1"/>
  <c r="V1099" i="15"/>
  <c r="S1099" i="15" s="1"/>
  <c r="V1100" i="15"/>
  <c r="S1100" i="15" s="1"/>
  <c r="V1101" i="15"/>
  <c r="S1101" i="15" s="1"/>
  <c r="V1102" i="15"/>
  <c r="S1102" i="15" s="1"/>
  <c r="V1103" i="15"/>
  <c r="S1103" i="15" s="1"/>
  <c r="V1104" i="15"/>
  <c r="S1104" i="15" s="1"/>
  <c r="V1105" i="15"/>
  <c r="S1105" i="15" s="1"/>
  <c r="V1106" i="15"/>
  <c r="S1106" i="15" s="1"/>
  <c r="V1107" i="15"/>
  <c r="S1107" i="15" s="1"/>
  <c r="V1108" i="15"/>
  <c r="S1108" i="15" s="1"/>
  <c r="V1109" i="15"/>
  <c r="S1109" i="15" s="1"/>
  <c r="V1110" i="15"/>
  <c r="S1110" i="15" s="1"/>
  <c r="V1111" i="15"/>
  <c r="S1111" i="15" s="1"/>
  <c r="V1112" i="15"/>
  <c r="S1112" i="15" s="1"/>
  <c r="V1113" i="15"/>
  <c r="S1113" i="15" s="1"/>
  <c r="V1114" i="15"/>
  <c r="S1114" i="15" s="1"/>
  <c r="V1115" i="15"/>
  <c r="S1115" i="15" s="1"/>
  <c r="V1116" i="15"/>
  <c r="S1116" i="15" s="1"/>
  <c r="V1117" i="15"/>
  <c r="S1117" i="15" s="1"/>
  <c r="V1118" i="15"/>
  <c r="S1118" i="15" s="1"/>
  <c r="V1119" i="15"/>
  <c r="S1119" i="15" s="1"/>
  <c r="V1120" i="15"/>
  <c r="S1120" i="15" s="1"/>
  <c r="V1121" i="15"/>
  <c r="S1121" i="15" s="1"/>
  <c r="V1122" i="15"/>
  <c r="S1122" i="15" s="1"/>
  <c r="V1123" i="15"/>
  <c r="S1123" i="15" s="1"/>
  <c r="V1124" i="15"/>
  <c r="S1124" i="15" s="1"/>
  <c r="V1125" i="15"/>
  <c r="S1125" i="15" s="1"/>
  <c r="V1126" i="15"/>
  <c r="S1126" i="15" s="1"/>
  <c r="V1127" i="15"/>
  <c r="S1127" i="15" s="1"/>
  <c r="V1128" i="15"/>
  <c r="S1128" i="15" s="1"/>
  <c r="V1129" i="15"/>
  <c r="S1129" i="15" s="1"/>
  <c r="V1130" i="15"/>
  <c r="S1130" i="15" s="1"/>
  <c r="V1131" i="15"/>
  <c r="S1131" i="15" s="1"/>
  <c r="V1132" i="15"/>
  <c r="S1132" i="15" s="1"/>
  <c r="V1133" i="15"/>
  <c r="S1133" i="15" s="1"/>
  <c r="V1134" i="15"/>
  <c r="S1134" i="15" s="1"/>
  <c r="V1135" i="15"/>
  <c r="S1135" i="15" s="1"/>
  <c r="V1136" i="15"/>
  <c r="S1136" i="15" s="1"/>
  <c r="V1137" i="15"/>
  <c r="S1137" i="15" s="1"/>
  <c r="V1138" i="15"/>
  <c r="S1138" i="15" s="1"/>
  <c r="V1139" i="15"/>
  <c r="S1139" i="15" s="1"/>
  <c r="V1140" i="15"/>
  <c r="S1140" i="15" s="1"/>
  <c r="V1141" i="15"/>
  <c r="S1141" i="15" s="1"/>
  <c r="V1142" i="15"/>
  <c r="S1142" i="15" s="1"/>
  <c r="V1143" i="15"/>
  <c r="S1143" i="15" s="1"/>
  <c r="V1144" i="15"/>
  <c r="S1144" i="15" s="1"/>
  <c r="V1145" i="15"/>
  <c r="S1145" i="15" s="1"/>
  <c r="V1146" i="15"/>
  <c r="S1146" i="15" s="1"/>
  <c r="V1147" i="15"/>
  <c r="S1147" i="15" s="1"/>
  <c r="V1148" i="15"/>
  <c r="S1148" i="15" s="1"/>
  <c r="V1149" i="15"/>
  <c r="S1149" i="15" s="1"/>
  <c r="V1150" i="15"/>
  <c r="S1150" i="15" s="1"/>
  <c r="V1151" i="15"/>
  <c r="S1151" i="15" s="1"/>
  <c r="V1152" i="15"/>
  <c r="S1152" i="15" s="1"/>
  <c r="V1153" i="15"/>
  <c r="S1153" i="15" s="1"/>
  <c r="V1154" i="15"/>
  <c r="S1154" i="15" s="1"/>
  <c r="V1155" i="15"/>
  <c r="S1155" i="15" s="1"/>
  <c r="V1156" i="15"/>
  <c r="S1156" i="15" s="1"/>
  <c r="V1157" i="15"/>
  <c r="S1157" i="15" s="1"/>
  <c r="V1158" i="15"/>
  <c r="S1158" i="15" s="1"/>
  <c r="V1159" i="15"/>
  <c r="S1159" i="15" s="1"/>
  <c r="V1160" i="15"/>
  <c r="S1160" i="15" s="1"/>
  <c r="V1161" i="15"/>
  <c r="S1161" i="15" s="1"/>
  <c r="V1162" i="15"/>
  <c r="S1162" i="15" s="1"/>
  <c r="V1163" i="15"/>
  <c r="S1163" i="15" s="1"/>
  <c r="V1164" i="15"/>
  <c r="S1164" i="15" s="1"/>
  <c r="V1165" i="15"/>
  <c r="S1165" i="15" s="1"/>
  <c r="V1166" i="15"/>
  <c r="S1166" i="15" s="1"/>
  <c r="V1167" i="15"/>
  <c r="S1167" i="15" s="1"/>
  <c r="V1168" i="15"/>
  <c r="S1168" i="15" s="1"/>
  <c r="V1169" i="15"/>
  <c r="S1169" i="15" s="1"/>
  <c r="V1170" i="15"/>
  <c r="S1170" i="15" s="1"/>
  <c r="V1171" i="15"/>
  <c r="S1171" i="15" s="1"/>
  <c r="V1172" i="15"/>
  <c r="S1172" i="15" s="1"/>
  <c r="V1173" i="15"/>
  <c r="S1173" i="15" s="1"/>
  <c r="V1174" i="15"/>
  <c r="S1174" i="15" s="1"/>
  <c r="V1175" i="15"/>
  <c r="S1175" i="15" s="1"/>
  <c r="V1176" i="15"/>
  <c r="S1176" i="15" s="1"/>
  <c r="V1177" i="15"/>
  <c r="S1177" i="15" s="1"/>
  <c r="V1178" i="15"/>
  <c r="S1178" i="15" s="1"/>
  <c r="V1179" i="15"/>
  <c r="S1179" i="15" s="1"/>
  <c r="V1180" i="15"/>
  <c r="S1180" i="15" s="1"/>
  <c r="V1181" i="15"/>
  <c r="S1181" i="15" s="1"/>
  <c r="V1182" i="15"/>
  <c r="S1182" i="15" s="1"/>
  <c r="V1183" i="15"/>
  <c r="S1183" i="15" s="1"/>
  <c r="V1184" i="15"/>
  <c r="S1184" i="15" s="1"/>
  <c r="V1185" i="15"/>
  <c r="S1185" i="15" s="1"/>
  <c r="V1186" i="15"/>
  <c r="S1186" i="15" s="1"/>
  <c r="V1187" i="15"/>
  <c r="S1187" i="15" s="1"/>
  <c r="V1188" i="15"/>
  <c r="S1188" i="15" s="1"/>
  <c r="V1189" i="15"/>
  <c r="S1189" i="15" s="1"/>
  <c r="V1190" i="15"/>
  <c r="S1190" i="15" s="1"/>
  <c r="V1191" i="15"/>
  <c r="S1191" i="15" s="1"/>
  <c r="V1192" i="15"/>
  <c r="S1192" i="15" s="1"/>
  <c r="V1193" i="15"/>
  <c r="S1193" i="15" s="1"/>
  <c r="V1194" i="15"/>
  <c r="S1194" i="15" s="1"/>
  <c r="V1195" i="15"/>
  <c r="S1195" i="15" s="1"/>
  <c r="V1196" i="15"/>
  <c r="S1196" i="15" s="1"/>
  <c r="V1197" i="15"/>
  <c r="S1197" i="15" s="1"/>
  <c r="V1198" i="15"/>
  <c r="S1198" i="15" s="1"/>
  <c r="V1199" i="15"/>
  <c r="S1199" i="15" s="1"/>
  <c r="V1200" i="15"/>
  <c r="S1200" i="15" s="1"/>
  <c r="V1201" i="15"/>
  <c r="S1201" i="15" s="1"/>
  <c r="V1202" i="15"/>
  <c r="S1202" i="15" s="1"/>
  <c r="V1203" i="15"/>
  <c r="S1203" i="15" s="1"/>
  <c r="V1204" i="15"/>
  <c r="S1204" i="15" s="1"/>
  <c r="V1205" i="15"/>
  <c r="S1205" i="15" s="1"/>
  <c r="V1206" i="15"/>
  <c r="S1206" i="15" s="1"/>
  <c r="V1207" i="15"/>
  <c r="S1207" i="15" s="1"/>
  <c r="V1208" i="15"/>
  <c r="S1208" i="15" s="1"/>
  <c r="V1209" i="15"/>
  <c r="S1209" i="15" s="1"/>
  <c r="V1210" i="15"/>
  <c r="S1210" i="15" s="1"/>
  <c r="V1211" i="15"/>
  <c r="S1211" i="15" s="1"/>
  <c r="V1212" i="15"/>
  <c r="S1212" i="15" s="1"/>
  <c r="V1213" i="15"/>
  <c r="S1213" i="15" s="1"/>
  <c r="V1214" i="15"/>
  <c r="S1214" i="15" s="1"/>
  <c r="V1215" i="15"/>
  <c r="S1215" i="15" s="1"/>
  <c r="V1216" i="15"/>
  <c r="S1216" i="15" s="1"/>
  <c r="V1217" i="15"/>
  <c r="S1217" i="15" s="1"/>
  <c r="V1218" i="15"/>
  <c r="S1218" i="15" s="1"/>
  <c r="V1219" i="15"/>
  <c r="S1219" i="15" s="1"/>
  <c r="V1220" i="15"/>
  <c r="S1220" i="15" s="1"/>
  <c r="V1221" i="15"/>
  <c r="S1221" i="15" s="1"/>
  <c r="V1222" i="15"/>
  <c r="S1222" i="15" s="1"/>
  <c r="V1223" i="15"/>
  <c r="S1223" i="15" s="1"/>
  <c r="V1224" i="15"/>
  <c r="S1224" i="15" s="1"/>
  <c r="V1225" i="15"/>
  <c r="S1225" i="15" s="1"/>
  <c r="V1226" i="15"/>
  <c r="S1226" i="15" s="1"/>
  <c r="V1227" i="15"/>
  <c r="S1227" i="15" s="1"/>
  <c r="V1228" i="15"/>
  <c r="S1228" i="15" s="1"/>
  <c r="V1229" i="15"/>
  <c r="S1229" i="15" s="1"/>
  <c r="V1230" i="15"/>
  <c r="S1230" i="15" s="1"/>
  <c r="V1231" i="15"/>
  <c r="S1231" i="15" s="1"/>
  <c r="V1232" i="15"/>
  <c r="S1232" i="15" s="1"/>
  <c r="V1233" i="15"/>
  <c r="S1233" i="15" s="1"/>
  <c r="V1234" i="15"/>
  <c r="S1234" i="15" s="1"/>
  <c r="V1235" i="15"/>
  <c r="S1235" i="15" s="1"/>
  <c r="V1236" i="15"/>
  <c r="S1236" i="15" s="1"/>
  <c r="V1237" i="15"/>
  <c r="S1237" i="15" s="1"/>
  <c r="V1238" i="15"/>
  <c r="S1238" i="15" s="1"/>
  <c r="V1239" i="15"/>
  <c r="S1239" i="15" s="1"/>
  <c r="V1240" i="15"/>
  <c r="S1240" i="15" s="1"/>
  <c r="V1241" i="15"/>
  <c r="S1241" i="15" s="1"/>
  <c r="V1242" i="15"/>
  <c r="S1242" i="15" s="1"/>
  <c r="V1243" i="15"/>
  <c r="S1243" i="15" s="1"/>
  <c r="V1244" i="15"/>
  <c r="S1244" i="15" s="1"/>
  <c r="V1245" i="15"/>
  <c r="S1245" i="15" s="1"/>
  <c r="V1246" i="15"/>
  <c r="S1246" i="15" s="1"/>
  <c r="V1247" i="15"/>
  <c r="S1247" i="15" s="1"/>
  <c r="V1248" i="15"/>
  <c r="S1248" i="15" s="1"/>
  <c r="V1249" i="15"/>
  <c r="S1249" i="15" s="1"/>
  <c r="V1250" i="15"/>
  <c r="S1250" i="15" s="1"/>
  <c r="V1251" i="15"/>
  <c r="S1251" i="15" s="1"/>
  <c r="V1252" i="15"/>
  <c r="S1252" i="15" s="1"/>
  <c r="V1253" i="15"/>
  <c r="S1253" i="15" s="1"/>
  <c r="V1254" i="15"/>
  <c r="S1254" i="15" s="1"/>
  <c r="V1255" i="15"/>
  <c r="S1255" i="15" s="1"/>
  <c r="V1256" i="15"/>
  <c r="S1256" i="15" s="1"/>
  <c r="V1257" i="15"/>
  <c r="S1257" i="15" s="1"/>
  <c r="V1258" i="15"/>
  <c r="S1258" i="15" s="1"/>
  <c r="V1259" i="15"/>
  <c r="S1259" i="15" s="1"/>
  <c r="V1260" i="15"/>
  <c r="S1260" i="15" s="1"/>
  <c r="V1261" i="15"/>
  <c r="S1261" i="15" s="1"/>
  <c r="V1262" i="15"/>
  <c r="S1262" i="15" s="1"/>
  <c r="V1263" i="15"/>
  <c r="S1263" i="15" s="1"/>
  <c r="V1264" i="15"/>
  <c r="S1264" i="15" s="1"/>
  <c r="V1265" i="15"/>
  <c r="S1265" i="15" s="1"/>
  <c r="V1266" i="15"/>
  <c r="S1266" i="15" s="1"/>
  <c r="V1267" i="15"/>
  <c r="S1267" i="15" s="1"/>
  <c r="V1268" i="15"/>
  <c r="S1268" i="15" s="1"/>
  <c r="V1269" i="15"/>
  <c r="S1269" i="15" s="1"/>
  <c r="V1270" i="15"/>
  <c r="S1270" i="15" s="1"/>
  <c r="V1271" i="15"/>
  <c r="S1271" i="15" s="1"/>
  <c r="V1272" i="15"/>
  <c r="S1272" i="15" s="1"/>
  <c r="V1273" i="15"/>
  <c r="S1273" i="15" s="1"/>
  <c r="V1274" i="15"/>
  <c r="S1274" i="15" s="1"/>
  <c r="V1275" i="15"/>
  <c r="S1275" i="15" s="1"/>
  <c r="V1276" i="15"/>
  <c r="S1276" i="15" s="1"/>
  <c r="V1277" i="15"/>
  <c r="S1277" i="15" s="1"/>
  <c r="V1278" i="15"/>
  <c r="S1278" i="15" s="1"/>
  <c r="V1279" i="15"/>
  <c r="S1279" i="15" s="1"/>
  <c r="V1280" i="15"/>
  <c r="S1280" i="15" s="1"/>
  <c r="V1281" i="15"/>
  <c r="S1281" i="15" s="1"/>
  <c r="V1282" i="15"/>
  <c r="S1282" i="15" s="1"/>
  <c r="V1283" i="15"/>
  <c r="S1283" i="15" s="1"/>
  <c r="V1284" i="15"/>
  <c r="S1284" i="15" s="1"/>
  <c r="V1285" i="15"/>
  <c r="S1285" i="15" s="1"/>
  <c r="V1286" i="15"/>
  <c r="S1286" i="15" s="1"/>
  <c r="V1287" i="15"/>
  <c r="S1287" i="15" s="1"/>
  <c r="V1288" i="15"/>
  <c r="S1288" i="15" s="1"/>
  <c r="V1289" i="15"/>
  <c r="S1289" i="15" s="1"/>
  <c r="V1290" i="15"/>
  <c r="S1290" i="15" s="1"/>
  <c r="V1291" i="15"/>
  <c r="S1291" i="15" s="1"/>
  <c r="V1292" i="15"/>
  <c r="S1292" i="15" s="1"/>
  <c r="V1293" i="15"/>
  <c r="S1293" i="15" s="1"/>
  <c r="V1294" i="15"/>
  <c r="S1294" i="15" s="1"/>
  <c r="V1295" i="15"/>
  <c r="S1295" i="15" s="1"/>
  <c r="V1296" i="15"/>
  <c r="S1296" i="15" s="1"/>
  <c r="V1297" i="15"/>
  <c r="S1297" i="15" s="1"/>
  <c r="V1298" i="15"/>
  <c r="S1298" i="15" s="1"/>
  <c r="V1299" i="15"/>
  <c r="S1299" i="15" s="1"/>
  <c r="V1300" i="15"/>
  <c r="S1300" i="15" s="1"/>
  <c r="V1301" i="15"/>
  <c r="S1301" i="15" s="1"/>
  <c r="V1302" i="15"/>
  <c r="S1302" i="15" s="1"/>
  <c r="V1303" i="15"/>
  <c r="S1303" i="15" s="1"/>
  <c r="V1304" i="15"/>
  <c r="S1304" i="15" s="1"/>
  <c r="V1305" i="15"/>
  <c r="S1305" i="15" s="1"/>
  <c r="V1306" i="15"/>
  <c r="S1306" i="15" s="1"/>
  <c r="V1307" i="15"/>
  <c r="S1307" i="15" s="1"/>
  <c r="V1308" i="15"/>
  <c r="S1308" i="15" s="1"/>
  <c r="V1309" i="15"/>
  <c r="S1309" i="15" s="1"/>
  <c r="V1310" i="15"/>
  <c r="S1310" i="15" s="1"/>
  <c r="V1311" i="15"/>
  <c r="S1311" i="15" s="1"/>
  <c r="V1312" i="15"/>
  <c r="S1312" i="15" s="1"/>
  <c r="V1313" i="15"/>
  <c r="S1313" i="15" s="1"/>
  <c r="V1314" i="15"/>
  <c r="S1314" i="15" s="1"/>
  <c r="V1315" i="15"/>
  <c r="S1315" i="15" s="1"/>
  <c r="V1316" i="15"/>
  <c r="S1316" i="15" s="1"/>
  <c r="V1317" i="15"/>
  <c r="S1317" i="15" s="1"/>
  <c r="V1318" i="15"/>
  <c r="S1318" i="15" s="1"/>
  <c r="V1319" i="15"/>
  <c r="S1319" i="15" s="1"/>
  <c r="V1320" i="15"/>
  <c r="S1320" i="15" s="1"/>
  <c r="V1321" i="15"/>
  <c r="S1321" i="15" s="1"/>
  <c r="V1322" i="15"/>
  <c r="S1322" i="15" s="1"/>
  <c r="V1323" i="15"/>
  <c r="S1323" i="15" s="1"/>
  <c r="V1324" i="15"/>
  <c r="S1324" i="15" s="1"/>
  <c r="V1325" i="15"/>
  <c r="S1325" i="15" s="1"/>
  <c r="V1326" i="15"/>
  <c r="S1326" i="15" s="1"/>
  <c r="V1327" i="15"/>
  <c r="S1327" i="15" s="1"/>
  <c r="V1328" i="15"/>
  <c r="S1328" i="15" s="1"/>
  <c r="V1329" i="15"/>
  <c r="S1329" i="15" s="1"/>
  <c r="V1330" i="15"/>
  <c r="S1330" i="15" s="1"/>
  <c r="V1331" i="15"/>
  <c r="S1331" i="15" s="1"/>
  <c r="V1332" i="15"/>
  <c r="S1332" i="15" s="1"/>
  <c r="V1333" i="15"/>
  <c r="S1333" i="15" s="1"/>
  <c r="V1334" i="15"/>
  <c r="S1334" i="15" s="1"/>
  <c r="V1335" i="15"/>
  <c r="S1335" i="15" s="1"/>
  <c r="V1336" i="15"/>
  <c r="S1336" i="15" s="1"/>
  <c r="V1337" i="15"/>
  <c r="S1337" i="15" s="1"/>
  <c r="V1338" i="15"/>
  <c r="S1338" i="15" s="1"/>
  <c r="V1339" i="15"/>
  <c r="S1339" i="15" s="1"/>
  <c r="V1340" i="15"/>
  <c r="S1340" i="15" s="1"/>
  <c r="V1341" i="15"/>
  <c r="S1341" i="15" s="1"/>
  <c r="V1342" i="15"/>
  <c r="S1342" i="15" s="1"/>
  <c r="V1343" i="15"/>
  <c r="S1343" i="15" s="1"/>
  <c r="V1344" i="15"/>
  <c r="S1344" i="15" s="1"/>
  <c r="V1345" i="15"/>
  <c r="S1345" i="15" s="1"/>
  <c r="V1346" i="15"/>
  <c r="S1346" i="15" s="1"/>
  <c r="V1347" i="15"/>
  <c r="S1347" i="15" s="1"/>
  <c r="V1348" i="15"/>
  <c r="S1348" i="15" s="1"/>
  <c r="V1349" i="15"/>
  <c r="S1349" i="15" s="1"/>
  <c r="V1350" i="15"/>
  <c r="S1350" i="15" s="1"/>
  <c r="V1351" i="15"/>
  <c r="S1351" i="15" s="1"/>
  <c r="V1352" i="15"/>
  <c r="S1352" i="15" s="1"/>
  <c r="V1353" i="15"/>
  <c r="S1353" i="15" s="1"/>
  <c r="V1354" i="15"/>
  <c r="S1354" i="15" s="1"/>
  <c r="V1355" i="15"/>
  <c r="S1355" i="15" s="1"/>
  <c r="V1356" i="15"/>
  <c r="S1356" i="15" s="1"/>
  <c r="V1357" i="15"/>
  <c r="S1357" i="15" s="1"/>
  <c r="V1358" i="15"/>
  <c r="S1358" i="15" s="1"/>
  <c r="V1359" i="15"/>
  <c r="S1359" i="15" s="1"/>
  <c r="V1360" i="15"/>
  <c r="S1360" i="15" s="1"/>
  <c r="V1361" i="15"/>
  <c r="S1361" i="15" s="1"/>
  <c r="V1362" i="15"/>
  <c r="S1362" i="15" s="1"/>
  <c r="V1363" i="15"/>
  <c r="S1363" i="15" s="1"/>
  <c r="V1364" i="15"/>
  <c r="S1364" i="15" s="1"/>
  <c r="V1365" i="15"/>
  <c r="S1365" i="15" s="1"/>
  <c r="V1366" i="15"/>
  <c r="S1366" i="15" s="1"/>
  <c r="V1367" i="15"/>
  <c r="S1367" i="15" s="1"/>
  <c r="V1368" i="15"/>
  <c r="S1368" i="15" s="1"/>
  <c r="V1369" i="15"/>
  <c r="S1369" i="15" s="1"/>
  <c r="V1370" i="15"/>
  <c r="S1370" i="15" s="1"/>
  <c r="V1371" i="15"/>
  <c r="S1371" i="15" s="1"/>
  <c r="V1372" i="15"/>
  <c r="S1372" i="15" s="1"/>
  <c r="V1373" i="15"/>
  <c r="S1373" i="15" s="1"/>
  <c r="V1374" i="15"/>
  <c r="S1374" i="15" s="1"/>
  <c r="V1375" i="15"/>
  <c r="S1375" i="15" s="1"/>
  <c r="V1376" i="15"/>
  <c r="S1376" i="15" s="1"/>
  <c r="V1377" i="15"/>
  <c r="S1377" i="15" s="1"/>
  <c r="V1378" i="15"/>
  <c r="S1378" i="15" s="1"/>
  <c r="V1379" i="15"/>
  <c r="S1379" i="15" s="1"/>
  <c r="V1380" i="15"/>
  <c r="S1380" i="15" s="1"/>
  <c r="V1381" i="15"/>
  <c r="S1381" i="15" s="1"/>
  <c r="V1382" i="15"/>
  <c r="S1382" i="15" s="1"/>
  <c r="V1383" i="15"/>
  <c r="S1383" i="15" s="1"/>
  <c r="V1384" i="15"/>
  <c r="S1384" i="15" s="1"/>
  <c r="V1385" i="15"/>
  <c r="S1385" i="15" s="1"/>
  <c r="V1386" i="15"/>
  <c r="S1386" i="15" s="1"/>
  <c r="V1387" i="15"/>
  <c r="S1387" i="15" s="1"/>
  <c r="V1388" i="15"/>
  <c r="S1388" i="15" s="1"/>
  <c r="V1389" i="15"/>
  <c r="S1389" i="15" s="1"/>
  <c r="V1390" i="15"/>
  <c r="S1390" i="15" s="1"/>
  <c r="V1391" i="15"/>
  <c r="S1391" i="15" s="1"/>
  <c r="V1392" i="15"/>
  <c r="S1392" i="15" s="1"/>
  <c r="V1393" i="15"/>
  <c r="S1393" i="15" s="1"/>
  <c r="V1394" i="15"/>
  <c r="S1394" i="15" s="1"/>
  <c r="V1395" i="15"/>
  <c r="S1395" i="15" s="1"/>
  <c r="V1396" i="15"/>
  <c r="S1396" i="15" s="1"/>
  <c r="V1397" i="15"/>
  <c r="S1397" i="15" s="1"/>
  <c r="V1398" i="15"/>
  <c r="S1398" i="15" s="1"/>
  <c r="V1399" i="15"/>
  <c r="S1399" i="15" s="1"/>
  <c r="V1400" i="15"/>
  <c r="S1400" i="15" s="1"/>
  <c r="V1401" i="15"/>
  <c r="S1401" i="15" s="1"/>
  <c r="V1402" i="15"/>
  <c r="S1402" i="15" s="1"/>
  <c r="V1403" i="15"/>
  <c r="S1403" i="15" s="1"/>
  <c r="V1404" i="15"/>
  <c r="S1404" i="15" s="1"/>
  <c r="V1405" i="15"/>
  <c r="S1405" i="15" s="1"/>
  <c r="V1406" i="15"/>
  <c r="S1406" i="15" s="1"/>
  <c r="V1407" i="15"/>
  <c r="S1407" i="15" s="1"/>
  <c r="V1408" i="15"/>
  <c r="S1408" i="15" s="1"/>
  <c r="V1409" i="15"/>
  <c r="S1409" i="15" s="1"/>
  <c r="V1410" i="15"/>
  <c r="S1410" i="15" s="1"/>
  <c r="V1411" i="15"/>
  <c r="S1411" i="15" s="1"/>
  <c r="V1412" i="15"/>
  <c r="S1412" i="15" s="1"/>
  <c r="V1413" i="15"/>
  <c r="S1413" i="15" s="1"/>
  <c r="V1414" i="15"/>
  <c r="S1414" i="15" s="1"/>
  <c r="V1415" i="15"/>
  <c r="S1415" i="15" s="1"/>
  <c r="V1416" i="15"/>
  <c r="S1416" i="15" s="1"/>
  <c r="V1417" i="15"/>
  <c r="S1417" i="15" s="1"/>
  <c r="V1418" i="15"/>
  <c r="S1418" i="15" s="1"/>
  <c r="V1419" i="15"/>
  <c r="S1419" i="15" s="1"/>
  <c r="V1420" i="15"/>
  <c r="S1420" i="15" s="1"/>
  <c r="V1421" i="15"/>
  <c r="S1421" i="15" s="1"/>
  <c r="V1422" i="15"/>
  <c r="S1422" i="15" s="1"/>
  <c r="V1423" i="15"/>
  <c r="S1423" i="15" s="1"/>
  <c r="V1424" i="15"/>
  <c r="S1424" i="15" s="1"/>
  <c r="V1425" i="15"/>
  <c r="S1425" i="15" s="1"/>
  <c r="V1426" i="15"/>
  <c r="S1426" i="15" s="1"/>
  <c r="V1427" i="15"/>
  <c r="S1427" i="15" s="1"/>
  <c r="V1428" i="15"/>
  <c r="S1428" i="15" s="1"/>
  <c r="V1429" i="15"/>
  <c r="S1429" i="15" s="1"/>
  <c r="V1430" i="15"/>
  <c r="S1430" i="15" s="1"/>
  <c r="V1431" i="15"/>
  <c r="S1431" i="15" s="1"/>
  <c r="V1432" i="15"/>
  <c r="S1432" i="15" s="1"/>
  <c r="V1433" i="15"/>
  <c r="S1433" i="15" s="1"/>
  <c r="V1434" i="15"/>
  <c r="S1434" i="15" s="1"/>
  <c r="V1435" i="15"/>
  <c r="S1435" i="15" s="1"/>
  <c r="V1436" i="15"/>
  <c r="S1436" i="15" s="1"/>
  <c r="V1437" i="15"/>
  <c r="S1437" i="15" s="1"/>
  <c r="V1438" i="15"/>
  <c r="S1438" i="15" s="1"/>
  <c r="V1439" i="15"/>
  <c r="S1439" i="15" s="1"/>
  <c r="V1440" i="15"/>
  <c r="S1440" i="15" s="1"/>
  <c r="V1441" i="15"/>
  <c r="S1441" i="15" s="1"/>
  <c r="V1442" i="15"/>
  <c r="S1442" i="15" s="1"/>
  <c r="V1443" i="15"/>
  <c r="S1443" i="15" s="1"/>
  <c r="V1444" i="15"/>
  <c r="S1444" i="15" s="1"/>
  <c r="V1445" i="15"/>
  <c r="S1445" i="15" s="1"/>
  <c r="V1446" i="15"/>
  <c r="S1446" i="15" s="1"/>
  <c r="V1447" i="15"/>
  <c r="S1447" i="15" s="1"/>
  <c r="V1448" i="15"/>
  <c r="S1448" i="15" s="1"/>
  <c r="V1449" i="15"/>
  <c r="S1449" i="15" s="1"/>
  <c r="V1450" i="15"/>
  <c r="S1450" i="15" s="1"/>
  <c r="V1451" i="15"/>
  <c r="S1451" i="15" s="1"/>
  <c r="V1452" i="15"/>
  <c r="S1452" i="15" s="1"/>
  <c r="V1453" i="15"/>
  <c r="S1453" i="15" s="1"/>
  <c r="V1454" i="15"/>
  <c r="S1454" i="15" s="1"/>
  <c r="V1455" i="15"/>
  <c r="S1455" i="15" s="1"/>
  <c r="V1456" i="15"/>
  <c r="S1456" i="15" s="1"/>
  <c r="V1457" i="15"/>
  <c r="S1457" i="15" s="1"/>
  <c r="V1458" i="15"/>
  <c r="S1458" i="15" s="1"/>
  <c r="V1459" i="15"/>
  <c r="S1459" i="15" s="1"/>
  <c r="V1460" i="15"/>
  <c r="S1460" i="15" s="1"/>
  <c r="V1461" i="15"/>
  <c r="S1461" i="15" s="1"/>
  <c r="V1462" i="15"/>
  <c r="S1462" i="15" s="1"/>
  <c r="V1463" i="15"/>
  <c r="S1463" i="15" s="1"/>
  <c r="V1464" i="15"/>
  <c r="S1464" i="15" s="1"/>
  <c r="V1465" i="15"/>
  <c r="S1465" i="15" s="1"/>
  <c r="V1466" i="15"/>
  <c r="S1466" i="15" s="1"/>
  <c r="V1467" i="15"/>
  <c r="S1467" i="15" s="1"/>
  <c r="V1468" i="15"/>
  <c r="S1468" i="15" s="1"/>
  <c r="V1469" i="15"/>
  <c r="S1469" i="15" s="1"/>
  <c r="V1470" i="15"/>
  <c r="S1470" i="15" s="1"/>
  <c r="V1471" i="15"/>
  <c r="S1471" i="15" s="1"/>
  <c r="V1472" i="15"/>
  <c r="S1472" i="15" s="1"/>
  <c r="V1473" i="15"/>
  <c r="S1473" i="15" s="1"/>
  <c r="V1474" i="15"/>
  <c r="S1474" i="15" s="1"/>
  <c r="V1475" i="15"/>
  <c r="S1475" i="15" s="1"/>
  <c r="V1476" i="15"/>
  <c r="S1476" i="15" s="1"/>
  <c r="V1477" i="15"/>
  <c r="S1477" i="15" s="1"/>
  <c r="V1478" i="15"/>
  <c r="S1478" i="15" s="1"/>
  <c r="V1479" i="15"/>
  <c r="S1479" i="15" s="1"/>
  <c r="V1480" i="15"/>
  <c r="S1480" i="15" s="1"/>
  <c r="V1481" i="15"/>
  <c r="S1481" i="15" s="1"/>
  <c r="V1482" i="15"/>
  <c r="S1482" i="15" s="1"/>
  <c r="V1483" i="15"/>
  <c r="S1483" i="15" s="1"/>
  <c r="V1484" i="15"/>
  <c r="S1484" i="15" s="1"/>
  <c r="V1485" i="15"/>
  <c r="S1485" i="15" s="1"/>
  <c r="V1486" i="15"/>
  <c r="S1486" i="15" s="1"/>
  <c r="V1487" i="15"/>
  <c r="S1487" i="15" s="1"/>
  <c r="V1488" i="15"/>
  <c r="S1488" i="15" s="1"/>
  <c r="V1489" i="15"/>
  <c r="S1489" i="15" s="1"/>
  <c r="V1490" i="15"/>
  <c r="S1490" i="15" s="1"/>
  <c r="V1491" i="15"/>
  <c r="S1491" i="15" s="1"/>
  <c r="V1492" i="15"/>
  <c r="S1492" i="15" s="1"/>
  <c r="V1493" i="15"/>
  <c r="S1493" i="15" s="1"/>
  <c r="V1494" i="15"/>
  <c r="S1494" i="15" s="1"/>
  <c r="V1495" i="15"/>
  <c r="S1495" i="15" s="1"/>
  <c r="V1496" i="15"/>
  <c r="S1496" i="15" s="1"/>
  <c r="V1497" i="15"/>
  <c r="S1497" i="15" s="1"/>
  <c r="V1498" i="15"/>
  <c r="S1498" i="15" s="1"/>
  <c r="V1499" i="15"/>
  <c r="S1499" i="15" s="1"/>
  <c r="V1500" i="15"/>
  <c r="S1500" i="15" s="1"/>
  <c r="V1501" i="15"/>
  <c r="S1501" i="15" s="1"/>
  <c r="V1502" i="15"/>
  <c r="S1502" i="15" s="1"/>
  <c r="V1503" i="15"/>
  <c r="S1503" i="15" s="1"/>
  <c r="V1504" i="15"/>
  <c r="S1504" i="15" s="1"/>
  <c r="V1505" i="15"/>
  <c r="S1505" i="15" s="1"/>
  <c r="V1506" i="15"/>
  <c r="S1506" i="15" s="1"/>
  <c r="V1507" i="15"/>
  <c r="S1507" i="15" s="1"/>
  <c r="V1508" i="15"/>
  <c r="S1508" i="15" s="1"/>
  <c r="V1509" i="15"/>
  <c r="S1509" i="15" s="1"/>
  <c r="V1510" i="15"/>
  <c r="S1510" i="15" s="1"/>
  <c r="V1511" i="15"/>
  <c r="S1511" i="15" s="1"/>
  <c r="V1512" i="15"/>
  <c r="S1512" i="15" s="1"/>
  <c r="V1513" i="15"/>
  <c r="S1513" i="15" s="1"/>
  <c r="V1514" i="15"/>
  <c r="S1514" i="15" s="1"/>
  <c r="V1515" i="15"/>
  <c r="S1515" i="15" s="1"/>
  <c r="V1516" i="15"/>
  <c r="S1516" i="15" s="1"/>
  <c r="V1517" i="15"/>
  <c r="S1517" i="15" s="1"/>
  <c r="V1518" i="15"/>
  <c r="S1518" i="15" s="1"/>
  <c r="V1519" i="15"/>
  <c r="S1519" i="15" s="1"/>
  <c r="V1520" i="15"/>
  <c r="S1520" i="15" s="1"/>
  <c r="V1521" i="15"/>
  <c r="S1521" i="15" s="1"/>
  <c r="V1522" i="15"/>
  <c r="S1522" i="15" s="1"/>
  <c r="V1523" i="15"/>
  <c r="S1523" i="15" s="1"/>
  <c r="V1524" i="15"/>
  <c r="S1524" i="15" s="1"/>
  <c r="V1525" i="15"/>
  <c r="S1525" i="15" s="1"/>
  <c r="V1526" i="15"/>
  <c r="S1526" i="15" s="1"/>
  <c r="V1527" i="15"/>
  <c r="S1527" i="15" s="1"/>
  <c r="V1528" i="15"/>
  <c r="S1528" i="15" s="1"/>
  <c r="V1529" i="15"/>
  <c r="S1529" i="15" s="1"/>
  <c r="V1530" i="15"/>
  <c r="S1530" i="15" s="1"/>
  <c r="V1531" i="15"/>
  <c r="S1531" i="15" s="1"/>
  <c r="V1532" i="15"/>
  <c r="S1532" i="15" s="1"/>
  <c r="V1533" i="15"/>
  <c r="S1533" i="15" s="1"/>
  <c r="V1534" i="15"/>
  <c r="S1534" i="15" s="1"/>
  <c r="V1535" i="15"/>
  <c r="S1535" i="15" s="1"/>
  <c r="V1536" i="15"/>
  <c r="S1536" i="15" s="1"/>
  <c r="V1537" i="15"/>
  <c r="S1537" i="15" s="1"/>
  <c r="V1538" i="15"/>
  <c r="S1538" i="15" s="1"/>
  <c r="V1539" i="15"/>
  <c r="S1539" i="15" s="1"/>
  <c r="V1540" i="15"/>
  <c r="S1540" i="15" s="1"/>
  <c r="V1541" i="15"/>
  <c r="S1541" i="15" s="1"/>
  <c r="V1542" i="15"/>
  <c r="S1542" i="15" s="1"/>
  <c r="V1543" i="15"/>
  <c r="S1543" i="15" s="1"/>
  <c r="V1544" i="15"/>
  <c r="S1544" i="15" s="1"/>
  <c r="V1545" i="15"/>
  <c r="S1545" i="15" s="1"/>
  <c r="V1546" i="15"/>
  <c r="S1546" i="15" s="1"/>
  <c r="V1547" i="15"/>
  <c r="S1547" i="15" s="1"/>
  <c r="V1548" i="15"/>
  <c r="S1548" i="15" s="1"/>
  <c r="V1549" i="15"/>
  <c r="S1549" i="15" s="1"/>
  <c r="V1550" i="15"/>
  <c r="S1550" i="15" s="1"/>
  <c r="V1551" i="15"/>
  <c r="S1551" i="15" s="1"/>
  <c r="V1552" i="15"/>
  <c r="S1552" i="15" s="1"/>
  <c r="V1553" i="15"/>
  <c r="S1553" i="15" s="1"/>
  <c r="V1554" i="15"/>
  <c r="S1554" i="15" s="1"/>
  <c r="V1555" i="15"/>
  <c r="S1555" i="15" s="1"/>
  <c r="V1556" i="15"/>
  <c r="S1556" i="15" s="1"/>
  <c r="V1557" i="15"/>
  <c r="S1557" i="15" s="1"/>
  <c r="V1558" i="15"/>
  <c r="S1558" i="15" s="1"/>
  <c r="V1559" i="15"/>
  <c r="S1559" i="15" s="1"/>
  <c r="V1560" i="15"/>
  <c r="S1560" i="15" s="1"/>
  <c r="V1561" i="15"/>
  <c r="S1561" i="15" s="1"/>
  <c r="V1562" i="15"/>
  <c r="S1562" i="15" s="1"/>
  <c r="V1563" i="15"/>
  <c r="S1563" i="15" s="1"/>
  <c r="V1564" i="15"/>
  <c r="S1564" i="15" s="1"/>
  <c r="V1565" i="15"/>
  <c r="S1565" i="15" s="1"/>
  <c r="V1566" i="15"/>
  <c r="S1566" i="15" s="1"/>
  <c r="V1567" i="15"/>
  <c r="S1567" i="15" s="1"/>
  <c r="V1568" i="15"/>
  <c r="S1568" i="15" s="1"/>
  <c r="V1569" i="15"/>
  <c r="S1569" i="15" s="1"/>
  <c r="V1570" i="15"/>
  <c r="S1570" i="15" s="1"/>
  <c r="V1571" i="15"/>
  <c r="S1571" i="15" s="1"/>
  <c r="V1572" i="15"/>
  <c r="S1572" i="15" s="1"/>
  <c r="V1573" i="15"/>
  <c r="S1573" i="15" s="1"/>
  <c r="V1574" i="15"/>
  <c r="S1574" i="15" s="1"/>
  <c r="V1575" i="15"/>
  <c r="S1575" i="15" s="1"/>
  <c r="V1576" i="15"/>
  <c r="S1576" i="15" s="1"/>
  <c r="V1577" i="15"/>
  <c r="S1577" i="15" s="1"/>
  <c r="V1578" i="15"/>
  <c r="S1578" i="15" s="1"/>
  <c r="V1579" i="15"/>
  <c r="S1579" i="15" s="1"/>
  <c r="V1580" i="15"/>
  <c r="S1580" i="15" s="1"/>
  <c r="V1581" i="15"/>
  <c r="S1581" i="15" s="1"/>
  <c r="V1582" i="15"/>
  <c r="S1582" i="15" s="1"/>
  <c r="V1583" i="15"/>
  <c r="S1583" i="15" s="1"/>
  <c r="V1584" i="15"/>
  <c r="S1584" i="15" s="1"/>
  <c r="V1587" i="15"/>
  <c r="S1587" i="15" s="1"/>
  <c r="V1588" i="15"/>
  <c r="S1588" i="15" s="1"/>
  <c r="V1589" i="15"/>
  <c r="S1589" i="15" s="1"/>
  <c r="V1590" i="15"/>
  <c r="S1590" i="15" s="1"/>
  <c r="V1591" i="15"/>
  <c r="S1591" i="15" s="1"/>
  <c r="V1592" i="15"/>
  <c r="S1592" i="15" s="1"/>
  <c r="V1593" i="15"/>
  <c r="S1593" i="15" s="1"/>
  <c r="V1594" i="15"/>
  <c r="S1594" i="15" s="1"/>
  <c r="V1595" i="15"/>
  <c r="S1595" i="15" s="1"/>
  <c r="V1596" i="15"/>
  <c r="S1596" i="15" s="1"/>
  <c r="V1597" i="15"/>
  <c r="S1597" i="15" s="1"/>
  <c r="V1598" i="15"/>
  <c r="S1598" i="15" s="1"/>
  <c r="V1599" i="15"/>
  <c r="S1599" i="15" s="1"/>
  <c r="V1600" i="15"/>
  <c r="S1600" i="15" s="1"/>
  <c r="V1601" i="15"/>
  <c r="S1601" i="15" s="1"/>
  <c r="V1602" i="15"/>
  <c r="S1602" i="15" s="1"/>
  <c r="V1603" i="15"/>
  <c r="S1603" i="15" s="1"/>
  <c r="V1604" i="15"/>
  <c r="S1604" i="15" s="1"/>
  <c r="V1605" i="15"/>
  <c r="S1605" i="15" s="1"/>
  <c r="V1606" i="15"/>
  <c r="S1606" i="15" s="1"/>
  <c r="V1607" i="15"/>
  <c r="S1607" i="15" s="1"/>
  <c r="V1608" i="15"/>
  <c r="S1608" i="15" s="1"/>
  <c r="V1609" i="15"/>
  <c r="S1609" i="15" s="1"/>
  <c r="V1610" i="15"/>
  <c r="S1610" i="15" s="1"/>
  <c r="V1611" i="15"/>
  <c r="S1611" i="15" s="1"/>
  <c r="V1612" i="15"/>
  <c r="S1612" i="15" s="1"/>
  <c r="V1613" i="15"/>
  <c r="S1613" i="15" s="1"/>
  <c r="V1614" i="15"/>
  <c r="S1614" i="15" s="1"/>
  <c r="V1615" i="15"/>
  <c r="S1615" i="15" s="1"/>
  <c r="V1616" i="15"/>
  <c r="S1616" i="15" s="1"/>
  <c r="V1617" i="15"/>
  <c r="S1617" i="15" s="1"/>
  <c r="V1618" i="15"/>
  <c r="S1618" i="15" s="1"/>
  <c r="V1619" i="15"/>
  <c r="S1619" i="15" s="1"/>
  <c r="V1620" i="15"/>
  <c r="S1620" i="15" s="1"/>
  <c r="V1621" i="15"/>
  <c r="S1621" i="15" s="1"/>
  <c r="V1622" i="15"/>
  <c r="S1622" i="15" s="1"/>
  <c r="V1623" i="15"/>
  <c r="S1623" i="15" s="1"/>
  <c r="V1624" i="15"/>
  <c r="S1624" i="15" s="1"/>
  <c r="V1625" i="15"/>
  <c r="S1625" i="15" s="1"/>
  <c r="V1626" i="15"/>
  <c r="S1626" i="15" s="1"/>
  <c r="V1627" i="15"/>
  <c r="S1627" i="15" s="1"/>
  <c r="V1628" i="15"/>
  <c r="S1628" i="15" s="1"/>
  <c r="V1629" i="15"/>
  <c r="S1629" i="15" s="1"/>
  <c r="V1630" i="15"/>
  <c r="S1630" i="15" s="1"/>
  <c r="V1631" i="15"/>
  <c r="S1631" i="15" s="1"/>
  <c r="V1632" i="15"/>
  <c r="S1632" i="15" s="1"/>
  <c r="V1633" i="15"/>
  <c r="S1633" i="15" s="1"/>
  <c r="V1634" i="15"/>
  <c r="S1634" i="15" s="1"/>
  <c r="V1635" i="15"/>
  <c r="S1635" i="15" s="1"/>
  <c r="V1636" i="15"/>
  <c r="S1636" i="15" s="1"/>
  <c r="V1637" i="15"/>
  <c r="S1637" i="15" s="1"/>
  <c r="V1638" i="15"/>
  <c r="S1638" i="15" s="1"/>
  <c r="V1639" i="15"/>
  <c r="S1639" i="15" s="1"/>
  <c r="V1640" i="15"/>
  <c r="S1640" i="15" s="1"/>
  <c r="V1641" i="15"/>
  <c r="S1641" i="15" s="1"/>
  <c r="V1642" i="15"/>
  <c r="S1642" i="15" s="1"/>
  <c r="V1643" i="15"/>
  <c r="S1643" i="15" s="1"/>
  <c r="V1644" i="15"/>
  <c r="S1644" i="15" s="1"/>
  <c r="V1645" i="15"/>
  <c r="S1645" i="15" s="1"/>
  <c r="V1646" i="15"/>
  <c r="S1646" i="15" s="1"/>
  <c r="V1647" i="15"/>
  <c r="S1647" i="15" s="1"/>
  <c r="V1648" i="15"/>
  <c r="S1648" i="15" s="1"/>
  <c r="V1649" i="15"/>
  <c r="S1649" i="15" s="1"/>
  <c r="V1650" i="15"/>
  <c r="S1650" i="15" s="1"/>
  <c r="V1651" i="15"/>
  <c r="S1651" i="15" s="1"/>
  <c r="V1652" i="15"/>
  <c r="S1652" i="15" s="1"/>
  <c r="V1653" i="15"/>
  <c r="S1653" i="15" s="1"/>
  <c r="V1654" i="15"/>
  <c r="S1654" i="15" s="1"/>
  <c r="V1655" i="15"/>
  <c r="S1655" i="15" s="1"/>
  <c r="V1656" i="15"/>
  <c r="S1656" i="15" s="1"/>
  <c r="V1657" i="15"/>
  <c r="S1657" i="15" s="1"/>
  <c r="V1658" i="15"/>
  <c r="S1658" i="15" s="1"/>
  <c r="V1659" i="15"/>
  <c r="S1659" i="15" s="1"/>
  <c r="V1660" i="15"/>
  <c r="S1660" i="15" s="1"/>
  <c r="V1661" i="15"/>
  <c r="S1661" i="15" s="1"/>
  <c r="V1662" i="15"/>
  <c r="S1662" i="15" s="1"/>
  <c r="V1663" i="15"/>
  <c r="S1663" i="15" s="1"/>
  <c r="V1664" i="15"/>
  <c r="S1664" i="15" s="1"/>
  <c r="V1665" i="15"/>
  <c r="S1665" i="15" s="1"/>
  <c r="V1666" i="15"/>
  <c r="S1666" i="15" s="1"/>
  <c r="V1667" i="15"/>
  <c r="S1667" i="15" s="1"/>
  <c r="V1668" i="15"/>
  <c r="S1668" i="15" s="1"/>
  <c r="V1669" i="15"/>
  <c r="S1669" i="15" s="1"/>
  <c r="V1670" i="15"/>
  <c r="S1670" i="15" s="1"/>
  <c r="V1671" i="15"/>
  <c r="S1671" i="15" s="1"/>
  <c r="V1672" i="15"/>
  <c r="S1672" i="15" s="1"/>
  <c r="V1673" i="15"/>
  <c r="S1673" i="15" s="1"/>
  <c r="V1674" i="15"/>
  <c r="S1674" i="15" s="1"/>
  <c r="V1675" i="15"/>
  <c r="S1675" i="15" s="1"/>
  <c r="V1676" i="15"/>
  <c r="S1676" i="15" s="1"/>
  <c r="V1677" i="15"/>
  <c r="S1677" i="15" s="1"/>
  <c r="V1678" i="15"/>
  <c r="S1678" i="15" s="1"/>
  <c r="V1679" i="15"/>
  <c r="S1679" i="15" s="1"/>
  <c r="V1680" i="15"/>
  <c r="S1680" i="15" s="1"/>
  <c r="V1681" i="15"/>
  <c r="S1681" i="15" s="1"/>
  <c r="V1682" i="15"/>
  <c r="S1682" i="15" s="1"/>
  <c r="V1683" i="15"/>
  <c r="S1683" i="15" s="1"/>
  <c r="V1684" i="15"/>
  <c r="S1684" i="15" s="1"/>
  <c r="V1685" i="15"/>
  <c r="S1685" i="15" s="1"/>
  <c r="V1686" i="15"/>
  <c r="S1686" i="15" s="1"/>
  <c r="V1687" i="15"/>
  <c r="S1687" i="15" s="1"/>
  <c r="V1688" i="15"/>
  <c r="S1688" i="15" s="1"/>
  <c r="V1689" i="15"/>
  <c r="S1689" i="15" s="1"/>
  <c r="V1690" i="15"/>
  <c r="S1690" i="15" s="1"/>
  <c r="V1691" i="15"/>
  <c r="S1691" i="15" s="1"/>
  <c r="V1692" i="15"/>
  <c r="S1692" i="15" s="1"/>
  <c r="V1693" i="15"/>
  <c r="S1693" i="15" s="1"/>
  <c r="V1694" i="15"/>
  <c r="S1694" i="15" s="1"/>
  <c r="V1695" i="15"/>
  <c r="S1695" i="15" s="1"/>
  <c r="V1696" i="15"/>
  <c r="S1696" i="15" s="1"/>
  <c r="V1697" i="15"/>
  <c r="S1697" i="15" s="1"/>
  <c r="V1698" i="15"/>
  <c r="S1698" i="15" s="1"/>
  <c r="V1699" i="15"/>
  <c r="S1699" i="15" s="1"/>
  <c r="V1700" i="15"/>
  <c r="S1700" i="15" s="1"/>
  <c r="V1701" i="15"/>
  <c r="S1701" i="15" s="1"/>
  <c r="V1702" i="15"/>
  <c r="S1702" i="15" s="1"/>
  <c r="V1703" i="15"/>
  <c r="S1703" i="15" s="1"/>
  <c r="V1704" i="15"/>
  <c r="S1704" i="15" s="1"/>
  <c r="V1705" i="15"/>
  <c r="S1705" i="15" s="1"/>
  <c r="V1706" i="15"/>
  <c r="S1706" i="15" s="1"/>
  <c r="V1707" i="15"/>
  <c r="S1707" i="15" s="1"/>
  <c r="V1708" i="15"/>
  <c r="S1708" i="15" s="1"/>
  <c r="V1709" i="15"/>
  <c r="S1709" i="15" s="1"/>
  <c r="V1710" i="15"/>
  <c r="S1710" i="15" s="1"/>
  <c r="V1711" i="15"/>
  <c r="S1711" i="15" s="1"/>
  <c r="V1712" i="15"/>
  <c r="S1712" i="15" s="1"/>
  <c r="V1713" i="15"/>
  <c r="S1713" i="15" s="1"/>
  <c r="V1714" i="15"/>
  <c r="S1714" i="15" s="1"/>
  <c r="V1715" i="15"/>
  <c r="S1715" i="15" s="1"/>
  <c r="V1716" i="15"/>
  <c r="S1716" i="15" s="1"/>
  <c r="V1717" i="15"/>
  <c r="S1717" i="15" s="1"/>
  <c r="V1718" i="15"/>
  <c r="S1718" i="15" s="1"/>
  <c r="V1719" i="15"/>
  <c r="S1719" i="15" s="1"/>
  <c r="V1720" i="15"/>
  <c r="S1720" i="15" s="1"/>
  <c r="V1721" i="15"/>
  <c r="S1721" i="15" s="1"/>
  <c r="V1722" i="15"/>
  <c r="S1722" i="15" s="1"/>
  <c r="V1723" i="15"/>
  <c r="S1723" i="15" s="1"/>
  <c r="V1724" i="15"/>
  <c r="S1724" i="15" s="1"/>
  <c r="V1725" i="15"/>
  <c r="S1725" i="15" s="1"/>
  <c r="V1726" i="15"/>
  <c r="S1726" i="15" s="1"/>
  <c r="V1727" i="15"/>
  <c r="S1727" i="15" s="1"/>
  <c r="V1728" i="15"/>
  <c r="S1728" i="15" s="1"/>
  <c r="V1729" i="15"/>
  <c r="S1729" i="15" s="1"/>
  <c r="V1730" i="15"/>
  <c r="S1730" i="15" s="1"/>
  <c r="V1731" i="15"/>
  <c r="S1731" i="15" s="1"/>
  <c r="V1732" i="15"/>
  <c r="S1732" i="15" s="1"/>
  <c r="V1733" i="15"/>
  <c r="S1733" i="15" s="1"/>
  <c r="V1734" i="15"/>
  <c r="S1734" i="15" s="1"/>
  <c r="V1735" i="15"/>
  <c r="S1735" i="15" s="1"/>
  <c r="V1736" i="15"/>
  <c r="S1736" i="15" s="1"/>
  <c r="V1737" i="15"/>
  <c r="S1737" i="15" s="1"/>
  <c r="V1738" i="15"/>
  <c r="S1738" i="15" s="1"/>
  <c r="V1739" i="15"/>
  <c r="S1739" i="15" s="1"/>
  <c r="V1740" i="15"/>
  <c r="S1740" i="15" s="1"/>
  <c r="V1741" i="15"/>
  <c r="S1741" i="15" s="1"/>
  <c r="V1742" i="15"/>
  <c r="S1742" i="15" s="1"/>
  <c r="V1743" i="15"/>
  <c r="S1743" i="15" s="1"/>
  <c r="V1744" i="15"/>
  <c r="S1744" i="15" s="1"/>
  <c r="V1745" i="15"/>
  <c r="S1745" i="15" s="1"/>
  <c r="V1746" i="15"/>
  <c r="S1746" i="15" s="1"/>
  <c r="V1747" i="15"/>
  <c r="S1747" i="15" s="1"/>
  <c r="V1748" i="15"/>
  <c r="S1748" i="15" s="1"/>
  <c r="V1749" i="15"/>
  <c r="S1749" i="15" s="1"/>
  <c r="V1750" i="15"/>
  <c r="S1750" i="15" s="1"/>
  <c r="V1751" i="15"/>
  <c r="S1751" i="15" s="1"/>
  <c r="V1752" i="15"/>
  <c r="S1752" i="15" s="1"/>
  <c r="V1753" i="15"/>
  <c r="S1753" i="15" s="1"/>
  <c r="V1754" i="15"/>
  <c r="S1754" i="15" s="1"/>
  <c r="V1755" i="15"/>
  <c r="S1755" i="15" s="1"/>
  <c r="V1756" i="15"/>
  <c r="S1756" i="15" s="1"/>
  <c r="V1757" i="15"/>
  <c r="S1757" i="15" s="1"/>
  <c r="V1758" i="15"/>
  <c r="S1758" i="15" s="1"/>
  <c r="V1759" i="15"/>
  <c r="S1759" i="15" s="1"/>
  <c r="V1760" i="15"/>
  <c r="S1760" i="15" s="1"/>
  <c r="V1761" i="15"/>
  <c r="S1761" i="15" s="1"/>
  <c r="V1762" i="15"/>
  <c r="S1762" i="15" s="1"/>
  <c r="V1763" i="15"/>
  <c r="S1763" i="15" s="1"/>
  <c r="V1764" i="15"/>
  <c r="S1764" i="15" s="1"/>
  <c r="V1765" i="15"/>
  <c r="S1765" i="15" s="1"/>
  <c r="V1766" i="15"/>
  <c r="S1766" i="15" s="1"/>
  <c r="V1767" i="15"/>
  <c r="S1767" i="15" s="1"/>
  <c r="V1768" i="15"/>
  <c r="S1768" i="15" s="1"/>
  <c r="V1769" i="15"/>
  <c r="S1769" i="15" s="1"/>
  <c r="V1770" i="15"/>
  <c r="S1770" i="15" s="1"/>
  <c r="V1771" i="15"/>
  <c r="S1771" i="15" s="1"/>
  <c r="V1772" i="15"/>
  <c r="S1772" i="15" s="1"/>
  <c r="V1773" i="15"/>
  <c r="S1773" i="15" s="1"/>
  <c r="V1774" i="15"/>
  <c r="S1774" i="15" s="1"/>
  <c r="V1775" i="15"/>
  <c r="S1775" i="15" s="1"/>
  <c r="V1776" i="15"/>
  <c r="S1776" i="15" s="1"/>
  <c r="V1777" i="15"/>
  <c r="S1777" i="15" s="1"/>
  <c r="V1778" i="15"/>
  <c r="S1778" i="15" s="1"/>
  <c r="V1779" i="15"/>
  <c r="S1779" i="15" s="1"/>
  <c r="V1780" i="15"/>
  <c r="S1780" i="15" s="1"/>
  <c r="V1781" i="15"/>
  <c r="S1781" i="15" s="1"/>
  <c r="V1782" i="15"/>
  <c r="S1782" i="15" s="1"/>
  <c r="V1783" i="15"/>
  <c r="S1783" i="15" s="1"/>
  <c r="V1784" i="15"/>
  <c r="S1784" i="15" s="1"/>
  <c r="V1785" i="15"/>
  <c r="S1785" i="15" s="1"/>
  <c r="V1786" i="15"/>
  <c r="S1786" i="15" s="1"/>
  <c r="V1787" i="15"/>
  <c r="S1787" i="15" s="1"/>
  <c r="V1788" i="15"/>
  <c r="S1788" i="15" s="1"/>
  <c r="V1789" i="15"/>
  <c r="S1789" i="15" s="1"/>
  <c r="V1790" i="15"/>
  <c r="S1790" i="15" s="1"/>
  <c r="V1791" i="15"/>
  <c r="S1791" i="15" s="1"/>
  <c r="V1792" i="15"/>
  <c r="S1792" i="15" s="1"/>
  <c r="V1793" i="15"/>
  <c r="S1793" i="15" s="1"/>
  <c r="V1794" i="15"/>
  <c r="S1794" i="15" s="1"/>
  <c r="V1795" i="15"/>
  <c r="S1795" i="15" s="1"/>
  <c r="V1796" i="15"/>
  <c r="S1796" i="15" s="1"/>
  <c r="V1797" i="15"/>
  <c r="S1797" i="15" s="1"/>
  <c r="V1798" i="15"/>
  <c r="S1798" i="15" s="1"/>
  <c r="V1799" i="15"/>
  <c r="S1799" i="15" s="1"/>
  <c r="V1800" i="15"/>
  <c r="S1800" i="15" s="1"/>
  <c r="V1801" i="15"/>
  <c r="S1801" i="15" s="1"/>
  <c r="V1802" i="15"/>
  <c r="S1802" i="15" s="1"/>
  <c r="V1803" i="15"/>
  <c r="S1803" i="15" s="1"/>
  <c r="V1804" i="15"/>
  <c r="S1804" i="15" s="1"/>
  <c r="V1805" i="15"/>
  <c r="S1805" i="15" s="1"/>
  <c r="V1806" i="15"/>
  <c r="S1806" i="15" s="1"/>
  <c r="V1807" i="15"/>
  <c r="S1807" i="15" s="1"/>
  <c r="V1808" i="15"/>
  <c r="S1808" i="15" s="1"/>
  <c r="V1809" i="15"/>
  <c r="S1809" i="15" s="1"/>
  <c r="V1810" i="15"/>
  <c r="S1810" i="15" s="1"/>
  <c r="V1811" i="15"/>
  <c r="S1811" i="15" s="1"/>
  <c r="V1812" i="15"/>
  <c r="S1812" i="15" s="1"/>
  <c r="V1813" i="15"/>
  <c r="S1813" i="15" s="1"/>
  <c r="V1814" i="15"/>
  <c r="S1814" i="15" s="1"/>
  <c r="V1815" i="15"/>
  <c r="S1815" i="15" s="1"/>
  <c r="V1816" i="15"/>
  <c r="S1816" i="15" s="1"/>
  <c r="V1817" i="15"/>
  <c r="S1817" i="15" s="1"/>
  <c r="V1818" i="15"/>
  <c r="S1818" i="15" s="1"/>
  <c r="V1819" i="15"/>
  <c r="S1819" i="15" s="1"/>
  <c r="V1820" i="15"/>
  <c r="S1820" i="15" s="1"/>
  <c r="V1821" i="15"/>
  <c r="S1821" i="15" s="1"/>
  <c r="V1822" i="15"/>
  <c r="S1822" i="15" s="1"/>
  <c r="V1823" i="15"/>
  <c r="S1823" i="15" s="1"/>
  <c r="V1824" i="15"/>
  <c r="S1824" i="15" s="1"/>
  <c r="V1825" i="15"/>
  <c r="S1825" i="15" s="1"/>
  <c r="V1826" i="15"/>
  <c r="S1826" i="15" s="1"/>
  <c r="V1827" i="15"/>
  <c r="S1827" i="15" s="1"/>
  <c r="V1828" i="15"/>
  <c r="S1828" i="15" s="1"/>
  <c r="V1829" i="15"/>
  <c r="S1829" i="15" s="1"/>
  <c r="V1830" i="15"/>
  <c r="S1830" i="15" s="1"/>
  <c r="V1831" i="15"/>
  <c r="S1831" i="15" s="1"/>
  <c r="V1832" i="15"/>
  <c r="S1832" i="15" s="1"/>
  <c r="V1833" i="15"/>
  <c r="S1833" i="15" s="1"/>
  <c r="V1834" i="15"/>
  <c r="S1834" i="15" s="1"/>
  <c r="V1835" i="15"/>
  <c r="S1835" i="15" s="1"/>
  <c r="V1836" i="15"/>
  <c r="S1836" i="15" s="1"/>
  <c r="V1837" i="15"/>
  <c r="S1837" i="15" s="1"/>
  <c r="V1838" i="15"/>
  <c r="S1838" i="15" s="1"/>
  <c r="V1839" i="15"/>
  <c r="S1839" i="15" s="1"/>
  <c r="V1840" i="15"/>
  <c r="S1840" i="15" s="1"/>
  <c r="V1841" i="15"/>
  <c r="S1841" i="15" s="1"/>
  <c r="V1842" i="15"/>
  <c r="S1842" i="15" s="1"/>
  <c r="V1843" i="15"/>
  <c r="S1843" i="15" s="1"/>
  <c r="V1844" i="15"/>
  <c r="S1844" i="15" s="1"/>
  <c r="V1845" i="15"/>
  <c r="S1845" i="15" s="1"/>
  <c r="V1846" i="15"/>
  <c r="S1846" i="15" s="1"/>
  <c r="V1847" i="15"/>
  <c r="S1847" i="15" s="1"/>
  <c r="V1848" i="15"/>
  <c r="S1848" i="15" s="1"/>
  <c r="V1849" i="15"/>
  <c r="S1849" i="15" s="1"/>
  <c r="V1850" i="15"/>
  <c r="S1850" i="15" s="1"/>
  <c r="V1851" i="15"/>
  <c r="S1851" i="15" s="1"/>
  <c r="V1852" i="15"/>
  <c r="S1852" i="15" s="1"/>
  <c r="V1853" i="15"/>
  <c r="S1853" i="15" s="1"/>
  <c r="V1854" i="15"/>
  <c r="S1854" i="15" s="1"/>
  <c r="V1855" i="15"/>
  <c r="S1855" i="15" s="1"/>
  <c r="V1856" i="15"/>
  <c r="S1856" i="15" s="1"/>
  <c r="V1857" i="15"/>
  <c r="S1857" i="15" s="1"/>
  <c r="V1858" i="15"/>
  <c r="S1858" i="15" s="1"/>
  <c r="V1859" i="15"/>
  <c r="S1859" i="15" s="1"/>
  <c r="V1860" i="15"/>
  <c r="S1860" i="15" s="1"/>
  <c r="V1861" i="15"/>
  <c r="S1861" i="15" s="1"/>
  <c r="V1862" i="15"/>
  <c r="S1862" i="15" s="1"/>
  <c r="V1863" i="15"/>
  <c r="S1863" i="15" s="1"/>
  <c r="V1864" i="15"/>
  <c r="S1864" i="15" s="1"/>
  <c r="V1865" i="15"/>
  <c r="S1865" i="15" s="1"/>
  <c r="V1866" i="15"/>
  <c r="S1866" i="15" s="1"/>
  <c r="V1867" i="15"/>
  <c r="S1867" i="15" s="1"/>
  <c r="V1868" i="15"/>
  <c r="S1868" i="15" s="1"/>
  <c r="V1869" i="15"/>
  <c r="S1869" i="15" s="1"/>
  <c r="V1870" i="15"/>
  <c r="S1870" i="15" s="1"/>
  <c r="V1871" i="15"/>
  <c r="S1871" i="15" s="1"/>
  <c r="V1872" i="15"/>
  <c r="S1872" i="15" s="1"/>
  <c r="V1873" i="15"/>
  <c r="S1873" i="15" s="1"/>
  <c r="V1874" i="15"/>
  <c r="S1874" i="15" s="1"/>
  <c r="V1875" i="15"/>
  <c r="S1875" i="15" s="1"/>
  <c r="V1876" i="15"/>
  <c r="S1876" i="15" s="1"/>
  <c r="V1877" i="15"/>
  <c r="S1877" i="15" s="1"/>
  <c r="V1878" i="15"/>
  <c r="S1878" i="15" s="1"/>
  <c r="V1879" i="15"/>
  <c r="S1879" i="15" s="1"/>
  <c r="V1880" i="15"/>
  <c r="S1880" i="15" s="1"/>
  <c r="V1881" i="15"/>
  <c r="S1881" i="15" s="1"/>
  <c r="V1882" i="15"/>
  <c r="S1882" i="15" s="1"/>
  <c r="V1883" i="15"/>
  <c r="S1883" i="15" s="1"/>
  <c r="V1884" i="15"/>
  <c r="S1884" i="15" s="1"/>
  <c r="V1885" i="15"/>
  <c r="S1885" i="15" s="1"/>
  <c r="V1886" i="15"/>
  <c r="S1886" i="15" s="1"/>
  <c r="V1887" i="15"/>
  <c r="S1887" i="15" s="1"/>
  <c r="V1888" i="15"/>
  <c r="S1888" i="15" s="1"/>
  <c r="V1889" i="15"/>
  <c r="S1889" i="15" s="1"/>
  <c r="V1890" i="15"/>
  <c r="S1890" i="15" s="1"/>
  <c r="V1891" i="15"/>
  <c r="S1891" i="15" s="1"/>
  <c r="V1892" i="15"/>
  <c r="S1892" i="15" s="1"/>
  <c r="V1893" i="15"/>
  <c r="S1893" i="15" s="1"/>
  <c r="V1894" i="15"/>
  <c r="S1894" i="15" s="1"/>
  <c r="V1895" i="15"/>
  <c r="S1895" i="15" s="1"/>
  <c r="V1896" i="15"/>
  <c r="S1896" i="15" s="1"/>
  <c r="V1897" i="15"/>
  <c r="S1897" i="15" s="1"/>
  <c r="V1898" i="15"/>
  <c r="S1898" i="15" s="1"/>
  <c r="V1899" i="15"/>
  <c r="S1899" i="15" s="1"/>
  <c r="V1900" i="15"/>
  <c r="S1900" i="15" s="1"/>
  <c r="V1901" i="15"/>
  <c r="S1901" i="15" s="1"/>
  <c r="V1902" i="15"/>
  <c r="S1902" i="15" s="1"/>
  <c r="V1903" i="15"/>
  <c r="S1903" i="15" s="1"/>
  <c r="V1904" i="15"/>
  <c r="S1904" i="15" s="1"/>
  <c r="V1905" i="15"/>
  <c r="S1905" i="15" s="1"/>
  <c r="V1906" i="15"/>
  <c r="S1906" i="15" s="1"/>
  <c r="V1907" i="15"/>
  <c r="S1907" i="15" s="1"/>
  <c r="V1908" i="15"/>
  <c r="S1908" i="15" s="1"/>
  <c r="V1909" i="15"/>
  <c r="S1909" i="15" s="1"/>
  <c r="V1910" i="15"/>
  <c r="S1910" i="15" s="1"/>
  <c r="V1911" i="15"/>
  <c r="S1911" i="15" s="1"/>
  <c r="V1912" i="15"/>
  <c r="S1912" i="15" s="1"/>
  <c r="V1913" i="15"/>
  <c r="S1913" i="15" s="1"/>
  <c r="V1914" i="15"/>
  <c r="S1914" i="15" s="1"/>
  <c r="V1915" i="15"/>
  <c r="S1915" i="15" s="1"/>
  <c r="V1916" i="15"/>
  <c r="S1916" i="15" s="1"/>
  <c r="V1917" i="15"/>
  <c r="S1917" i="15" s="1"/>
  <c r="V1918" i="15"/>
  <c r="S1918" i="15" s="1"/>
  <c r="V1919" i="15"/>
  <c r="S1919" i="15" s="1"/>
  <c r="V1920" i="15"/>
  <c r="S1920" i="15" s="1"/>
  <c r="V1921" i="15"/>
  <c r="S1921" i="15" s="1"/>
  <c r="V1922" i="15"/>
  <c r="S1922" i="15" s="1"/>
  <c r="V1923" i="15"/>
  <c r="S1923" i="15" s="1"/>
  <c r="V1924" i="15"/>
  <c r="S1924" i="15" s="1"/>
  <c r="V1925" i="15"/>
  <c r="S1925" i="15" s="1"/>
  <c r="V1926" i="15"/>
  <c r="S1926" i="15" s="1"/>
  <c r="V1927" i="15"/>
  <c r="S1927" i="15" s="1"/>
  <c r="V1928" i="15"/>
  <c r="S1928" i="15" s="1"/>
  <c r="V1929" i="15"/>
  <c r="S1929" i="15" s="1"/>
  <c r="V1930" i="15"/>
  <c r="S1930" i="15" s="1"/>
  <c r="V1931" i="15"/>
  <c r="S1931" i="15" s="1"/>
  <c r="V1932" i="15"/>
  <c r="S1932" i="15" s="1"/>
  <c r="V1933" i="15"/>
  <c r="S1933" i="15" s="1"/>
  <c r="V1934" i="15"/>
  <c r="S1934" i="15" s="1"/>
  <c r="V1935" i="15"/>
  <c r="S1935" i="15" s="1"/>
  <c r="V1936" i="15"/>
  <c r="S1936" i="15" s="1"/>
  <c r="V1937" i="15"/>
  <c r="S1937" i="15" s="1"/>
  <c r="V1938" i="15"/>
  <c r="S1938" i="15" s="1"/>
  <c r="V1939" i="15"/>
  <c r="S1939" i="15" s="1"/>
  <c r="V1940" i="15"/>
  <c r="S1940" i="15" s="1"/>
  <c r="V1941" i="15"/>
  <c r="S1941" i="15" s="1"/>
  <c r="V1942" i="15"/>
  <c r="S1942" i="15" s="1"/>
  <c r="V1943" i="15"/>
  <c r="S1943" i="15" s="1"/>
  <c r="V1944" i="15"/>
  <c r="S1944" i="15" s="1"/>
  <c r="V1945" i="15"/>
  <c r="S1945" i="15" s="1"/>
  <c r="V1946" i="15"/>
  <c r="S1946" i="15" s="1"/>
  <c r="V1947" i="15"/>
  <c r="S1947" i="15" s="1"/>
  <c r="V1948" i="15"/>
  <c r="S1948" i="15" s="1"/>
  <c r="V1949" i="15"/>
  <c r="S1949" i="15" s="1"/>
  <c r="V1950" i="15"/>
  <c r="S1950" i="15" s="1"/>
  <c r="V1951" i="15"/>
  <c r="S1951" i="15" s="1"/>
  <c r="V1952" i="15"/>
  <c r="S1952" i="15" s="1"/>
  <c r="V1953" i="15"/>
  <c r="S1953" i="15" s="1"/>
  <c r="V1954" i="15"/>
  <c r="S1954" i="15" s="1"/>
  <c r="V1955" i="15"/>
  <c r="S1955" i="15" s="1"/>
  <c r="V1956" i="15"/>
  <c r="S1956" i="15" s="1"/>
  <c r="V1957" i="15"/>
  <c r="S1957" i="15" s="1"/>
  <c r="V1958" i="15"/>
  <c r="S1958" i="15" s="1"/>
  <c r="V1959" i="15"/>
  <c r="S1959" i="15" s="1"/>
  <c r="V1960" i="15"/>
  <c r="S1960" i="15" s="1"/>
  <c r="V1961" i="15"/>
  <c r="S1961" i="15" s="1"/>
  <c r="V1962" i="15"/>
  <c r="S1962" i="15" s="1"/>
  <c r="V1963" i="15"/>
  <c r="S1963" i="15" s="1"/>
  <c r="V1964" i="15"/>
  <c r="S1964" i="15" s="1"/>
  <c r="V1965" i="15"/>
  <c r="S1965" i="15" s="1"/>
  <c r="V1966" i="15"/>
  <c r="S1966" i="15" s="1"/>
  <c r="V1967" i="15"/>
  <c r="S1967" i="15" s="1"/>
  <c r="V1968" i="15"/>
  <c r="S1968" i="15" s="1"/>
  <c r="V1969" i="15"/>
  <c r="S1969" i="15" s="1"/>
  <c r="V1970" i="15"/>
  <c r="S1970" i="15" s="1"/>
  <c r="V1971" i="15"/>
  <c r="S1971" i="15" s="1"/>
  <c r="V1972" i="15"/>
  <c r="S1972" i="15" s="1"/>
  <c r="V1973" i="15"/>
  <c r="S1973" i="15" s="1"/>
  <c r="V1974" i="15"/>
  <c r="S1974" i="15" s="1"/>
  <c r="V1975" i="15"/>
  <c r="S1975" i="15" s="1"/>
  <c r="V1976" i="15"/>
  <c r="S1976" i="15" s="1"/>
  <c r="V1977" i="15"/>
  <c r="S1977" i="15" s="1"/>
  <c r="V1978" i="15"/>
  <c r="S1978" i="15" s="1"/>
  <c r="V1979" i="15"/>
  <c r="S1979" i="15" s="1"/>
  <c r="V1980" i="15"/>
  <c r="S1980" i="15" s="1"/>
  <c r="V1981" i="15"/>
  <c r="S1981" i="15" s="1"/>
  <c r="V1982" i="15"/>
  <c r="S1982" i="15" s="1"/>
  <c r="V1983" i="15"/>
  <c r="S1983" i="15" s="1"/>
  <c r="V1984" i="15"/>
  <c r="S1984" i="15" s="1"/>
  <c r="V1985" i="15"/>
  <c r="S1985" i="15" s="1"/>
  <c r="V1986" i="15"/>
  <c r="S1986" i="15" s="1"/>
  <c r="V1987" i="15"/>
  <c r="S1987" i="15" s="1"/>
  <c r="V1988" i="15"/>
  <c r="S1988" i="15" s="1"/>
  <c r="V1989" i="15"/>
  <c r="S1989" i="15" s="1"/>
  <c r="V1990" i="15"/>
  <c r="S1990" i="15" s="1"/>
  <c r="V1991" i="15"/>
  <c r="S1991" i="15" s="1"/>
  <c r="V1992" i="15"/>
  <c r="S1992" i="15" s="1"/>
  <c r="V1993" i="15"/>
  <c r="S1993" i="15" s="1"/>
  <c r="V1994" i="15"/>
  <c r="S1994" i="15" s="1"/>
  <c r="V1995" i="15"/>
  <c r="S1995" i="15" s="1"/>
  <c r="V1996" i="15"/>
  <c r="S1996" i="15" s="1"/>
  <c r="V1997" i="15"/>
  <c r="S1997" i="15" s="1"/>
  <c r="V1998" i="15"/>
  <c r="S1998" i="15" s="1"/>
  <c r="V2" i="15"/>
  <c r="S2" i="15" s="1"/>
  <c r="Q28" i="15"/>
  <c r="Q714" i="15"/>
  <c r="T714" i="15"/>
  <c r="U714" i="15"/>
  <c r="Q715" i="15"/>
  <c r="T715" i="15"/>
  <c r="U715" i="15"/>
  <c r="Q716" i="15"/>
  <c r="T716" i="15"/>
  <c r="U716" i="15"/>
  <c r="Q717" i="15"/>
  <c r="T717" i="15"/>
  <c r="U717" i="15"/>
  <c r="Q718" i="15"/>
  <c r="T718" i="15"/>
  <c r="U718" i="15"/>
  <c r="Q719" i="15"/>
  <c r="T719" i="15"/>
  <c r="U719" i="15"/>
  <c r="Q720" i="15"/>
  <c r="T720" i="15"/>
  <c r="U720" i="15"/>
  <c r="Q721" i="15"/>
  <c r="T721" i="15"/>
  <c r="U721" i="15"/>
  <c r="Q722" i="15"/>
  <c r="T722" i="15"/>
  <c r="U722" i="15"/>
  <c r="Q723" i="15"/>
  <c r="T723" i="15"/>
  <c r="U723" i="15"/>
  <c r="Q724" i="15"/>
  <c r="T724" i="15"/>
  <c r="U724" i="15"/>
  <c r="Q725" i="15"/>
  <c r="T725" i="15"/>
  <c r="U725" i="15"/>
  <c r="Q726" i="15"/>
  <c r="T726" i="15"/>
  <c r="U726" i="15"/>
  <c r="Q727" i="15"/>
  <c r="T727" i="15"/>
  <c r="U727" i="15"/>
  <c r="Q728" i="15"/>
  <c r="T728" i="15"/>
  <c r="U728" i="15"/>
  <c r="Q729" i="15"/>
  <c r="T729" i="15"/>
  <c r="U729" i="15"/>
  <c r="Q730" i="15"/>
  <c r="T730" i="15"/>
  <c r="U730" i="15"/>
  <c r="Q731" i="15"/>
  <c r="T731" i="15"/>
  <c r="U731" i="15"/>
  <c r="Q732" i="15"/>
  <c r="T732" i="15"/>
  <c r="U732" i="15"/>
  <c r="Q733" i="15"/>
  <c r="T733" i="15"/>
  <c r="U733" i="15"/>
  <c r="Q734" i="15"/>
  <c r="T734" i="15"/>
  <c r="U734" i="15"/>
  <c r="Q735" i="15"/>
  <c r="T735" i="15"/>
  <c r="U735" i="15"/>
  <c r="Q736" i="15"/>
  <c r="T736" i="15"/>
  <c r="U736" i="15"/>
  <c r="Q737" i="15"/>
  <c r="T737" i="15"/>
  <c r="U737" i="15"/>
  <c r="Q738" i="15"/>
  <c r="T738" i="15"/>
  <c r="U738" i="15"/>
  <c r="Q739" i="15"/>
  <c r="T739" i="15"/>
  <c r="U739" i="15"/>
  <c r="Q740" i="15"/>
  <c r="T740" i="15"/>
  <c r="U740" i="15"/>
  <c r="Q741" i="15"/>
  <c r="T741" i="15"/>
  <c r="U741" i="15"/>
  <c r="Q742" i="15"/>
  <c r="T742" i="15"/>
  <c r="U742" i="15"/>
  <c r="Q743" i="15"/>
  <c r="T743" i="15"/>
  <c r="U743" i="15"/>
  <c r="Q744" i="15"/>
  <c r="T744" i="15"/>
  <c r="U744" i="15"/>
  <c r="Q745" i="15"/>
  <c r="T745" i="15"/>
  <c r="U745" i="15"/>
  <c r="Q746" i="15"/>
  <c r="T746" i="15"/>
  <c r="U746" i="15"/>
  <c r="Q747" i="15"/>
  <c r="T747" i="15"/>
  <c r="U747" i="15"/>
  <c r="Q748" i="15"/>
  <c r="T748" i="15"/>
  <c r="U748" i="15"/>
  <c r="Q749" i="15"/>
  <c r="T749" i="15"/>
  <c r="U749" i="15"/>
  <c r="Q750" i="15"/>
  <c r="T750" i="15"/>
  <c r="U750" i="15"/>
  <c r="Q751" i="15"/>
  <c r="T751" i="15"/>
  <c r="U751" i="15"/>
  <c r="Q752" i="15"/>
  <c r="T752" i="15"/>
  <c r="U752" i="15"/>
  <c r="Q753" i="15"/>
  <c r="T753" i="15"/>
  <c r="U753" i="15"/>
  <c r="Q754" i="15"/>
  <c r="T754" i="15"/>
  <c r="U754" i="15"/>
  <c r="Q755" i="15"/>
  <c r="T755" i="15"/>
  <c r="U755" i="15"/>
  <c r="Q756" i="15"/>
  <c r="T756" i="15"/>
  <c r="U756" i="15"/>
  <c r="Q757" i="15"/>
  <c r="T757" i="15"/>
  <c r="U757" i="15"/>
  <c r="Q758" i="15"/>
  <c r="T758" i="15"/>
  <c r="U758" i="15"/>
  <c r="Q759" i="15"/>
  <c r="T759" i="15"/>
  <c r="U759" i="15"/>
  <c r="Q760" i="15"/>
  <c r="T760" i="15"/>
  <c r="U760" i="15"/>
  <c r="Q761" i="15"/>
  <c r="T761" i="15"/>
  <c r="U761" i="15"/>
  <c r="Q762" i="15"/>
  <c r="T762" i="15"/>
  <c r="U762" i="15"/>
  <c r="Q763" i="15"/>
  <c r="T763" i="15"/>
  <c r="U763" i="15"/>
  <c r="Q764" i="15"/>
  <c r="T764" i="15"/>
  <c r="U764" i="15"/>
  <c r="Q765" i="15"/>
  <c r="T765" i="15"/>
  <c r="U765" i="15"/>
  <c r="Q766" i="15"/>
  <c r="T766" i="15"/>
  <c r="U766" i="15"/>
  <c r="Q767" i="15"/>
  <c r="T767" i="15"/>
  <c r="U767" i="15"/>
  <c r="Q768" i="15"/>
  <c r="T768" i="15"/>
  <c r="U768" i="15"/>
  <c r="Q769" i="15"/>
  <c r="T769" i="15"/>
  <c r="U769" i="15"/>
  <c r="Q770" i="15"/>
  <c r="T770" i="15"/>
  <c r="U770" i="15"/>
  <c r="Q771" i="15"/>
  <c r="T771" i="15"/>
  <c r="U771" i="15"/>
  <c r="Q772" i="15"/>
  <c r="T772" i="15"/>
  <c r="U772" i="15"/>
  <c r="Q773" i="15"/>
  <c r="T773" i="15"/>
  <c r="U773" i="15"/>
  <c r="Q774" i="15"/>
  <c r="T774" i="15"/>
  <c r="U774" i="15"/>
  <c r="Q775" i="15"/>
  <c r="T775" i="15"/>
  <c r="U775" i="15"/>
  <c r="Q776" i="15"/>
  <c r="T776" i="15"/>
  <c r="U776" i="15"/>
  <c r="Q777" i="15"/>
  <c r="T777" i="15"/>
  <c r="U777" i="15"/>
  <c r="Q778" i="15"/>
  <c r="T778" i="15"/>
  <c r="U778" i="15"/>
  <c r="Q779" i="15"/>
  <c r="T779" i="15"/>
  <c r="U779" i="15"/>
  <c r="Q780" i="15"/>
  <c r="T780" i="15"/>
  <c r="U780" i="15"/>
  <c r="Q781" i="15"/>
  <c r="T781" i="15"/>
  <c r="U781" i="15"/>
  <c r="Q782" i="15"/>
  <c r="T782" i="15"/>
  <c r="U782" i="15"/>
  <c r="Q783" i="15"/>
  <c r="T783" i="15"/>
  <c r="U783" i="15"/>
  <c r="Q784" i="15"/>
  <c r="T784" i="15"/>
  <c r="U784" i="15"/>
  <c r="Q785" i="15"/>
  <c r="T785" i="15"/>
  <c r="U785" i="15"/>
  <c r="Q786" i="15"/>
  <c r="T786" i="15"/>
  <c r="U786" i="15"/>
  <c r="Q787" i="15"/>
  <c r="T787" i="15"/>
  <c r="U787" i="15"/>
  <c r="Q788" i="15"/>
  <c r="T788" i="15"/>
  <c r="U788" i="15"/>
  <c r="Q789" i="15"/>
  <c r="T789" i="15"/>
  <c r="U789" i="15"/>
  <c r="Q790" i="15"/>
  <c r="T790" i="15"/>
  <c r="U790" i="15"/>
  <c r="Q791" i="15"/>
  <c r="T791" i="15"/>
  <c r="U791" i="15"/>
  <c r="Q792" i="15"/>
  <c r="T792" i="15"/>
  <c r="U792" i="15"/>
  <c r="Q793" i="15"/>
  <c r="T793" i="15"/>
  <c r="U793" i="15"/>
  <c r="Q794" i="15"/>
  <c r="T794" i="15"/>
  <c r="U794" i="15"/>
  <c r="Q795" i="15"/>
  <c r="T795" i="15"/>
  <c r="U795" i="15"/>
  <c r="Q796" i="15"/>
  <c r="T796" i="15"/>
  <c r="U796" i="15"/>
  <c r="Q797" i="15"/>
  <c r="T797" i="15"/>
  <c r="U797" i="15"/>
  <c r="Q798" i="15"/>
  <c r="T798" i="15"/>
  <c r="U798" i="15"/>
  <c r="Q799" i="15"/>
  <c r="T799" i="15"/>
  <c r="U799" i="15"/>
  <c r="Q800" i="15"/>
  <c r="T800" i="15"/>
  <c r="U800" i="15"/>
  <c r="Q801" i="15"/>
  <c r="T801" i="15"/>
  <c r="U801" i="15"/>
  <c r="Q802" i="15"/>
  <c r="T802" i="15"/>
  <c r="U802" i="15"/>
  <c r="Q803" i="15"/>
  <c r="T803" i="15"/>
  <c r="U803" i="15"/>
  <c r="Q804" i="15"/>
  <c r="T804" i="15"/>
  <c r="U804" i="15"/>
  <c r="Q805" i="15"/>
  <c r="T805" i="15"/>
  <c r="U805" i="15"/>
  <c r="Q806" i="15"/>
  <c r="T806" i="15"/>
  <c r="U806" i="15"/>
  <c r="Q807" i="15"/>
  <c r="T807" i="15"/>
  <c r="U807" i="15"/>
  <c r="Q808" i="15"/>
  <c r="T808" i="15"/>
  <c r="U808" i="15"/>
  <c r="Q809" i="15"/>
  <c r="T809" i="15"/>
  <c r="U809" i="15"/>
  <c r="Q810" i="15"/>
  <c r="T810" i="15"/>
  <c r="U810" i="15"/>
  <c r="Q811" i="15"/>
  <c r="T811" i="15"/>
  <c r="U811" i="15"/>
  <c r="Q812" i="15"/>
  <c r="T812" i="15"/>
  <c r="U812" i="15"/>
  <c r="Q813" i="15"/>
  <c r="T813" i="15"/>
  <c r="U813" i="15"/>
  <c r="Q814" i="15"/>
  <c r="T814" i="15"/>
  <c r="U814" i="15"/>
  <c r="Q815" i="15"/>
  <c r="T815" i="15"/>
  <c r="U815" i="15"/>
  <c r="Q816" i="15"/>
  <c r="T816" i="15"/>
  <c r="U816" i="15"/>
  <c r="Q817" i="15"/>
  <c r="T817" i="15"/>
  <c r="U817" i="15"/>
  <c r="Q818" i="15"/>
  <c r="T818" i="15"/>
  <c r="U818" i="15"/>
  <c r="Q819" i="15"/>
  <c r="T819" i="15"/>
  <c r="U819" i="15"/>
  <c r="Q820" i="15"/>
  <c r="T820" i="15"/>
  <c r="U820" i="15"/>
  <c r="Q821" i="15"/>
  <c r="T821" i="15"/>
  <c r="U821" i="15"/>
  <c r="Q822" i="15"/>
  <c r="T822" i="15"/>
  <c r="U822" i="15"/>
  <c r="Q823" i="15"/>
  <c r="T823" i="15"/>
  <c r="U823" i="15"/>
  <c r="Q824" i="15"/>
  <c r="T824" i="15"/>
  <c r="U824" i="15"/>
  <c r="Q825" i="15"/>
  <c r="T825" i="15"/>
  <c r="U825" i="15"/>
  <c r="Q826" i="15"/>
  <c r="T826" i="15"/>
  <c r="U826" i="15"/>
  <c r="Q827" i="15"/>
  <c r="T827" i="15"/>
  <c r="U827" i="15"/>
  <c r="Q828" i="15"/>
  <c r="T828" i="15"/>
  <c r="U828" i="15"/>
  <c r="Q829" i="15"/>
  <c r="T829" i="15"/>
  <c r="U829" i="15"/>
  <c r="Q830" i="15"/>
  <c r="T830" i="15"/>
  <c r="U830" i="15"/>
  <c r="Q831" i="15"/>
  <c r="T831" i="15"/>
  <c r="U831" i="15"/>
  <c r="Q832" i="15"/>
  <c r="T832" i="15"/>
  <c r="U832" i="15"/>
  <c r="Q833" i="15"/>
  <c r="T833" i="15"/>
  <c r="U833" i="15"/>
  <c r="Q834" i="15"/>
  <c r="T834" i="15"/>
  <c r="U834" i="15"/>
  <c r="Q835" i="15"/>
  <c r="T835" i="15"/>
  <c r="U835" i="15"/>
  <c r="Q836" i="15"/>
  <c r="T836" i="15"/>
  <c r="U836" i="15"/>
  <c r="Q837" i="15"/>
  <c r="T837" i="15"/>
  <c r="U837" i="15"/>
  <c r="Q838" i="15"/>
  <c r="T838" i="15"/>
  <c r="U838" i="15"/>
  <c r="Q839" i="15"/>
  <c r="T839" i="15"/>
  <c r="U839" i="15"/>
  <c r="Q840" i="15"/>
  <c r="T840" i="15"/>
  <c r="U840" i="15"/>
  <c r="Q841" i="15"/>
  <c r="T841" i="15"/>
  <c r="U841" i="15"/>
  <c r="Q842" i="15"/>
  <c r="T842" i="15"/>
  <c r="U842" i="15"/>
  <c r="Q843" i="15"/>
  <c r="T843" i="15"/>
  <c r="U843" i="15"/>
  <c r="Q844" i="15"/>
  <c r="T844" i="15"/>
  <c r="U844" i="15"/>
  <c r="Q845" i="15"/>
  <c r="T845" i="15"/>
  <c r="U845" i="15"/>
  <c r="Q846" i="15"/>
  <c r="T846" i="15"/>
  <c r="U846" i="15"/>
  <c r="Q847" i="15"/>
  <c r="T847" i="15"/>
  <c r="U847" i="15"/>
  <c r="Q848" i="15"/>
  <c r="T848" i="15"/>
  <c r="U848" i="15"/>
  <c r="Q849" i="15"/>
  <c r="T849" i="15"/>
  <c r="U849" i="15"/>
  <c r="Q850" i="15"/>
  <c r="T850" i="15"/>
  <c r="U850" i="15"/>
  <c r="Q851" i="15"/>
  <c r="T851" i="15"/>
  <c r="U851" i="15"/>
  <c r="Q852" i="15"/>
  <c r="T852" i="15"/>
  <c r="U852" i="15"/>
  <c r="Q853" i="15"/>
  <c r="T853" i="15"/>
  <c r="U853" i="15"/>
  <c r="Q854" i="15"/>
  <c r="T854" i="15"/>
  <c r="U854" i="15"/>
  <c r="Q855" i="15"/>
  <c r="T855" i="15"/>
  <c r="U855" i="15"/>
  <c r="Q856" i="15"/>
  <c r="T856" i="15"/>
  <c r="U856" i="15"/>
  <c r="Q857" i="15"/>
  <c r="T857" i="15"/>
  <c r="U857" i="15"/>
  <c r="Q858" i="15"/>
  <c r="T858" i="15"/>
  <c r="U858" i="15"/>
  <c r="Q859" i="15"/>
  <c r="T859" i="15"/>
  <c r="U859" i="15"/>
  <c r="Q860" i="15"/>
  <c r="T860" i="15"/>
  <c r="U860" i="15"/>
  <c r="Q861" i="15"/>
  <c r="T861" i="15"/>
  <c r="U861" i="15"/>
  <c r="Q862" i="15"/>
  <c r="T862" i="15"/>
  <c r="U862" i="15"/>
  <c r="Q863" i="15"/>
  <c r="T863" i="15"/>
  <c r="U863" i="15"/>
  <c r="Q864" i="15"/>
  <c r="T864" i="15"/>
  <c r="U864" i="15"/>
  <c r="Q865" i="15"/>
  <c r="T865" i="15"/>
  <c r="U865" i="15"/>
  <c r="Q866" i="15"/>
  <c r="T866" i="15"/>
  <c r="U866" i="15"/>
  <c r="Q867" i="15"/>
  <c r="T867" i="15"/>
  <c r="U867" i="15"/>
  <c r="Q868" i="15"/>
  <c r="T868" i="15"/>
  <c r="U868" i="15"/>
  <c r="Q869" i="15"/>
  <c r="T869" i="15"/>
  <c r="U869" i="15"/>
  <c r="Q870" i="15"/>
  <c r="T870" i="15"/>
  <c r="U870" i="15"/>
  <c r="Q871" i="15"/>
  <c r="T871" i="15"/>
  <c r="U871" i="15"/>
  <c r="Q872" i="15"/>
  <c r="T872" i="15"/>
  <c r="U872" i="15"/>
  <c r="Q873" i="15"/>
  <c r="T873" i="15"/>
  <c r="U873" i="15"/>
  <c r="Q874" i="15"/>
  <c r="T874" i="15"/>
  <c r="U874" i="15"/>
  <c r="Q875" i="15"/>
  <c r="T875" i="15"/>
  <c r="U875" i="15"/>
  <c r="Q876" i="15"/>
  <c r="T876" i="15"/>
  <c r="U876" i="15"/>
  <c r="Q877" i="15"/>
  <c r="T877" i="15"/>
  <c r="U877" i="15"/>
  <c r="Q878" i="15"/>
  <c r="T878" i="15"/>
  <c r="U878" i="15"/>
  <c r="Q879" i="15"/>
  <c r="T879" i="15"/>
  <c r="U879" i="15"/>
  <c r="Q880" i="15"/>
  <c r="T880" i="15"/>
  <c r="U880" i="15"/>
  <c r="Q881" i="15"/>
  <c r="T881" i="15"/>
  <c r="U881" i="15"/>
  <c r="Q882" i="15"/>
  <c r="T882" i="15"/>
  <c r="U882" i="15"/>
  <c r="Q883" i="15"/>
  <c r="T883" i="15"/>
  <c r="U883" i="15"/>
  <c r="Q884" i="15"/>
  <c r="T884" i="15"/>
  <c r="U884" i="15"/>
  <c r="Q885" i="15"/>
  <c r="T885" i="15"/>
  <c r="U885" i="15"/>
  <c r="Q886" i="15"/>
  <c r="T886" i="15"/>
  <c r="U886" i="15"/>
  <c r="Q887" i="15"/>
  <c r="T887" i="15"/>
  <c r="U887" i="15"/>
  <c r="Q888" i="15"/>
  <c r="T888" i="15"/>
  <c r="U888" i="15"/>
  <c r="Q889" i="15"/>
  <c r="T889" i="15"/>
  <c r="U889" i="15"/>
  <c r="Q890" i="15"/>
  <c r="T890" i="15"/>
  <c r="U890" i="15"/>
  <c r="Q891" i="15"/>
  <c r="T891" i="15"/>
  <c r="U891" i="15"/>
  <c r="Q892" i="15"/>
  <c r="T892" i="15"/>
  <c r="U892" i="15"/>
  <c r="Q893" i="15"/>
  <c r="T893" i="15"/>
  <c r="U893" i="15"/>
  <c r="Q894" i="15"/>
  <c r="T894" i="15"/>
  <c r="U894" i="15"/>
  <c r="Q895" i="15"/>
  <c r="T895" i="15"/>
  <c r="U895" i="15"/>
  <c r="Q896" i="15"/>
  <c r="T896" i="15"/>
  <c r="U896" i="15"/>
  <c r="Q897" i="15"/>
  <c r="T897" i="15"/>
  <c r="U897" i="15"/>
  <c r="Q898" i="15"/>
  <c r="T898" i="15"/>
  <c r="U898" i="15"/>
  <c r="Q899" i="15"/>
  <c r="T899" i="15"/>
  <c r="U899" i="15"/>
  <c r="Q900" i="15"/>
  <c r="T900" i="15"/>
  <c r="U900" i="15"/>
  <c r="Q901" i="15"/>
  <c r="T901" i="15"/>
  <c r="U901" i="15"/>
  <c r="Q902" i="15"/>
  <c r="T902" i="15"/>
  <c r="U902" i="15"/>
  <c r="Q903" i="15"/>
  <c r="T903" i="15"/>
  <c r="U903" i="15"/>
  <c r="Q904" i="15"/>
  <c r="T904" i="15"/>
  <c r="U904" i="15"/>
  <c r="Q905" i="15"/>
  <c r="T905" i="15"/>
  <c r="U905" i="15"/>
  <c r="Q906" i="15"/>
  <c r="T906" i="15"/>
  <c r="U906" i="15"/>
  <c r="Q907" i="15"/>
  <c r="T907" i="15"/>
  <c r="U907" i="15"/>
  <c r="Q908" i="15"/>
  <c r="T908" i="15"/>
  <c r="U908" i="15"/>
  <c r="Q909" i="15"/>
  <c r="T909" i="15"/>
  <c r="U909" i="15"/>
  <c r="Q910" i="15"/>
  <c r="T910" i="15"/>
  <c r="U910" i="15"/>
  <c r="Q911" i="15"/>
  <c r="T911" i="15"/>
  <c r="U911" i="15"/>
  <c r="Q912" i="15"/>
  <c r="T912" i="15"/>
  <c r="U912" i="15"/>
  <c r="Q913" i="15"/>
  <c r="T913" i="15"/>
  <c r="U913" i="15"/>
  <c r="Q914" i="15"/>
  <c r="T914" i="15"/>
  <c r="U914" i="15"/>
  <c r="Q915" i="15"/>
  <c r="T915" i="15"/>
  <c r="U915" i="15"/>
  <c r="Q916" i="15"/>
  <c r="T916" i="15"/>
  <c r="U916" i="15"/>
  <c r="Q917" i="15"/>
  <c r="T917" i="15"/>
  <c r="U917" i="15"/>
  <c r="Q918" i="15"/>
  <c r="T918" i="15"/>
  <c r="U918" i="15"/>
  <c r="Q919" i="15"/>
  <c r="T919" i="15"/>
  <c r="U919" i="15"/>
  <c r="Q920" i="15"/>
  <c r="T920" i="15"/>
  <c r="U920" i="15"/>
  <c r="Q921" i="15"/>
  <c r="T921" i="15"/>
  <c r="U921" i="15"/>
  <c r="Q922" i="15"/>
  <c r="T922" i="15"/>
  <c r="U922" i="15"/>
  <c r="Q923" i="15"/>
  <c r="T923" i="15"/>
  <c r="U923" i="15"/>
  <c r="Q924" i="15"/>
  <c r="T924" i="15"/>
  <c r="U924" i="15"/>
  <c r="Q925" i="15"/>
  <c r="T925" i="15"/>
  <c r="U925" i="15"/>
  <c r="Q926" i="15"/>
  <c r="T926" i="15"/>
  <c r="U926" i="15"/>
  <c r="Q927" i="15"/>
  <c r="T927" i="15"/>
  <c r="U927" i="15"/>
  <c r="Q928" i="15"/>
  <c r="T928" i="15"/>
  <c r="U928" i="15"/>
  <c r="Q929" i="15"/>
  <c r="T929" i="15"/>
  <c r="U929" i="15"/>
  <c r="Q930" i="15"/>
  <c r="T930" i="15"/>
  <c r="U930" i="15"/>
  <c r="Q931" i="15"/>
  <c r="T931" i="15"/>
  <c r="U931" i="15"/>
  <c r="Q932" i="15"/>
  <c r="T932" i="15"/>
  <c r="U932" i="15"/>
  <c r="Q933" i="15"/>
  <c r="T933" i="15"/>
  <c r="U933" i="15"/>
  <c r="Q934" i="15"/>
  <c r="T934" i="15"/>
  <c r="U934" i="15"/>
  <c r="Q935" i="15"/>
  <c r="T935" i="15"/>
  <c r="U935" i="15"/>
  <c r="Q936" i="15"/>
  <c r="T936" i="15"/>
  <c r="U936" i="15"/>
  <c r="Q937" i="15"/>
  <c r="T937" i="15"/>
  <c r="U937" i="15"/>
  <c r="Q938" i="15"/>
  <c r="T938" i="15"/>
  <c r="U938" i="15"/>
  <c r="Q939" i="15"/>
  <c r="T939" i="15"/>
  <c r="U939" i="15"/>
  <c r="Q940" i="15"/>
  <c r="T940" i="15"/>
  <c r="U940" i="15"/>
  <c r="Q941" i="15"/>
  <c r="T941" i="15"/>
  <c r="U941" i="15"/>
  <c r="Q942" i="15"/>
  <c r="T942" i="15"/>
  <c r="U942" i="15"/>
  <c r="Q943" i="15"/>
  <c r="T943" i="15"/>
  <c r="U943" i="15"/>
  <c r="Q944" i="15"/>
  <c r="T944" i="15"/>
  <c r="U944" i="15"/>
  <c r="Q945" i="15"/>
  <c r="T945" i="15"/>
  <c r="U945" i="15"/>
  <c r="Q946" i="15"/>
  <c r="T946" i="15"/>
  <c r="U946" i="15"/>
  <c r="Q947" i="15"/>
  <c r="T947" i="15"/>
  <c r="U947" i="15"/>
  <c r="Q948" i="15"/>
  <c r="T948" i="15"/>
  <c r="U948" i="15"/>
  <c r="Q949" i="15"/>
  <c r="T949" i="15"/>
  <c r="U949" i="15"/>
  <c r="Q950" i="15"/>
  <c r="T950" i="15"/>
  <c r="U950" i="15"/>
  <c r="Q951" i="15"/>
  <c r="T951" i="15"/>
  <c r="U951" i="15"/>
  <c r="Q952" i="15"/>
  <c r="T952" i="15"/>
  <c r="U952" i="15"/>
  <c r="Q953" i="15"/>
  <c r="T953" i="15"/>
  <c r="U953" i="15"/>
  <c r="Q954" i="15"/>
  <c r="T954" i="15"/>
  <c r="U954" i="15"/>
  <c r="Q955" i="15"/>
  <c r="T955" i="15"/>
  <c r="U955" i="15"/>
  <c r="Q956" i="15"/>
  <c r="T956" i="15"/>
  <c r="U956" i="15"/>
  <c r="Q957" i="15"/>
  <c r="T957" i="15"/>
  <c r="U957" i="15"/>
  <c r="Q958" i="15"/>
  <c r="T958" i="15"/>
  <c r="U958" i="15"/>
  <c r="Q959" i="15"/>
  <c r="T959" i="15"/>
  <c r="U959" i="15"/>
  <c r="Q960" i="15"/>
  <c r="T960" i="15"/>
  <c r="U960" i="15"/>
  <c r="Q961" i="15"/>
  <c r="T961" i="15"/>
  <c r="U961" i="15"/>
  <c r="Q962" i="15"/>
  <c r="T962" i="15"/>
  <c r="U962" i="15"/>
  <c r="Q963" i="15"/>
  <c r="T963" i="15"/>
  <c r="U963" i="15"/>
  <c r="Q964" i="15"/>
  <c r="T964" i="15"/>
  <c r="U964" i="15"/>
  <c r="Q965" i="15"/>
  <c r="T965" i="15"/>
  <c r="U965" i="15"/>
  <c r="Q966" i="15"/>
  <c r="T966" i="15"/>
  <c r="U966" i="15"/>
  <c r="Q967" i="15"/>
  <c r="T967" i="15"/>
  <c r="U967" i="15"/>
  <c r="Q968" i="15"/>
  <c r="T968" i="15"/>
  <c r="U968" i="15"/>
  <c r="Q969" i="15"/>
  <c r="T969" i="15"/>
  <c r="U969" i="15"/>
  <c r="Q970" i="15"/>
  <c r="T970" i="15"/>
  <c r="U970" i="15"/>
  <c r="Q971" i="15"/>
  <c r="T971" i="15"/>
  <c r="U971" i="15"/>
  <c r="Q972" i="15"/>
  <c r="T972" i="15"/>
  <c r="U972" i="15"/>
  <c r="Q973" i="15"/>
  <c r="T973" i="15"/>
  <c r="U973" i="15"/>
  <c r="Q974" i="15"/>
  <c r="T974" i="15"/>
  <c r="U974" i="15"/>
  <c r="Q975" i="15"/>
  <c r="T975" i="15"/>
  <c r="U975" i="15"/>
  <c r="Q976" i="15"/>
  <c r="T976" i="15"/>
  <c r="U976" i="15"/>
  <c r="Q977" i="15"/>
  <c r="T977" i="15"/>
  <c r="U977" i="15"/>
  <c r="Q978" i="15"/>
  <c r="T978" i="15"/>
  <c r="U978" i="15"/>
  <c r="Q979" i="15"/>
  <c r="T979" i="15"/>
  <c r="U979" i="15"/>
  <c r="Q980" i="15"/>
  <c r="T980" i="15"/>
  <c r="U980" i="15"/>
  <c r="Q981" i="15"/>
  <c r="T981" i="15"/>
  <c r="U981" i="15"/>
  <c r="Q982" i="15"/>
  <c r="T982" i="15"/>
  <c r="U982" i="15"/>
  <c r="Q983" i="15"/>
  <c r="T983" i="15"/>
  <c r="U983" i="15"/>
  <c r="Q984" i="15"/>
  <c r="T984" i="15"/>
  <c r="U984" i="15"/>
  <c r="Q985" i="15"/>
  <c r="T985" i="15"/>
  <c r="U985" i="15"/>
  <c r="Q986" i="15"/>
  <c r="T986" i="15"/>
  <c r="U986" i="15"/>
  <c r="Q987" i="15"/>
  <c r="T987" i="15"/>
  <c r="U987" i="15"/>
  <c r="Q988" i="15"/>
  <c r="T988" i="15"/>
  <c r="U988" i="15"/>
  <c r="Q989" i="15"/>
  <c r="T989" i="15"/>
  <c r="U989" i="15"/>
  <c r="Q990" i="15"/>
  <c r="T990" i="15"/>
  <c r="U990" i="15"/>
  <c r="Q991" i="15"/>
  <c r="T991" i="15"/>
  <c r="U991" i="15"/>
  <c r="Q992" i="15"/>
  <c r="T992" i="15"/>
  <c r="U992" i="15"/>
  <c r="Q993" i="15"/>
  <c r="T993" i="15"/>
  <c r="U993" i="15"/>
  <c r="Q994" i="15"/>
  <c r="T994" i="15"/>
  <c r="U994" i="15"/>
  <c r="Q995" i="15"/>
  <c r="T995" i="15"/>
  <c r="U995" i="15"/>
  <c r="Q996" i="15"/>
  <c r="T996" i="15"/>
  <c r="U996" i="15"/>
  <c r="Q997" i="15"/>
  <c r="T997" i="15"/>
  <c r="U997" i="15"/>
  <c r="Q998" i="15"/>
  <c r="T998" i="15"/>
  <c r="U998" i="15"/>
  <c r="Q999" i="15"/>
  <c r="T999" i="15"/>
  <c r="U999" i="15"/>
  <c r="Q1000" i="15"/>
  <c r="T1000" i="15"/>
  <c r="U1000" i="15"/>
  <c r="Q1001" i="15"/>
  <c r="T1001" i="15"/>
  <c r="U1001" i="15"/>
  <c r="Q1002" i="15"/>
  <c r="T1002" i="15"/>
  <c r="U1002" i="15"/>
  <c r="Q1003" i="15"/>
  <c r="T1003" i="15"/>
  <c r="U1003" i="15"/>
  <c r="Q1004" i="15"/>
  <c r="T1004" i="15"/>
  <c r="U1004" i="15"/>
  <c r="Q1005" i="15"/>
  <c r="T1005" i="15"/>
  <c r="U1005" i="15"/>
  <c r="Q1006" i="15"/>
  <c r="T1006" i="15"/>
  <c r="U1006" i="15"/>
  <c r="Q1007" i="15"/>
  <c r="T1007" i="15"/>
  <c r="U1007" i="15"/>
  <c r="Q1008" i="15"/>
  <c r="T1008" i="15"/>
  <c r="U1008" i="15"/>
  <c r="Q1009" i="15"/>
  <c r="T1009" i="15"/>
  <c r="U1009" i="15"/>
  <c r="Q1010" i="15"/>
  <c r="T1010" i="15"/>
  <c r="U1010" i="15"/>
  <c r="Q1011" i="15"/>
  <c r="T1011" i="15"/>
  <c r="U1011" i="15"/>
  <c r="Q1012" i="15"/>
  <c r="T1012" i="15"/>
  <c r="U1012" i="15"/>
  <c r="Q1013" i="15"/>
  <c r="T1013" i="15"/>
  <c r="U1013" i="15"/>
  <c r="Q1014" i="15"/>
  <c r="T1014" i="15"/>
  <c r="U1014" i="15"/>
  <c r="Q1015" i="15"/>
  <c r="T1015" i="15"/>
  <c r="U1015" i="15"/>
  <c r="Q1016" i="15"/>
  <c r="T1016" i="15"/>
  <c r="U1016" i="15"/>
  <c r="Q1017" i="15"/>
  <c r="T1017" i="15"/>
  <c r="U1017" i="15"/>
  <c r="Q1018" i="15"/>
  <c r="T1018" i="15"/>
  <c r="U1018" i="15"/>
  <c r="Q1019" i="15"/>
  <c r="T1019" i="15"/>
  <c r="U1019" i="15"/>
  <c r="Q1020" i="15"/>
  <c r="T1020" i="15"/>
  <c r="U1020" i="15"/>
  <c r="Q1021" i="15"/>
  <c r="T1021" i="15"/>
  <c r="U1021" i="15"/>
  <c r="Q1022" i="15"/>
  <c r="T1022" i="15"/>
  <c r="U1022" i="15"/>
  <c r="Q1023" i="15"/>
  <c r="T1023" i="15"/>
  <c r="U1023" i="15"/>
  <c r="Q1024" i="15"/>
  <c r="T1024" i="15"/>
  <c r="U1024" i="15"/>
  <c r="Q1025" i="15"/>
  <c r="T1025" i="15"/>
  <c r="U1025" i="15"/>
  <c r="Q1026" i="15"/>
  <c r="T1026" i="15"/>
  <c r="U1026" i="15"/>
  <c r="Q1027" i="15"/>
  <c r="T1027" i="15"/>
  <c r="U1027" i="15"/>
  <c r="Q1028" i="15"/>
  <c r="T1028" i="15"/>
  <c r="U1028" i="15"/>
  <c r="Q1029" i="15"/>
  <c r="T1029" i="15"/>
  <c r="U1029" i="15"/>
  <c r="Q1030" i="15"/>
  <c r="T1030" i="15"/>
  <c r="U1030" i="15"/>
  <c r="Q1031" i="15"/>
  <c r="T1031" i="15"/>
  <c r="U1031" i="15"/>
  <c r="Q1032" i="15"/>
  <c r="T1032" i="15"/>
  <c r="U1032" i="15"/>
  <c r="Q1033" i="15"/>
  <c r="T1033" i="15"/>
  <c r="U1033" i="15"/>
  <c r="Q1034" i="15"/>
  <c r="T1034" i="15"/>
  <c r="U1034" i="15"/>
  <c r="Q1035" i="15"/>
  <c r="T1035" i="15"/>
  <c r="U1035" i="15"/>
  <c r="Q1036" i="15"/>
  <c r="T1036" i="15"/>
  <c r="U1036" i="15"/>
  <c r="Q1037" i="15"/>
  <c r="T1037" i="15"/>
  <c r="U1037" i="15"/>
  <c r="Q1038" i="15"/>
  <c r="T1038" i="15"/>
  <c r="U1038" i="15"/>
  <c r="Q1039" i="15"/>
  <c r="T1039" i="15"/>
  <c r="U1039" i="15"/>
  <c r="Q1040" i="15"/>
  <c r="T1040" i="15"/>
  <c r="U1040" i="15"/>
  <c r="Q1041" i="15"/>
  <c r="T1041" i="15"/>
  <c r="U1041" i="15"/>
  <c r="Q1042" i="15"/>
  <c r="T1042" i="15"/>
  <c r="U1042" i="15"/>
  <c r="Q1043" i="15"/>
  <c r="T1043" i="15"/>
  <c r="U1043" i="15"/>
  <c r="Q1044" i="15"/>
  <c r="T1044" i="15"/>
  <c r="U1044" i="15"/>
  <c r="Q1045" i="15"/>
  <c r="T1045" i="15"/>
  <c r="U1045" i="15"/>
  <c r="Q1046" i="15"/>
  <c r="T1046" i="15"/>
  <c r="U1046" i="15"/>
  <c r="Q1047" i="15"/>
  <c r="T1047" i="15"/>
  <c r="U1047" i="15"/>
  <c r="Q1048" i="15"/>
  <c r="T1048" i="15"/>
  <c r="U1048" i="15"/>
  <c r="Q1049" i="15"/>
  <c r="T1049" i="15"/>
  <c r="U1049" i="15"/>
  <c r="Q1050" i="15"/>
  <c r="T1050" i="15"/>
  <c r="U1050" i="15"/>
  <c r="Q1051" i="15"/>
  <c r="T1051" i="15"/>
  <c r="U1051" i="15"/>
  <c r="Q1052" i="15"/>
  <c r="T1052" i="15"/>
  <c r="U1052" i="15"/>
  <c r="Q1053" i="15"/>
  <c r="T1053" i="15"/>
  <c r="U1053" i="15"/>
  <c r="Q1054" i="15"/>
  <c r="T1054" i="15"/>
  <c r="U1054" i="15"/>
  <c r="Q1055" i="15"/>
  <c r="T1055" i="15"/>
  <c r="U1055" i="15"/>
  <c r="Q1056" i="15"/>
  <c r="T1056" i="15"/>
  <c r="U1056" i="15"/>
  <c r="Q1057" i="15"/>
  <c r="T1057" i="15"/>
  <c r="U1057" i="15"/>
  <c r="Q1058" i="15"/>
  <c r="T1058" i="15"/>
  <c r="U1058" i="15"/>
  <c r="Q1059" i="15"/>
  <c r="T1059" i="15"/>
  <c r="U1059" i="15"/>
  <c r="Q1060" i="15"/>
  <c r="T1060" i="15"/>
  <c r="U1060" i="15"/>
  <c r="Q1061" i="15"/>
  <c r="T1061" i="15"/>
  <c r="U1061" i="15"/>
  <c r="Q1062" i="15"/>
  <c r="T1062" i="15"/>
  <c r="U1062" i="15"/>
  <c r="Q1063" i="15"/>
  <c r="T1063" i="15"/>
  <c r="U1063" i="15"/>
  <c r="Q1064" i="15"/>
  <c r="T1064" i="15"/>
  <c r="U1064" i="15"/>
  <c r="Q1065" i="15"/>
  <c r="T1065" i="15"/>
  <c r="U1065" i="15"/>
  <c r="Q1066" i="15"/>
  <c r="T1066" i="15"/>
  <c r="U1066" i="15"/>
  <c r="Q1067" i="15"/>
  <c r="T1067" i="15"/>
  <c r="U1067" i="15"/>
  <c r="Q1068" i="15"/>
  <c r="T1068" i="15"/>
  <c r="U1068" i="15"/>
  <c r="Q1069" i="15"/>
  <c r="T1069" i="15"/>
  <c r="U1069" i="15"/>
  <c r="Q1070" i="15"/>
  <c r="T1070" i="15"/>
  <c r="U1070" i="15"/>
  <c r="Q1071" i="15"/>
  <c r="T1071" i="15"/>
  <c r="U1071" i="15"/>
  <c r="Q1072" i="15"/>
  <c r="T1072" i="15"/>
  <c r="U1072" i="15"/>
  <c r="Q1073" i="15"/>
  <c r="T1073" i="15"/>
  <c r="U1073" i="15"/>
  <c r="Q1074" i="15"/>
  <c r="T1074" i="15"/>
  <c r="U1074" i="15"/>
  <c r="Q1075" i="15"/>
  <c r="T1075" i="15"/>
  <c r="U1075" i="15"/>
  <c r="Q1076" i="15"/>
  <c r="T1076" i="15"/>
  <c r="U1076" i="15"/>
  <c r="Q1077" i="15"/>
  <c r="T1077" i="15"/>
  <c r="U1077" i="15"/>
  <c r="Q1078" i="15"/>
  <c r="T1078" i="15"/>
  <c r="U1078" i="15"/>
  <c r="Q1079" i="15"/>
  <c r="T1079" i="15"/>
  <c r="U1079" i="15"/>
  <c r="Q1080" i="15"/>
  <c r="T1080" i="15"/>
  <c r="U1080" i="15"/>
  <c r="Q1081" i="15"/>
  <c r="T1081" i="15"/>
  <c r="U1081" i="15"/>
  <c r="Q1082" i="15"/>
  <c r="T1082" i="15"/>
  <c r="U1082" i="15"/>
  <c r="Q1083" i="15"/>
  <c r="T1083" i="15"/>
  <c r="U1083" i="15"/>
  <c r="Q1084" i="15"/>
  <c r="T1084" i="15"/>
  <c r="U1084" i="15"/>
  <c r="Q1085" i="15"/>
  <c r="T1085" i="15"/>
  <c r="U1085" i="15"/>
  <c r="Q1086" i="15"/>
  <c r="T1086" i="15"/>
  <c r="U1086" i="15"/>
  <c r="Q1087" i="15"/>
  <c r="T1087" i="15"/>
  <c r="U1087" i="15"/>
  <c r="Q1088" i="15"/>
  <c r="T1088" i="15"/>
  <c r="U1088" i="15"/>
  <c r="Q1089" i="15"/>
  <c r="T1089" i="15"/>
  <c r="U1089" i="15"/>
  <c r="Q1090" i="15"/>
  <c r="T1090" i="15"/>
  <c r="U1090" i="15"/>
  <c r="Q1091" i="15"/>
  <c r="T1091" i="15"/>
  <c r="U1091" i="15"/>
  <c r="Q1092" i="15"/>
  <c r="T1092" i="15"/>
  <c r="U1092" i="15"/>
  <c r="Q1093" i="15"/>
  <c r="T1093" i="15"/>
  <c r="U1093" i="15"/>
  <c r="Q1094" i="15"/>
  <c r="T1094" i="15"/>
  <c r="U1094" i="15"/>
  <c r="Q1095" i="15"/>
  <c r="T1095" i="15"/>
  <c r="U1095" i="15"/>
  <c r="Q1096" i="15"/>
  <c r="T1096" i="15"/>
  <c r="U1096" i="15"/>
  <c r="Q1097" i="15"/>
  <c r="T1097" i="15"/>
  <c r="U1097" i="15"/>
  <c r="Q1098" i="15"/>
  <c r="T1098" i="15"/>
  <c r="U1098" i="15"/>
  <c r="Q1099" i="15"/>
  <c r="T1099" i="15"/>
  <c r="U1099" i="15"/>
  <c r="Q1100" i="15"/>
  <c r="T1100" i="15"/>
  <c r="U1100" i="15"/>
  <c r="Q1101" i="15"/>
  <c r="T1101" i="15"/>
  <c r="U1101" i="15"/>
  <c r="Q1102" i="15"/>
  <c r="T1102" i="15"/>
  <c r="U1102" i="15"/>
  <c r="Q1103" i="15"/>
  <c r="T1103" i="15"/>
  <c r="U1103" i="15"/>
  <c r="Q1104" i="15"/>
  <c r="T1104" i="15"/>
  <c r="U1104" i="15"/>
  <c r="Q1105" i="15"/>
  <c r="T1105" i="15"/>
  <c r="U1105" i="15"/>
  <c r="Q1106" i="15"/>
  <c r="T1106" i="15"/>
  <c r="U1106" i="15"/>
  <c r="Q1107" i="15"/>
  <c r="T1107" i="15"/>
  <c r="U1107" i="15"/>
  <c r="Q1108" i="15"/>
  <c r="T1108" i="15"/>
  <c r="U1108" i="15"/>
  <c r="Q1109" i="15"/>
  <c r="T1109" i="15"/>
  <c r="U1109" i="15"/>
  <c r="Q1110" i="15"/>
  <c r="T1110" i="15"/>
  <c r="U1110" i="15"/>
  <c r="Q1111" i="15"/>
  <c r="T1111" i="15"/>
  <c r="U1111" i="15"/>
  <c r="Q1112" i="15"/>
  <c r="T1112" i="15"/>
  <c r="U1112" i="15"/>
  <c r="Q1113" i="15"/>
  <c r="T1113" i="15"/>
  <c r="U1113" i="15"/>
  <c r="Q1114" i="15"/>
  <c r="T1114" i="15"/>
  <c r="U1114" i="15"/>
  <c r="Q1115" i="15"/>
  <c r="T1115" i="15"/>
  <c r="U1115" i="15"/>
  <c r="Q1116" i="15"/>
  <c r="T1116" i="15"/>
  <c r="U1116" i="15"/>
  <c r="Q1117" i="15"/>
  <c r="T1117" i="15"/>
  <c r="U1117" i="15"/>
  <c r="Q1118" i="15"/>
  <c r="T1118" i="15"/>
  <c r="U1118" i="15"/>
  <c r="Q1119" i="15"/>
  <c r="T1119" i="15"/>
  <c r="U1119" i="15"/>
  <c r="Q1120" i="15"/>
  <c r="T1120" i="15"/>
  <c r="U1120" i="15"/>
  <c r="Q1121" i="15"/>
  <c r="T1121" i="15"/>
  <c r="U1121" i="15"/>
  <c r="Q1122" i="15"/>
  <c r="T1122" i="15"/>
  <c r="U1122" i="15"/>
  <c r="Q1123" i="15"/>
  <c r="T1123" i="15"/>
  <c r="U1123" i="15"/>
  <c r="Q1124" i="15"/>
  <c r="T1124" i="15"/>
  <c r="U1124" i="15"/>
  <c r="Q1125" i="15"/>
  <c r="T1125" i="15"/>
  <c r="U1125" i="15"/>
  <c r="Q1126" i="15"/>
  <c r="T1126" i="15"/>
  <c r="U1126" i="15"/>
  <c r="Q1127" i="15"/>
  <c r="T1127" i="15"/>
  <c r="U1127" i="15"/>
  <c r="Q1128" i="15"/>
  <c r="T1128" i="15"/>
  <c r="U1128" i="15"/>
  <c r="Q1129" i="15"/>
  <c r="T1129" i="15"/>
  <c r="U1129" i="15"/>
  <c r="Q1130" i="15"/>
  <c r="T1130" i="15"/>
  <c r="U1130" i="15"/>
  <c r="Q1131" i="15"/>
  <c r="T1131" i="15"/>
  <c r="U1131" i="15"/>
  <c r="Q1132" i="15"/>
  <c r="T1132" i="15"/>
  <c r="U1132" i="15"/>
  <c r="Q1133" i="15"/>
  <c r="T1133" i="15"/>
  <c r="U1133" i="15"/>
  <c r="Q1134" i="15"/>
  <c r="T1134" i="15"/>
  <c r="U1134" i="15"/>
  <c r="Q1135" i="15"/>
  <c r="T1135" i="15"/>
  <c r="U1135" i="15"/>
  <c r="Q1136" i="15"/>
  <c r="T1136" i="15"/>
  <c r="U1136" i="15"/>
  <c r="Q1137" i="15"/>
  <c r="T1137" i="15"/>
  <c r="U1137" i="15"/>
  <c r="Q1138" i="15"/>
  <c r="T1138" i="15"/>
  <c r="U1138" i="15"/>
  <c r="Q1139" i="15"/>
  <c r="T1139" i="15"/>
  <c r="U1139" i="15"/>
  <c r="Q1140" i="15"/>
  <c r="T1140" i="15"/>
  <c r="U1140" i="15"/>
  <c r="Q1141" i="15"/>
  <c r="T1141" i="15"/>
  <c r="U1141" i="15"/>
  <c r="Q1142" i="15"/>
  <c r="T1142" i="15"/>
  <c r="U1142" i="15"/>
  <c r="Q1143" i="15"/>
  <c r="T1143" i="15"/>
  <c r="U1143" i="15"/>
  <c r="Q1144" i="15"/>
  <c r="T1144" i="15"/>
  <c r="U1144" i="15"/>
  <c r="Q1145" i="15"/>
  <c r="T1145" i="15"/>
  <c r="U1145" i="15"/>
  <c r="Q1146" i="15"/>
  <c r="T1146" i="15"/>
  <c r="U1146" i="15"/>
  <c r="Q1147" i="15"/>
  <c r="T1147" i="15"/>
  <c r="U1147" i="15"/>
  <c r="Q1148" i="15"/>
  <c r="T1148" i="15"/>
  <c r="U1148" i="15"/>
  <c r="Q1149" i="15"/>
  <c r="T1149" i="15"/>
  <c r="U1149" i="15"/>
  <c r="Q1150" i="15"/>
  <c r="T1150" i="15"/>
  <c r="U1150" i="15"/>
  <c r="Q1151" i="15"/>
  <c r="T1151" i="15"/>
  <c r="U1151" i="15"/>
  <c r="Q1152" i="15"/>
  <c r="T1152" i="15"/>
  <c r="U1152" i="15"/>
  <c r="Q1153" i="15"/>
  <c r="T1153" i="15"/>
  <c r="U1153" i="15"/>
  <c r="Q1154" i="15"/>
  <c r="T1154" i="15"/>
  <c r="U1154" i="15"/>
  <c r="Q1155" i="15"/>
  <c r="T1155" i="15"/>
  <c r="U1155" i="15"/>
  <c r="Q1156" i="15"/>
  <c r="T1156" i="15"/>
  <c r="U1156" i="15"/>
  <c r="Q1157" i="15"/>
  <c r="T1157" i="15"/>
  <c r="U1157" i="15"/>
  <c r="Q1158" i="15"/>
  <c r="T1158" i="15"/>
  <c r="U1158" i="15"/>
  <c r="Q1159" i="15"/>
  <c r="T1159" i="15"/>
  <c r="U1159" i="15"/>
  <c r="Q1160" i="15"/>
  <c r="T1160" i="15"/>
  <c r="U1160" i="15"/>
  <c r="Q1161" i="15"/>
  <c r="T1161" i="15"/>
  <c r="U1161" i="15"/>
  <c r="Q1162" i="15"/>
  <c r="T1162" i="15"/>
  <c r="U1162" i="15"/>
  <c r="Q1163" i="15"/>
  <c r="T1163" i="15"/>
  <c r="U1163" i="15"/>
  <c r="Q1164" i="15"/>
  <c r="T1164" i="15"/>
  <c r="U1164" i="15"/>
  <c r="Q1165" i="15"/>
  <c r="T1165" i="15"/>
  <c r="U1165" i="15"/>
  <c r="Q1166" i="15"/>
  <c r="T1166" i="15"/>
  <c r="U1166" i="15"/>
  <c r="Q1167" i="15"/>
  <c r="T1167" i="15"/>
  <c r="U1167" i="15"/>
  <c r="Q1168" i="15"/>
  <c r="T1168" i="15"/>
  <c r="U1168" i="15"/>
  <c r="Q1169" i="15"/>
  <c r="T1169" i="15"/>
  <c r="U1169" i="15"/>
  <c r="Q1170" i="15"/>
  <c r="T1170" i="15"/>
  <c r="U1170" i="15"/>
  <c r="Q1171" i="15"/>
  <c r="T1171" i="15"/>
  <c r="U1171" i="15"/>
  <c r="Q1172" i="15"/>
  <c r="T1172" i="15"/>
  <c r="U1172" i="15"/>
  <c r="Q1173" i="15"/>
  <c r="T1173" i="15"/>
  <c r="U1173" i="15"/>
  <c r="Q1174" i="15"/>
  <c r="T1174" i="15"/>
  <c r="U1174" i="15"/>
  <c r="Q1175" i="15"/>
  <c r="T1175" i="15"/>
  <c r="U1175" i="15"/>
  <c r="Q1176" i="15"/>
  <c r="T1176" i="15"/>
  <c r="U1176" i="15"/>
  <c r="Q1177" i="15"/>
  <c r="T1177" i="15"/>
  <c r="U1177" i="15"/>
  <c r="Q1178" i="15"/>
  <c r="T1178" i="15"/>
  <c r="U1178" i="15"/>
  <c r="Q1179" i="15"/>
  <c r="T1179" i="15"/>
  <c r="U1179" i="15"/>
  <c r="Q1180" i="15"/>
  <c r="T1180" i="15"/>
  <c r="U1180" i="15"/>
  <c r="Q1181" i="15"/>
  <c r="T1181" i="15"/>
  <c r="U1181" i="15"/>
  <c r="Q1182" i="15"/>
  <c r="T1182" i="15"/>
  <c r="U1182" i="15"/>
  <c r="Q1183" i="15"/>
  <c r="T1183" i="15"/>
  <c r="U1183" i="15"/>
  <c r="Q1184" i="15"/>
  <c r="T1184" i="15"/>
  <c r="U1184" i="15"/>
  <c r="Q1185" i="15"/>
  <c r="T1185" i="15"/>
  <c r="U1185" i="15"/>
  <c r="Q1186" i="15"/>
  <c r="T1186" i="15"/>
  <c r="U1186" i="15"/>
  <c r="Q1187" i="15"/>
  <c r="T1187" i="15"/>
  <c r="U1187" i="15"/>
  <c r="Q1188" i="15"/>
  <c r="T1188" i="15"/>
  <c r="U1188" i="15"/>
  <c r="Q1189" i="15"/>
  <c r="T1189" i="15"/>
  <c r="U1189" i="15"/>
  <c r="Q1190" i="15"/>
  <c r="T1190" i="15"/>
  <c r="U1190" i="15"/>
  <c r="Q1191" i="15"/>
  <c r="T1191" i="15"/>
  <c r="U1191" i="15"/>
  <c r="Q1192" i="15"/>
  <c r="T1192" i="15"/>
  <c r="U1192" i="15"/>
  <c r="Q1193" i="15"/>
  <c r="T1193" i="15"/>
  <c r="U1193" i="15"/>
  <c r="Q1194" i="15"/>
  <c r="T1194" i="15"/>
  <c r="U1194" i="15"/>
  <c r="Q1195" i="15"/>
  <c r="T1195" i="15"/>
  <c r="U1195" i="15"/>
  <c r="Q1196" i="15"/>
  <c r="T1196" i="15"/>
  <c r="U1196" i="15"/>
  <c r="Q1197" i="15"/>
  <c r="T1197" i="15"/>
  <c r="U1197" i="15"/>
  <c r="Q1198" i="15"/>
  <c r="T1198" i="15"/>
  <c r="U1198" i="15"/>
  <c r="Q1199" i="15"/>
  <c r="T1199" i="15"/>
  <c r="U1199" i="15"/>
  <c r="Q1200" i="15"/>
  <c r="T1200" i="15"/>
  <c r="U1200" i="15"/>
  <c r="Q1201" i="15"/>
  <c r="T1201" i="15"/>
  <c r="U1201" i="15"/>
  <c r="Q1202" i="15"/>
  <c r="T1202" i="15"/>
  <c r="U1202" i="15"/>
  <c r="Q1203" i="15"/>
  <c r="T1203" i="15"/>
  <c r="U1203" i="15"/>
  <c r="Q1204" i="15"/>
  <c r="T1204" i="15"/>
  <c r="U1204" i="15"/>
  <c r="Q1205" i="15"/>
  <c r="T1205" i="15"/>
  <c r="U1205" i="15"/>
  <c r="Q1206" i="15"/>
  <c r="T1206" i="15"/>
  <c r="U1206" i="15"/>
  <c r="Q1207" i="15"/>
  <c r="T1207" i="15"/>
  <c r="U1207" i="15"/>
  <c r="Q1208" i="15"/>
  <c r="T1208" i="15"/>
  <c r="U1208" i="15"/>
  <c r="Q1209" i="15"/>
  <c r="T1209" i="15"/>
  <c r="U1209" i="15"/>
  <c r="Q1210" i="15"/>
  <c r="T1210" i="15"/>
  <c r="U1210" i="15"/>
  <c r="Q1211" i="15"/>
  <c r="T1211" i="15"/>
  <c r="U1211" i="15"/>
  <c r="Q1212" i="15"/>
  <c r="T1212" i="15"/>
  <c r="U1212" i="15"/>
  <c r="Q1213" i="15"/>
  <c r="T1213" i="15"/>
  <c r="U1213" i="15"/>
  <c r="Q1214" i="15"/>
  <c r="T1214" i="15"/>
  <c r="U1214" i="15"/>
  <c r="Q1215" i="15"/>
  <c r="T1215" i="15"/>
  <c r="U1215" i="15"/>
  <c r="Q1216" i="15"/>
  <c r="T1216" i="15"/>
  <c r="U1216" i="15"/>
  <c r="Q1217" i="15"/>
  <c r="T1217" i="15"/>
  <c r="U1217" i="15"/>
  <c r="Q1218" i="15"/>
  <c r="T1218" i="15"/>
  <c r="U1218" i="15"/>
  <c r="Q1219" i="15"/>
  <c r="T1219" i="15"/>
  <c r="U1219" i="15"/>
  <c r="Q1220" i="15"/>
  <c r="T1220" i="15"/>
  <c r="U1220" i="15"/>
  <c r="Q1221" i="15"/>
  <c r="T1221" i="15"/>
  <c r="U1221" i="15"/>
  <c r="Q1222" i="15"/>
  <c r="T1222" i="15"/>
  <c r="U1222" i="15"/>
  <c r="Q1223" i="15"/>
  <c r="T1223" i="15"/>
  <c r="U1223" i="15"/>
  <c r="Q1224" i="15"/>
  <c r="T1224" i="15"/>
  <c r="U1224" i="15"/>
  <c r="Q1225" i="15"/>
  <c r="T1225" i="15"/>
  <c r="U1225" i="15"/>
  <c r="Q1226" i="15"/>
  <c r="T1226" i="15"/>
  <c r="U1226" i="15"/>
  <c r="Q1227" i="15"/>
  <c r="T1227" i="15"/>
  <c r="U1227" i="15"/>
  <c r="Q1228" i="15"/>
  <c r="T1228" i="15"/>
  <c r="U1228" i="15"/>
  <c r="Q1229" i="15"/>
  <c r="T1229" i="15"/>
  <c r="U1229" i="15"/>
  <c r="Q1230" i="15"/>
  <c r="T1230" i="15"/>
  <c r="U1230" i="15"/>
  <c r="Q1231" i="15"/>
  <c r="T1231" i="15"/>
  <c r="U1231" i="15"/>
  <c r="Q1232" i="15"/>
  <c r="T1232" i="15"/>
  <c r="U1232" i="15"/>
  <c r="Q1233" i="15"/>
  <c r="T1233" i="15"/>
  <c r="U1233" i="15"/>
  <c r="Q1234" i="15"/>
  <c r="T1234" i="15"/>
  <c r="U1234" i="15"/>
  <c r="Q1235" i="15"/>
  <c r="T1235" i="15"/>
  <c r="U1235" i="15"/>
  <c r="Q1236" i="15"/>
  <c r="T1236" i="15"/>
  <c r="U1236" i="15"/>
  <c r="Q1237" i="15"/>
  <c r="T1237" i="15"/>
  <c r="U1237" i="15"/>
  <c r="Q1238" i="15"/>
  <c r="T1238" i="15"/>
  <c r="U1238" i="15"/>
  <c r="Q1239" i="15"/>
  <c r="T1239" i="15"/>
  <c r="U1239" i="15"/>
  <c r="Q1240" i="15"/>
  <c r="T1240" i="15"/>
  <c r="U1240" i="15"/>
  <c r="Q1241" i="15"/>
  <c r="T1241" i="15"/>
  <c r="U1241" i="15"/>
  <c r="Q1242" i="15"/>
  <c r="T1242" i="15"/>
  <c r="U1242" i="15"/>
  <c r="Q1243" i="15"/>
  <c r="T1243" i="15"/>
  <c r="U1243" i="15"/>
  <c r="Q1244" i="15"/>
  <c r="T1244" i="15"/>
  <c r="U1244" i="15"/>
  <c r="Q1245" i="15"/>
  <c r="T1245" i="15"/>
  <c r="U1245" i="15"/>
  <c r="Q1246" i="15"/>
  <c r="T1246" i="15"/>
  <c r="U1246" i="15"/>
  <c r="Q1247" i="15"/>
  <c r="T1247" i="15"/>
  <c r="U1247" i="15"/>
  <c r="Q1248" i="15"/>
  <c r="T1248" i="15"/>
  <c r="U1248" i="15"/>
  <c r="Q1249" i="15"/>
  <c r="T1249" i="15"/>
  <c r="U1249" i="15"/>
  <c r="Q1250" i="15"/>
  <c r="T1250" i="15"/>
  <c r="U1250" i="15"/>
  <c r="Q1251" i="15"/>
  <c r="T1251" i="15"/>
  <c r="U1251" i="15"/>
  <c r="Q1252" i="15"/>
  <c r="T1252" i="15"/>
  <c r="U1252" i="15"/>
  <c r="Q1253" i="15"/>
  <c r="T1253" i="15"/>
  <c r="U1253" i="15"/>
  <c r="Q1254" i="15"/>
  <c r="T1254" i="15"/>
  <c r="U1254" i="15"/>
  <c r="Q1255" i="15"/>
  <c r="T1255" i="15"/>
  <c r="U1255" i="15"/>
  <c r="Q1256" i="15"/>
  <c r="T1256" i="15"/>
  <c r="U1256" i="15"/>
  <c r="Q1257" i="15"/>
  <c r="T1257" i="15"/>
  <c r="U1257" i="15"/>
  <c r="Q1258" i="15"/>
  <c r="T1258" i="15"/>
  <c r="U1258" i="15"/>
  <c r="Q1259" i="15"/>
  <c r="T1259" i="15"/>
  <c r="U1259" i="15"/>
  <c r="Q1260" i="15"/>
  <c r="T1260" i="15"/>
  <c r="U1260" i="15"/>
  <c r="Q1261" i="15"/>
  <c r="T1261" i="15"/>
  <c r="U1261" i="15"/>
  <c r="Q1262" i="15"/>
  <c r="T1262" i="15"/>
  <c r="U1262" i="15"/>
  <c r="Q1263" i="15"/>
  <c r="T1263" i="15"/>
  <c r="U1263" i="15"/>
  <c r="Q1264" i="15"/>
  <c r="T1264" i="15"/>
  <c r="U1264" i="15"/>
  <c r="Q1265" i="15"/>
  <c r="T1265" i="15"/>
  <c r="U1265" i="15"/>
  <c r="Q1266" i="15"/>
  <c r="T1266" i="15"/>
  <c r="U1266" i="15"/>
  <c r="Q1267" i="15"/>
  <c r="T1267" i="15"/>
  <c r="U1267" i="15"/>
  <c r="Q1268" i="15"/>
  <c r="T1268" i="15"/>
  <c r="U1268" i="15"/>
  <c r="Q1269" i="15"/>
  <c r="T1269" i="15"/>
  <c r="U1269" i="15"/>
  <c r="Q1270" i="15"/>
  <c r="T1270" i="15"/>
  <c r="U1270" i="15"/>
  <c r="Q1271" i="15"/>
  <c r="T1271" i="15"/>
  <c r="U1271" i="15"/>
  <c r="Q1272" i="15"/>
  <c r="T1272" i="15"/>
  <c r="U1272" i="15"/>
  <c r="Q1273" i="15"/>
  <c r="T1273" i="15"/>
  <c r="U1273" i="15"/>
  <c r="Q1274" i="15"/>
  <c r="T1274" i="15"/>
  <c r="U1274" i="15"/>
  <c r="Q1275" i="15"/>
  <c r="T1275" i="15"/>
  <c r="U1275" i="15"/>
  <c r="Q1276" i="15"/>
  <c r="T1276" i="15"/>
  <c r="U1276" i="15"/>
  <c r="Q1277" i="15"/>
  <c r="T1277" i="15"/>
  <c r="U1277" i="15"/>
  <c r="Q1278" i="15"/>
  <c r="T1278" i="15"/>
  <c r="U1278" i="15"/>
  <c r="Q1279" i="15"/>
  <c r="T1279" i="15"/>
  <c r="U1279" i="15"/>
  <c r="Q1280" i="15"/>
  <c r="T1280" i="15"/>
  <c r="U1280" i="15"/>
  <c r="Q1281" i="15"/>
  <c r="T1281" i="15"/>
  <c r="U1281" i="15"/>
  <c r="Q1282" i="15"/>
  <c r="T1282" i="15"/>
  <c r="U1282" i="15"/>
  <c r="Q1283" i="15"/>
  <c r="T1283" i="15"/>
  <c r="U1283" i="15"/>
  <c r="Q1284" i="15"/>
  <c r="T1284" i="15"/>
  <c r="U1284" i="15"/>
  <c r="Q1285" i="15"/>
  <c r="T1285" i="15"/>
  <c r="U1285" i="15"/>
  <c r="Q1286" i="15"/>
  <c r="T1286" i="15"/>
  <c r="U1286" i="15"/>
  <c r="Q1287" i="15"/>
  <c r="T1287" i="15"/>
  <c r="U1287" i="15"/>
  <c r="Q1288" i="15"/>
  <c r="T1288" i="15"/>
  <c r="U1288" i="15"/>
  <c r="Q1289" i="15"/>
  <c r="T1289" i="15"/>
  <c r="U1289" i="15"/>
  <c r="Q1290" i="15"/>
  <c r="T1290" i="15"/>
  <c r="U1290" i="15"/>
  <c r="Q1291" i="15"/>
  <c r="T1291" i="15"/>
  <c r="U1291" i="15"/>
  <c r="Q1292" i="15"/>
  <c r="T1292" i="15"/>
  <c r="U1292" i="15"/>
  <c r="Q1293" i="15"/>
  <c r="T1293" i="15"/>
  <c r="U1293" i="15"/>
  <c r="Q1294" i="15"/>
  <c r="T1294" i="15"/>
  <c r="U1294" i="15"/>
  <c r="Q1295" i="15"/>
  <c r="T1295" i="15"/>
  <c r="U1295" i="15"/>
  <c r="Q1296" i="15"/>
  <c r="T1296" i="15"/>
  <c r="U1296" i="15"/>
  <c r="Q1297" i="15"/>
  <c r="T1297" i="15"/>
  <c r="U1297" i="15"/>
  <c r="Q1298" i="15"/>
  <c r="T1298" i="15"/>
  <c r="U1298" i="15"/>
  <c r="Q1299" i="15"/>
  <c r="T1299" i="15"/>
  <c r="U1299" i="15"/>
  <c r="Q1300" i="15"/>
  <c r="T1300" i="15"/>
  <c r="U1300" i="15"/>
  <c r="Q1301" i="15"/>
  <c r="T1301" i="15"/>
  <c r="U1301" i="15"/>
  <c r="Q1302" i="15"/>
  <c r="T1302" i="15"/>
  <c r="U1302" i="15"/>
  <c r="Q1303" i="15"/>
  <c r="T1303" i="15"/>
  <c r="U1303" i="15"/>
  <c r="Q1304" i="15"/>
  <c r="T1304" i="15"/>
  <c r="U1304" i="15"/>
  <c r="Q1305" i="15"/>
  <c r="T1305" i="15"/>
  <c r="U1305" i="15"/>
  <c r="Q1306" i="15"/>
  <c r="T1306" i="15"/>
  <c r="U1306" i="15"/>
  <c r="Q1307" i="15"/>
  <c r="T1307" i="15"/>
  <c r="U1307" i="15"/>
  <c r="Q1308" i="15"/>
  <c r="T1308" i="15"/>
  <c r="U1308" i="15"/>
  <c r="Q1309" i="15"/>
  <c r="T1309" i="15"/>
  <c r="U1309" i="15"/>
  <c r="Q1310" i="15"/>
  <c r="T1310" i="15"/>
  <c r="U1310" i="15"/>
  <c r="Q1311" i="15"/>
  <c r="T1311" i="15"/>
  <c r="U1311" i="15"/>
  <c r="Q1312" i="15"/>
  <c r="T1312" i="15"/>
  <c r="U1312" i="15"/>
  <c r="Q1313" i="15"/>
  <c r="T1313" i="15"/>
  <c r="U1313" i="15"/>
  <c r="Q1314" i="15"/>
  <c r="T1314" i="15"/>
  <c r="U1314" i="15"/>
  <c r="Q1315" i="15"/>
  <c r="T1315" i="15"/>
  <c r="U1315" i="15"/>
  <c r="Q1316" i="15"/>
  <c r="T1316" i="15"/>
  <c r="U1316" i="15"/>
  <c r="Q1317" i="15"/>
  <c r="T1317" i="15"/>
  <c r="U1317" i="15"/>
  <c r="Q1318" i="15"/>
  <c r="T1318" i="15"/>
  <c r="U1318" i="15"/>
  <c r="Q1319" i="15"/>
  <c r="T1319" i="15"/>
  <c r="U1319" i="15"/>
  <c r="Q1320" i="15"/>
  <c r="T1320" i="15"/>
  <c r="U1320" i="15"/>
  <c r="Q1321" i="15"/>
  <c r="T1321" i="15"/>
  <c r="U1321" i="15"/>
  <c r="Q1322" i="15"/>
  <c r="T1322" i="15"/>
  <c r="U1322" i="15"/>
  <c r="Q1323" i="15"/>
  <c r="T1323" i="15"/>
  <c r="U1323" i="15"/>
  <c r="Q1324" i="15"/>
  <c r="T1324" i="15"/>
  <c r="U1324" i="15"/>
  <c r="Q1325" i="15"/>
  <c r="T1325" i="15"/>
  <c r="U1325" i="15"/>
  <c r="Q1326" i="15"/>
  <c r="T1326" i="15"/>
  <c r="U1326" i="15"/>
  <c r="Q1327" i="15"/>
  <c r="T1327" i="15"/>
  <c r="U1327" i="15"/>
  <c r="Q1328" i="15"/>
  <c r="T1328" i="15"/>
  <c r="U1328" i="15"/>
  <c r="Q1329" i="15"/>
  <c r="T1329" i="15"/>
  <c r="U1329" i="15"/>
  <c r="Q1330" i="15"/>
  <c r="T1330" i="15"/>
  <c r="U1330" i="15"/>
  <c r="Q1331" i="15"/>
  <c r="T1331" i="15"/>
  <c r="U1331" i="15"/>
  <c r="Q1332" i="15"/>
  <c r="T1332" i="15"/>
  <c r="U1332" i="15"/>
  <c r="Q1333" i="15"/>
  <c r="T1333" i="15"/>
  <c r="U1333" i="15"/>
  <c r="Q1334" i="15"/>
  <c r="T1334" i="15"/>
  <c r="U1334" i="15"/>
  <c r="Q1335" i="15"/>
  <c r="T1335" i="15"/>
  <c r="U1335" i="15"/>
  <c r="Q1336" i="15"/>
  <c r="T1336" i="15"/>
  <c r="U1336" i="15"/>
  <c r="Q1337" i="15"/>
  <c r="T1337" i="15"/>
  <c r="U1337" i="15"/>
  <c r="Q1338" i="15"/>
  <c r="T1338" i="15"/>
  <c r="U1338" i="15"/>
  <c r="Q1339" i="15"/>
  <c r="T1339" i="15"/>
  <c r="U1339" i="15"/>
  <c r="Q1340" i="15"/>
  <c r="T1340" i="15"/>
  <c r="U1340" i="15"/>
  <c r="Q1341" i="15"/>
  <c r="T1341" i="15"/>
  <c r="U1341" i="15"/>
  <c r="Q1342" i="15"/>
  <c r="T1342" i="15"/>
  <c r="U1342" i="15"/>
  <c r="Q1343" i="15"/>
  <c r="T1343" i="15"/>
  <c r="U1343" i="15"/>
  <c r="Q1344" i="15"/>
  <c r="T1344" i="15"/>
  <c r="U1344" i="15"/>
  <c r="Q1345" i="15"/>
  <c r="T1345" i="15"/>
  <c r="U1345" i="15"/>
  <c r="Q1346" i="15"/>
  <c r="T1346" i="15"/>
  <c r="U1346" i="15"/>
  <c r="Q1347" i="15"/>
  <c r="T1347" i="15"/>
  <c r="U1347" i="15"/>
  <c r="Q1348" i="15"/>
  <c r="T1348" i="15"/>
  <c r="U1348" i="15"/>
  <c r="Q1349" i="15"/>
  <c r="T1349" i="15"/>
  <c r="U1349" i="15"/>
  <c r="Q1350" i="15"/>
  <c r="T1350" i="15"/>
  <c r="U1350" i="15"/>
  <c r="Q1351" i="15"/>
  <c r="T1351" i="15"/>
  <c r="U1351" i="15"/>
  <c r="Q1352" i="15"/>
  <c r="T1352" i="15"/>
  <c r="U1352" i="15"/>
  <c r="Q1353" i="15"/>
  <c r="T1353" i="15"/>
  <c r="U1353" i="15"/>
  <c r="Q1354" i="15"/>
  <c r="T1354" i="15"/>
  <c r="U1354" i="15"/>
  <c r="Q1355" i="15"/>
  <c r="T1355" i="15"/>
  <c r="U1355" i="15"/>
  <c r="Q1356" i="15"/>
  <c r="T1356" i="15"/>
  <c r="U1356" i="15"/>
  <c r="Q1357" i="15"/>
  <c r="T1357" i="15"/>
  <c r="U1357" i="15"/>
  <c r="Q1358" i="15"/>
  <c r="T1358" i="15"/>
  <c r="U1358" i="15"/>
  <c r="Q1359" i="15"/>
  <c r="T1359" i="15"/>
  <c r="U1359" i="15"/>
  <c r="Q1360" i="15"/>
  <c r="T1360" i="15"/>
  <c r="U1360" i="15"/>
  <c r="Q1361" i="15"/>
  <c r="T1361" i="15"/>
  <c r="U1361" i="15"/>
  <c r="Q1362" i="15"/>
  <c r="T1362" i="15"/>
  <c r="U1362" i="15"/>
  <c r="Q1363" i="15"/>
  <c r="T1363" i="15"/>
  <c r="U1363" i="15"/>
  <c r="Q1364" i="15"/>
  <c r="T1364" i="15"/>
  <c r="U1364" i="15"/>
  <c r="Q1365" i="15"/>
  <c r="T1365" i="15"/>
  <c r="U1365" i="15"/>
  <c r="Q1366" i="15"/>
  <c r="T1366" i="15"/>
  <c r="U1366" i="15"/>
  <c r="Q1367" i="15"/>
  <c r="T1367" i="15"/>
  <c r="U1367" i="15"/>
  <c r="Q1368" i="15"/>
  <c r="T1368" i="15"/>
  <c r="U1368" i="15"/>
  <c r="Q1369" i="15"/>
  <c r="T1369" i="15"/>
  <c r="U1369" i="15"/>
  <c r="Q1370" i="15"/>
  <c r="T1370" i="15"/>
  <c r="U1370" i="15"/>
  <c r="Q1371" i="15"/>
  <c r="T1371" i="15"/>
  <c r="U1371" i="15"/>
  <c r="Q1372" i="15"/>
  <c r="T1372" i="15"/>
  <c r="U1372" i="15"/>
  <c r="Q1373" i="15"/>
  <c r="T1373" i="15"/>
  <c r="U1373" i="15"/>
  <c r="Q1374" i="15"/>
  <c r="T1374" i="15"/>
  <c r="U1374" i="15"/>
  <c r="Q1375" i="15"/>
  <c r="T1375" i="15"/>
  <c r="U1375" i="15"/>
  <c r="Q1376" i="15"/>
  <c r="T1376" i="15"/>
  <c r="U1376" i="15"/>
  <c r="Q1377" i="15"/>
  <c r="T1377" i="15"/>
  <c r="U1377" i="15"/>
  <c r="Q1378" i="15"/>
  <c r="T1378" i="15"/>
  <c r="U1378" i="15"/>
  <c r="Q1379" i="15"/>
  <c r="T1379" i="15"/>
  <c r="U1379" i="15"/>
  <c r="Q1380" i="15"/>
  <c r="T1380" i="15"/>
  <c r="U1380" i="15"/>
  <c r="Q1381" i="15"/>
  <c r="T1381" i="15"/>
  <c r="U1381" i="15"/>
  <c r="Q1382" i="15"/>
  <c r="T1382" i="15"/>
  <c r="U1382" i="15"/>
  <c r="Q1383" i="15"/>
  <c r="T1383" i="15"/>
  <c r="U1383" i="15"/>
  <c r="Q1384" i="15"/>
  <c r="T1384" i="15"/>
  <c r="U1384" i="15"/>
  <c r="Q1385" i="15"/>
  <c r="T1385" i="15"/>
  <c r="U1385" i="15"/>
  <c r="Q1386" i="15"/>
  <c r="T1386" i="15"/>
  <c r="U1386" i="15"/>
  <c r="Q1387" i="15"/>
  <c r="T1387" i="15"/>
  <c r="U1387" i="15"/>
  <c r="Q1388" i="15"/>
  <c r="T1388" i="15"/>
  <c r="U1388" i="15"/>
  <c r="Q1389" i="15"/>
  <c r="T1389" i="15"/>
  <c r="U1389" i="15"/>
  <c r="Q1390" i="15"/>
  <c r="T1390" i="15"/>
  <c r="U1390" i="15"/>
  <c r="Q1391" i="15"/>
  <c r="T1391" i="15"/>
  <c r="U1391" i="15"/>
  <c r="Q1392" i="15"/>
  <c r="T1392" i="15"/>
  <c r="U1392" i="15"/>
  <c r="Q1393" i="15"/>
  <c r="T1393" i="15"/>
  <c r="U1393" i="15"/>
  <c r="Q1394" i="15"/>
  <c r="T1394" i="15"/>
  <c r="U1394" i="15"/>
  <c r="Q1395" i="15"/>
  <c r="T1395" i="15"/>
  <c r="U1395" i="15"/>
  <c r="Q1396" i="15"/>
  <c r="T1396" i="15"/>
  <c r="U1396" i="15"/>
  <c r="Q1397" i="15"/>
  <c r="T1397" i="15"/>
  <c r="U1397" i="15"/>
  <c r="Q1398" i="15"/>
  <c r="T1398" i="15"/>
  <c r="U1398" i="15"/>
  <c r="Q1399" i="15"/>
  <c r="T1399" i="15"/>
  <c r="U1399" i="15"/>
  <c r="Q1400" i="15"/>
  <c r="T1400" i="15"/>
  <c r="U1400" i="15"/>
  <c r="Q1401" i="15"/>
  <c r="T1401" i="15"/>
  <c r="U1401" i="15"/>
  <c r="Q1402" i="15"/>
  <c r="T1402" i="15"/>
  <c r="U1402" i="15"/>
  <c r="Q1403" i="15"/>
  <c r="T1403" i="15"/>
  <c r="U1403" i="15"/>
  <c r="Q1404" i="15"/>
  <c r="T1404" i="15"/>
  <c r="U1404" i="15"/>
  <c r="Q1405" i="15"/>
  <c r="T1405" i="15"/>
  <c r="U1405" i="15"/>
  <c r="Q1406" i="15"/>
  <c r="T1406" i="15"/>
  <c r="U1406" i="15"/>
  <c r="Q1407" i="15"/>
  <c r="T1407" i="15"/>
  <c r="U1407" i="15"/>
  <c r="Q1408" i="15"/>
  <c r="T1408" i="15"/>
  <c r="U1408" i="15"/>
  <c r="Q1409" i="15"/>
  <c r="T1409" i="15"/>
  <c r="U1409" i="15"/>
  <c r="Q1410" i="15"/>
  <c r="T1410" i="15"/>
  <c r="U1410" i="15"/>
  <c r="Q1411" i="15"/>
  <c r="T1411" i="15"/>
  <c r="U1411" i="15"/>
  <c r="Q1412" i="15"/>
  <c r="T1412" i="15"/>
  <c r="U1412" i="15"/>
  <c r="Q1413" i="15"/>
  <c r="T1413" i="15"/>
  <c r="U1413" i="15"/>
  <c r="Q1414" i="15"/>
  <c r="T1414" i="15"/>
  <c r="U1414" i="15"/>
  <c r="Q1415" i="15"/>
  <c r="T1415" i="15"/>
  <c r="U1415" i="15"/>
  <c r="Q1416" i="15"/>
  <c r="T1416" i="15"/>
  <c r="U1416" i="15"/>
  <c r="Q1417" i="15"/>
  <c r="T1417" i="15"/>
  <c r="U1417" i="15"/>
  <c r="Q1418" i="15"/>
  <c r="T1418" i="15"/>
  <c r="U1418" i="15"/>
  <c r="Q1419" i="15"/>
  <c r="T1419" i="15"/>
  <c r="U1419" i="15"/>
  <c r="Q1420" i="15"/>
  <c r="T1420" i="15"/>
  <c r="U1420" i="15"/>
  <c r="Q1421" i="15"/>
  <c r="T1421" i="15"/>
  <c r="U1421" i="15"/>
  <c r="Q1422" i="15"/>
  <c r="T1422" i="15"/>
  <c r="U1422" i="15"/>
  <c r="Q1423" i="15"/>
  <c r="T1423" i="15"/>
  <c r="U1423" i="15"/>
  <c r="Q1424" i="15"/>
  <c r="T1424" i="15"/>
  <c r="U1424" i="15"/>
  <c r="Q1425" i="15"/>
  <c r="T1425" i="15"/>
  <c r="U1425" i="15"/>
  <c r="Q1426" i="15"/>
  <c r="T1426" i="15"/>
  <c r="U1426" i="15"/>
  <c r="Q1427" i="15"/>
  <c r="T1427" i="15"/>
  <c r="U1427" i="15"/>
  <c r="Q1428" i="15"/>
  <c r="T1428" i="15"/>
  <c r="U1428" i="15"/>
  <c r="Q1429" i="15"/>
  <c r="T1429" i="15"/>
  <c r="U1429" i="15"/>
  <c r="Q1430" i="15"/>
  <c r="T1430" i="15"/>
  <c r="U1430" i="15"/>
  <c r="Q1431" i="15"/>
  <c r="T1431" i="15"/>
  <c r="U1431" i="15"/>
  <c r="Q1432" i="15"/>
  <c r="T1432" i="15"/>
  <c r="U1432" i="15"/>
  <c r="Q1433" i="15"/>
  <c r="T1433" i="15"/>
  <c r="U1433" i="15"/>
  <c r="Q1434" i="15"/>
  <c r="T1434" i="15"/>
  <c r="U1434" i="15"/>
  <c r="Q1435" i="15"/>
  <c r="T1435" i="15"/>
  <c r="U1435" i="15"/>
  <c r="Q1436" i="15"/>
  <c r="T1436" i="15"/>
  <c r="U1436" i="15"/>
  <c r="Q1437" i="15"/>
  <c r="T1437" i="15"/>
  <c r="U1437" i="15"/>
  <c r="Q1438" i="15"/>
  <c r="T1438" i="15"/>
  <c r="U1438" i="15"/>
  <c r="Q1439" i="15"/>
  <c r="T1439" i="15"/>
  <c r="U1439" i="15"/>
  <c r="Q1440" i="15"/>
  <c r="T1440" i="15"/>
  <c r="U1440" i="15"/>
  <c r="Q1441" i="15"/>
  <c r="T1441" i="15"/>
  <c r="U1441" i="15"/>
  <c r="Q1442" i="15"/>
  <c r="T1442" i="15"/>
  <c r="U1442" i="15"/>
  <c r="Q1443" i="15"/>
  <c r="T1443" i="15"/>
  <c r="U1443" i="15"/>
  <c r="Q1444" i="15"/>
  <c r="T1444" i="15"/>
  <c r="U1444" i="15"/>
  <c r="Q1445" i="15"/>
  <c r="T1445" i="15"/>
  <c r="U1445" i="15"/>
  <c r="Q1446" i="15"/>
  <c r="T1446" i="15"/>
  <c r="U1446" i="15"/>
  <c r="Q1447" i="15"/>
  <c r="T1447" i="15"/>
  <c r="U1447" i="15"/>
  <c r="Q1448" i="15"/>
  <c r="T1448" i="15"/>
  <c r="U1448" i="15"/>
  <c r="Q1449" i="15"/>
  <c r="T1449" i="15"/>
  <c r="U1449" i="15"/>
  <c r="Q1450" i="15"/>
  <c r="T1450" i="15"/>
  <c r="U1450" i="15"/>
  <c r="Q1451" i="15"/>
  <c r="T1451" i="15"/>
  <c r="U1451" i="15"/>
  <c r="Q1452" i="15"/>
  <c r="T1452" i="15"/>
  <c r="U1452" i="15"/>
  <c r="Q1453" i="15"/>
  <c r="T1453" i="15"/>
  <c r="U1453" i="15"/>
  <c r="Q1454" i="15"/>
  <c r="T1454" i="15"/>
  <c r="U1454" i="15"/>
  <c r="Q1455" i="15"/>
  <c r="T1455" i="15"/>
  <c r="U1455" i="15"/>
  <c r="Q1456" i="15"/>
  <c r="T1456" i="15"/>
  <c r="U1456" i="15"/>
  <c r="Q1457" i="15"/>
  <c r="T1457" i="15"/>
  <c r="U1457" i="15"/>
  <c r="Q1458" i="15"/>
  <c r="T1458" i="15"/>
  <c r="U1458" i="15"/>
  <c r="Q1459" i="15"/>
  <c r="T1459" i="15"/>
  <c r="U1459" i="15"/>
  <c r="Q1460" i="15"/>
  <c r="T1460" i="15"/>
  <c r="U1460" i="15"/>
  <c r="Q1461" i="15"/>
  <c r="T1461" i="15"/>
  <c r="U1461" i="15"/>
  <c r="Q1462" i="15"/>
  <c r="T1462" i="15"/>
  <c r="U1462" i="15"/>
  <c r="Q1463" i="15"/>
  <c r="T1463" i="15"/>
  <c r="U1463" i="15"/>
  <c r="Q1464" i="15"/>
  <c r="T1464" i="15"/>
  <c r="U1464" i="15"/>
  <c r="Q1465" i="15"/>
  <c r="T1465" i="15"/>
  <c r="U1465" i="15"/>
  <c r="Q1466" i="15"/>
  <c r="T1466" i="15"/>
  <c r="U1466" i="15"/>
  <c r="Q1467" i="15"/>
  <c r="T1467" i="15"/>
  <c r="U1467" i="15"/>
  <c r="Q1468" i="15"/>
  <c r="T1468" i="15"/>
  <c r="U1468" i="15"/>
  <c r="Q1469" i="15"/>
  <c r="T1469" i="15"/>
  <c r="U1469" i="15"/>
  <c r="Q1470" i="15"/>
  <c r="T1470" i="15"/>
  <c r="U1470" i="15"/>
  <c r="Q1471" i="15"/>
  <c r="T1471" i="15"/>
  <c r="U1471" i="15"/>
  <c r="Q1472" i="15"/>
  <c r="T1472" i="15"/>
  <c r="U1472" i="15"/>
  <c r="Q1473" i="15"/>
  <c r="T1473" i="15"/>
  <c r="U1473" i="15"/>
  <c r="Q1474" i="15"/>
  <c r="T1474" i="15"/>
  <c r="U1474" i="15"/>
  <c r="Q1475" i="15"/>
  <c r="T1475" i="15"/>
  <c r="U1475" i="15"/>
  <c r="Q1476" i="15"/>
  <c r="T1476" i="15"/>
  <c r="U1476" i="15"/>
  <c r="Q1477" i="15"/>
  <c r="T1477" i="15"/>
  <c r="U1477" i="15"/>
  <c r="Q1478" i="15"/>
  <c r="T1478" i="15"/>
  <c r="U1478" i="15"/>
  <c r="Q1479" i="15"/>
  <c r="T1479" i="15"/>
  <c r="U1479" i="15"/>
  <c r="Q1480" i="15"/>
  <c r="T1480" i="15"/>
  <c r="U1480" i="15"/>
  <c r="Q1481" i="15"/>
  <c r="T1481" i="15"/>
  <c r="U1481" i="15"/>
  <c r="Q1482" i="15"/>
  <c r="T1482" i="15"/>
  <c r="U1482" i="15"/>
  <c r="Q1483" i="15"/>
  <c r="T1483" i="15"/>
  <c r="U1483" i="15"/>
  <c r="Q1484" i="15"/>
  <c r="T1484" i="15"/>
  <c r="U1484" i="15"/>
  <c r="Q1485" i="15"/>
  <c r="T1485" i="15"/>
  <c r="U1485" i="15"/>
  <c r="Q1486" i="15"/>
  <c r="T1486" i="15"/>
  <c r="U1486" i="15"/>
  <c r="Q1487" i="15"/>
  <c r="T1487" i="15"/>
  <c r="U1487" i="15"/>
  <c r="Q1488" i="15"/>
  <c r="T1488" i="15"/>
  <c r="U1488" i="15"/>
  <c r="Q1489" i="15"/>
  <c r="T1489" i="15"/>
  <c r="U1489" i="15"/>
  <c r="Q1490" i="15"/>
  <c r="T1490" i="15"/>
  <c r="U1490" i="15"/>
  <c r="Q1491" i="15"/>
  <c r="T1491" i="15"/>
  <c r="U1491" i="15"/>
  <c r="Q1492" i="15"/>
  <c r="T1492" i="15"/>
  <c r="U1492" i="15"/>
  <c r="Q1493" i="15"/>
  <c r="T1493" i="15"/>
  <c r="U1493" i="15"/>
  <c r="Q1494" i="15"/>
  <c r="T1494" i="15"/>
  <c r="U1494" i="15"/>
  <c r="Q1495" i="15"/>
  <c r="T1495" i="15"/>
  <c r="U1495" i="15"/>
  <c r="Q1496" i="15"/>
  <c r="T1496" i="15"/>
  <c r="U1496" i="15"/>
  <c r="Q1497" i="15"/>
  <c r="T1497" i="15"/>
  <c r="U1497" i="15"/>
  <c r="Q1498" i="15"/>
  <c r="T1498" i="15"/>
  <c r="U1498" i="15"/>
  <c r="Q1499" i="15"/>
  <c r="T1499" i="15"/>
  <c r="U1499" i="15"/>
  <c r="Q1500" i="15"/>
  <c r="T1500" i="15"/>
  <c r="U1500" i="15"/>
  <c r="Q1501" i="15"/>
  <c r="T1501" i="15"/>
  <c r="U1501" i="15"/>
  <c r="Q1502" i="15"/>
  <c r="T1502" i="15"/>
  <c r="U1502" i="15"/>
  <c r="Q1503" i="15"/>
  <c r="T1503" i="15"/>
  <c r="U1503" i="15"/>
  <c r="Q1504" i="15"/>
  <c r="T1504" i="15"/>
  <c r="U1504" i="15"/>
  <c r="Q1505" i="15"/>
  <c r="T1505" i="15"/>
  <c r="U1505" i="15"/>
  <c r="Q1506" i="15"/>
  <c r="T1506" i="15"/>
  <c r="U1506" i="15"/>
  <c r="Q1507" i="15"/>
  <c r="T1507" i="15"/>
  <c r="U1507" i="15"/>
  <c r="Q1508" i="15"/>
  <c r="T1508" i="15"/>
  <c r="U1508" i="15"/>
  <c r="Q1509" i="15"/>
  <c r="T1509" i="15"/>
  <c r="U1509" i="15"/>
  <c r="Q1510" i="15"/>
  <c r="T1510" i="15"/>
  <c r="U1510" i="15"/>
  <c r="Q1511" i="15"/>
  <c r="T1511" i="15"/>
  <c r="U1511" i="15"/>
  <c r="Q1512" i="15"/>
  <c r="T1512" i="15"/>
  <c r="U1512" i="15"/>
  <c r="Q1513" i="15"/>
  <c r="T1513" i="15"/>
  <c r="U1513" i="15"/>
  <c r="Q1514" i="15"/>
  <c r="T1514" i="15"/>
  <c r="U1514" i="15"/>
  <c r="Q1515" i="15"/>
  <c r="T1515" i="15"/>
  <c r="U1515" i="15"/>
  <c r="Q1516" i="15"/>
  <c r="T1516" i="15"/>
  <c r="U1516" i="15"/>
  <c r="Q1517" i="15"/>
  <c r="T1517" i="15"/>
  <c r="U1517" i="15"/>
  <c r="Q1518" i="15"/>
  <c r="T1518" i="15"/>
  <c r="U1518" i="15"/>
  <c r="Q1519" i="15"/>
  <c r="T1519" i="15"/>
  <c r="U1519" i="15"/>
  <c r="Q1520" i="15"/>
  <c r="T1520" i="15"/>
  <c r="U1520" i="15"/>
  <c r="Q1521" i="15"/>
  <c r="T1521" i="15"/>
  <c r="U1521" i="15"/>
  <c r="Q1522" i="15"/>
  <c r="T1522" i="15"/>
  <c r="U1522" i="15"/>
  <c r="Q1523" i="15"/>
  <c r="T1523" i="15"/>
  <c r="U1523" i="15"/>
  <c r="Q1524" i="15"/>
  <c r="T1524" i="15"/>
  <c r="U1524" i="15"/>
  <c r="Q1525" i="15"/>
  <c r="T1525" i="15"/>
  <c r="U1525" i="15"/>
  <c r="Q1526" i="15"/>
  <c r="T1526" i="15"/>
  <c r="U1526" i="15"/>
  <c r="Q1527" i="15"/>
  <c r="T1527" i="15"/>
  <c r="U1527" i="15"/>
  <c r="Q1528" i="15"/>
  <c r="T1528" i="15"/>
  <c r="U1528" i="15"/>
  <c r="Q1529" i="15"/>
  <c r="T1529" i="15"/>
  <c r="U1529" i="15"/>
  <c r="Q1530" i="15"/>
  <c r="T1530" i="15"/>
  <c r="U1530" i="15"/>
  <c r="Q1531" i="15"/>
  <c r="T1531" i="15"/>
  <c r="U1531" i="15"/>
  <c r="Q1532" i="15"/>
  <c r="T1532" i="15"/>
  <c r="U1532" i="15"/>
  <c r="Q1533" i="15"/>
  <c r="T1533" i="15"/>
  <c r="U1533" i="15"/>
  <c r="Q1534" i="15"/>
  <c r="T1534" i="15"/>
  <c r="U1534" i="15"/>
  <c r="Q1535" i="15"/>
  <c r="T1535" i="15"/>
  <c r="U1535" i="15"/>
  <c r="Q1536" i="15"/>
  <c r="T1536" i="15"/>
  <c r="U1536" i="15"/>
  <c r="Q1537" i="15"/>
  <c r="T1537" i="15"/>
  <c r="U1537" i="15"/>
  <c r="Q1538" i="15"/>
  <c r="T1538" i="15"/>
  <c r="U1538" i="15"/>
  <c r="Q1539" i="15"/>
  <c r="T1539" i="15"/>
  <c r="U1539" i="15"/>
  <c r="Q1540" i="15"/>
  <c r="T1540" i="15"/>
  <c r="U1540" i="15"/>
  <c r="Q1541" i="15"/>
  <c r="T1541" i="15"/>
  <c r="U1541" i="15"/>
  <c r="Q1542" i="15"/>
  <c r="T1542" i="15"/>
  <c r="U1542" i="15"/>
  <c r="Q1543" i="15"/>
  <c r="T1543" i="15"/>
  <c r="U1543" i="15"/>
  <c r="Q1544" i="15"/>
  <c r="T1544" i="15"/>
  <c r="U1544" i="15"/>
  <c r="Q1545" i="15"/>
  <c r="T1545" i="15"/>
  <c r="U1545" i="15"/>
  <c r="Q1546" i="15"/>
  <c r="T1546" i="15"/>
  <c r="U1546" i="15"/>
  <c r="Q1547" i="15"/>
  <c r="T1547" i="15"/>
  <c r="U1547" i="15"/>
  <c r="Q1548" i="15"/>
  <c r="T1548" i="15"/>
  <c r="U1548" i="15"/>
  <c r="Q1549" i="15"/>
  <c r="T1549" i="15"/>
  <c r="U1549" i="15"/>
  <c r="Q1550" i="15"/>
  <c r="T1550" i="15"/>
  <c r="U1550" i="15"/>
  <c r="Q1551" i="15"/>
  <c r="T1551" i="15"/>
  <c r="U1551" i="15"/>
  <c r="Q1552" i="15"/>
  <c r="T1552" i="15"/>
  <c r="U1552" i="15"/>
  <c r="Q1553" i="15"/>
  <c r="T1553" i="15"/>
  <c r="U1553" i="15"/>
  <c r="Q1554" i="15"/>
  <c r="T1554" i="15"/>
  <c r="U1554" i="15"/>
  <c r="Q1555" i="15"/>
  <c r="T1555" i="15"/>
  <c r="U1555" i="15"/>
  <c r="Q1556" i="15"/>
  <c r="T1556" i="15"/>
  <c r="U1556" i="15"/>
  <c r="Q1557" i="15"/>
  <c r="T1557" i="15"/>
  <c r="U1557" i="15"/>
  <c r="Q1558" i="15"/>
  <c r="T1558" i="15"/>
  <c r="U1558" i="15"/>
  <c r="Q1559" i="15"/>
  <c r="T1559" i="15"/>
  <c r="U1559" i="15"/>
  <c r="Q1560" i="15"/>
  <c r="T1560" i="15"/>
  <c r="U1560" i="15"/>
  <c r="Q1561" i="15"/>
  <c r="T1561" i="15"/>
  <c r="U1561" i="15"/>
  <c r="Q1562" i="15"/>
  <c r="T1562" i="15"/>
  <c r="U1562" i="15"/>
  <c r="Q1563" i="15"/>
  <c r="T1563" i="15"/>
  <c r="U1563" i="15"/>
  <c r="Q1564" i="15"/>
  <c r="T1564" i="15"/>
  <c r="U1564" i="15"/>
  <c r="Q1565" i="15"/>
  <c r="T1565" i="15"/>
  <c r="U1565" i="15"/>
  <c r="Q1566" i="15"/>
  <c r="T1566" i="15"/>
  <c r="U1566" i="15"/>
  <c r="Q1567" i="15"/>
  <c r="T1567" i="15"/>
  <c r="U1567" i="15"/>
  <c r="Q1568" i="15"/>
  <c r="T1568" i="15"/>
  <c r="U1568" i="15"/>
  <c r="Q1569" i="15"/>
  <c r="T1569" i="15"/>
  <c r="U1569" i="15"/>
  <c r="Q1570" i="15"/>
  <c r="T1570" i="15"/>
  <c r="U1570" i="15"/>
  <c r="Q1571" i="15"/>
  <c r="T1571" i="15"/>
  <c r="U1571" i="15"/>
  <c r="Q1572" i="15"/>
  <c r="T1572" i="15"/>
  <c r="U1572" i="15"/>
  <c r="Q1573" i="15"/>
  <c r="T1573" i="15"/>
  <c r="U1573" i="15"/>
  <c r="Q1574" i="15"/>
  <c r="T1574" i="15"/>
  <c r="U1574" i="15"/>
  <c r="Q1575" i="15"/>
  <c r="T1575" i="15"/>
  <c r="U1575" i="15"/>
  <c r="Q1576" i="15"/>
  <c r="T1576" i="15"/>
  <c r="U1576" i="15"/>
  <c r="Q1577" i="15"/>
  <c r="T1577" i="15"/>
  <c r="U1577" i="15"/>
  <c r="Q1578" i="15"/>
  <c r="T1578" i="15"/>
  <c r="U1578" i="15"/>
  <c r="Q1579" i="15"/>
  <c r="T1579" i="15"/>
  <c r="U1579" i="15"/>
  <c r="Q1580" i="15"/>
  <c r="T1580" i="15"/>
  <c r="U1580" i="15"/>
  <c r="Q1581" i="15"/>
  <c r="T1581" i="15"/>
  <c r="U1581" i="15"/>
  <c r="Q1582" i="15"/>
  <c r="T1582" i="15"/>
  <c r="U1582" i="15"/>
  <c r="Q1583" i="15"/>
  <c r="T1583" i="15"/>
  <c r="U1583" i="15"/>
  <c r="Q1584" i="15"/>
  <c r="T1584" i="15"/>
  <c r="U1584" i="15"/>
  <c r="Q1585" i="15"/>
  <c r="T1585" i="15"/>
  <c r="U1585" i="15"/>
  <c r="Q1586" i="15"/>
  <c r="T1586" i="15"/>
  <c r="U1586" i="15"/>
  <c r="Q1587" i="15"/>
  <c r="T1587" i="15"/>
  <c r="U1587" i="15"/>
  <c r="Q1588" i="15"/>
  <c r="T1588" i="15"/>
  <c r="U1588" i="15"/>
  <c r="Q1589" i="15"/>
  <c r="T1589" i="15"/>
  <c r="U1589" i="15"/>
  <c r="Q1590" i="15"/>
  <c r="T1590" i="15"/>
  <c r="U1590" i="15"/>
  <c r="Q1591" i="15"/>
  <c r="T1591" i="15"/>
  <c r="U1591" i="15"/>
  <c r="Q1592" i="15"/>
  <c r="T1592" i="15"/>
  <c r="U1592" i="15"/>
  <c r="Q1593" i="15"/>
  <c r="T1593" i="15"/>
  <c r="U1593" i="15"/>
  <c r="Q1594" i="15"/>
  <c r="T1594" i="15"/>
  <c r="U1594" i="15"/>
  <c r="Q1595" i="15"/>
  <c r="T1595" i="15"/>
  <c r="U1595" i="15"/>
  <c r="Q1596" i="15"/>
  <c r="T1596" i="15"/>
  <c r="U1596" i="15"/>
  <c r="Q1597" i="15"/>
  <c r="T1597" i="15"/>
  <c r="U1597" i="15"/>
  <c r="Q1598" i="15"/>
  <c r="T1598" i="15"/>
  <c r="U1598" i="15"/>
  <c r="Q1599" i="15"/>
  <c r="T1599" i="15"/>
  <c r="U1599" i="15"/>
  <c r="Q1600" i="15"/>
  <c r="T1600" i="15"/>
  <c r="U1600" i="15"/>
  <c r="Q1601" i="15"/>
  <c r="T1601" i="15"/>
  <c r="U1601" i="15"/>
  <c r="Q1602" i="15"/>
  <c r="T1602" i="15"/>
  <c r="U1602" i="15"/>
  <c r="Q1603" i="15"/>
  <c r="T1603" i="15"/>
  <c r="U1603" i="15"/>
  <c r="Q1604" i="15"/>
  <c r="T1604" i="15"/>
  <c r="U1604" i="15"/>
  <c r="Q1605" i="15"/>
  <c r="T1605" i="15"/>
  <c r="U1605" i="15"/>
  <c r="Q1606" i="15"/>
  <c r="T1606" i="15"/>
  <c r="U1606" i="15"/>
  <c r="Q1607" i="15"/>
  <c r="T1607" i="15"/>
  <c r="U1607" i="15"/>
  <c r="Q1608" i="15"/>
  <c r="T1608" i="15"/>
  <c r="U1608" i="15"/>
  <c r="Q1609" i="15"/>
  <c r="T1609" i="15"/>
  <c r="U1609" i="15"/>
  <c r="Q1610" i="15"/>
  <c r="T1610" i="15"/>
  <c r="U1610" i="15"/>
  <c r="Q1611" i="15"/>
  <c r="T1611" i="15"/>
  <c r="U1611" i="15"/>
  <c r="Q1612" i="15"/>
  <c r="T1612" i="15"/>
  <c r="U1612" i="15"/>
  <c r="Q1613" i="15"/>
  <c r="T1613" i="15"/>
  <c r="U1613" i="15"/>
  <c r="Q1614" i="15"/>
  <c r="T1614" i="15"/>
  <c r="U1614" i="15"/>
  <c r="Q1615" i="15"/>
  <c r="T1615" i="15"/>
  <c r="U1615" i="15"/>
  <c r="Q1616" i="15"/>
  <c r="T1616" i="15"/>
  <c r="U1616" i="15"/>
  <c r="Q1617" i="15"/>
  <c r="T1617" i="15"/>
  <c r="U1617" i="15"/>
  <c r="Q1618" i="15"/>
  <c r="T1618" i="15"/>
  <c r="U1618" i="15"/>
  <c r="Q1619" i="15"/>
  <c r="T1619" i="15"/>
  <c r="U1619" i="15"/>
  <c r="Q1620" i="15"/>
  <c r="T1620" i="15"/>
  <c r="U1620" i="15"/>
  <c r="Q1621" i="15"/>
  <c r="T1621" i="15"/>
  <c r="U1621" i="15"/>
  <c r="Q1622" i="15"/>
  <c r="T1622" i="15"/>
  <c r="U1622" i="15"/>
  <c r="Q1623" i="15"/>
  <c r="T1623" i="15"/>
  <c r="U1623" i="15"/>
  <c r="Q1624" i="15"/>
  <c r="T1624" i="15"/>
  <c r="U1624" i="15"/>
  <c r="Q1625" i="15"/>
  <c r="T1625" i="15"/>
  <c r="U1625" i="15"/>
  <c r="Q1626" i="15"/>
  <c r="T1626" i="15"/>
  <c r="U1626" i="15"/>
  <c r="Q1627" i="15"/>
  <c r="T1627" i="15"/>
  <c r="U1627" i="15"/>
  <c r="Q1628" i="15"/>
  <c r="T1628" i="15"/>
  <c r="U1628" i="15"/>
  <c r="Q1629" i="15"/>
  <c r="T1629" i="15"/>
  <c r="U1629" i="15"/>
  <c r="Q1630" i="15"/>
  <c r="T1630" i="15"/>
  <c r="U1630" i="15"/>
  <c r="Q1631" i="15"/>
  <c r="T1631" i="15"/>
  <c r="U1631" i="15"/>
  <c r="Q1632" i="15"/>
  <c r="T1632" i="15"/>
  <c r="U1632" i="15"/>
  <c r="Q1633" i="15"/>
  <c r="T1633" i="15"/>
  <c r="U1633" i="15"/>
  <c r="Q1634" i="15"/>
  <c r="T1634" i="15"/>
  <c r="U1634" i="15"/>
  <c r="Q1635" i="15"/>
  <c r="T1635" i="15"/>
  <c r="U1635" i="15"/>
  <c r="Q1636" i="15"/>
  <c r="T1636" i="15"/>
  <c r="U1636" i="15"/>
  <c r="Q1637" i="15"/>
  <c r="T1637" i="15"/>
  <c r="U1637" i="15"/>
  <c r="Q1638" i="15"/>
  <c r="T1638" i="15"/>
  <c r="U1638" i="15"/>
  <c r="Q1639" i="15"/>
  <c r="T1639" i="15"/>
  <c r="U1639" i="15"/>
  <c r="Q1640" i="15"/>
  <c r="T1640" i="15"/>
  <c r="U1640" i="15"/>
  <c r="Q1641" i="15"/>
  <c r="T1641" i="15"/>
  <c r="U1641" i="15"/>
  <c r="Q1642" i="15"/>
  <c r="T1642" i="15"/>
  <c r="U1642" i="15"/>
  <c r="Q1643" i="15"/>
  <c r="T1643" i="15"/>
  <c r="U1643" i="15"/>
  <c r="Q1644" i="15"/>
  <c r="T1644" i="15"/>
  <c r="U1644" i="15"/>
  <c r="Q1645" i="15"/>
  <c r="T1645" i="15"/>
  <c r="U1645" i="15"/>
  <c r="Q1646" i="15"/>
  <c r="T1646" i="15"/>
  <c r="U1646" i="15"/>
  <c r="Q1647" i="15"/>
  <c r="T1647" i="15"/>
  <c r="U1647" i="15"/>
  <c r="Q1648" i="15"/>
  <c r="T1648" i="15"/>
  <c r="U1648" i="15"/>
  <c r="Q1649" i="15"/>
  <c r="T1649" i="15"/>
  <c r="U1649" i="15"/>
  <c r="Q1650" i="15"/>
  <c r="T1650" i="15"/>
  <c r="U1650" i="15"/>
  <c r="Q1651" i="15"/>
  <c r="T1651" i="15"/>
  <c r="U1651" i="15"/>
  <c r="Q1652" i="15"/>
  <c r="T1652" i="15"/>
  <c r="U1652" i="15"/>
  <c r="Q1653" i="15"/>
  <c r="T1653" i="15"/>
  <c r="U1653" i="15"/>
  <c r="Q1654" i="15"/>
  <c r="T1654" i="15"/>
  <c r="U1654" i="15"/>
  <c r="Q1655" i="15"/>
  <c r="T1655" i="15"/>
  <c r="U1655" i="15"/>
  <c r="Q1656" i="15"/>
  <c r="T1656" i="15"/>
  <c r="U1656" i="15"/>
  <c r="Q1657" i="15"/>
  <c r="T1657" i="15"/>
  <c r="U1657" i="15"/>
  <c r="Q1658" i="15"/>
  <c r="T1658" i="15"/>
  <c r="U1658" i="15"/>
  <c r="Q1659" i="15"/>
  <c r="T1659" i="15"/>
  <c r="U1659" i="15"/>
  <c r="Q1660" i="15"/>
  <c r="T1660" i="15"/>
  <c r="U1660" i="15"/>
  <c r="Q1661" i="15"/>
  <c r="T1661" i="15"/>
  <c r="U1661" i="15"/>
  <c r="Q1662" i="15"/>
  <c r="T1662" i="15"/>
  <c r="U1662" i="15"/>
  <c r="Q1663" i="15"/>
  <c r="T1663" i="15"/>
  <c r="U1663" i="15"/>
  <c r="Q1664" i="15"/>
  <c r="T1664" i="15"/>
  <c r="U1664" i="15"/>
  <c r="Q1665" i="15"/>
  <c r="T1665" i="15"/>
  <c r="U1665" i="15"/>
  <c r="Q1666" i="15"/>
  <c r="T1666" i="15"/>
  <c r="U1666" i="15"/>
  <c r="Q1667" i="15"/>
  <c r="T1667" i="15"/>
  <c r="U1667" i="15"/>
  <c r="Q1668" i="15"/>
  <c r="T1668" i="15"/>
  <c r="U1668" i="15"/>
  <c r="Q1669" i="15"/>
  <c r="T1669" i="15"/>
  <c r="U1669" i="15"/>
  <c r="Q1670" i="15"/>
  <c r="T1670" i="15"/>
  <c r="U1670" i="15"/>
  <c r="Q1671" i="15"/>
  <c r="T1671" i="15"/>
  <c r="U1671" i="15"/>
  <c r="Q1672" i="15"/>
  <c r="T1672" i="15"/>
  <c r="U1672" i="15"/>
  <c r="Q1673" i="15"/>
  <c r="T1673" i="15"/>
  <c r="U1673" i="15"/>
  <c r="Q1674" i="15"/>
  <c r="T1674" i="15"/>
  <c r="U1674" i="15"/>
  <c r="Q1675" i="15"/>
  <c r="T1675" i="15"/>
  <c r="U1675" i="15"/>
  <c r="Q1676" i="15"/>
  <c r="T1676" i="15"/>
  <c r="U1676" i="15"/>
  <c r="Q1677" i="15"/>
  <c r="T1677" i="15"/>
  <c r="U1677" i="15"/>
  <c r="Q1678" i="15"/>
  <c r="T1678" i="15"/>
  <c r="U1678" i="15"/>
  <c r="Q1679" i="15"/>
  <c r="T1679" i="15"/>
  <c r="U1679" i="15"/>
  <c r="Q1680" i="15"/>
  <c r="T1680" i="15"/>
  <c r="U1680" i="15"/>
  <c r="Q1681" i="15"/>
  <c r="T1681" i="15"/>
  <c r="U1681" i="15"/>
  <c r="Q1682" i="15"/>
  <c r="T1682" i="15"/>
  <c r="U1682" i="15"/>
  <c r="Q1683" i="15"/>
  <c r="T1683" i="15"/>
  <c r="U1683" i="15"/>
  <c r="Q1684" i="15"/>
  <c r="T1684" i="15"/>
  <c r="U1684" i="15"/>
  <c r="Q1685" i="15"/>
  <c r="T1685" i="15"/>
  <c r="U1685" i="15"/>
  <c r="Q1686" i="15"/>
  <c r="T1686" i="15"/>
  <c r="U1686" i="15"/>
  <c r="Q1687" i="15"/>
  <c r="T1687" i="15"/>
  <c r="U1687" i="15"/>
  <c r="Q1688" i="15"/>
  <c r="T1688" i="15"/>
  <c r="U1688" i="15"/>
  <c r="Q1689" i="15"/>
  <c r="T1689" i="15"/>
  <c r="U1689" i="15"/>
  <c r="Q1690" i="15"/>
  <c r="T1690" i="15"/>
  <c r="U1690" i="15"/>
  <c r="Q1691" i="15"/>
  <c r="T1691" i="15"/>
  <c r="U1691" i="15"/>
  <c r="Q1692" i="15"/>
  <c r="T1692" i="15"/>
  <c r="U1692" i="15"/>
  <c r="Q1693" i="15"/>
  <c r="T1693" i="15"/>
  <c r="U1693" i="15"/>
  <c r="Q1694" i="15"/>
  <c r="T1694" i="15"/>
  <c r="U1694" i="15"/>
  <c r="Q1695" i="15"/>
  <c r="T1695" i="15"/>
  <c r="U1695" i="15"/>
  <c r="Q1696" i="15"/>
  <c r="T1696" i="15"/>
  <c r="U1696" i="15"/>
  <c r="Q1697" i="15"/>
  <c r="T1697" i="15"/>
  <c r="U1697" i="15"/>
  <c r="Q1698" i="15"/>
  <c r="T1698" i="15"/>
  <c r="U1698" i="15"/>
  <c r="Q1699" i="15"/>
  <c r="T1699" i="15"/>
  <c r="U1699" i="15"/>
  <c r="Q1700" i="15"/>
  <c r="T1700" i="15"/>
  <c r="U1700" i="15"/>
  <c r="Q1701" i="15"/>
  <c r="T1701" i="15"/>
  <c r="U1701" i="15"/>
  <c r="Q1702" i="15"/>
  <c r="T1702" i="15"/>
  <c r="U1702" i="15"/>
  <c r="Q1703" i="15"/>
  <c r="T1703" i="15"/>
  <c r="U1703" i="15"/>
  <c r="Q1704" i="15"/>
  <c r="T1704" i="15"/>
  <c r="U1704" i="15"/>
  <c r="Q1705" i="15"/>
  <c r="T1705" i="15"/>
  <c r="U1705" i="15"/>
  <c r="Q1706" i="15"/>
  <c r="T1706" i="15"/>
  <c r="U1706" i="15"/>
  <c r="Q1707" i="15"/>
  <c r="T1707" i="15"/>
  <c r="U1707" i="15"/>
  <c r="Q1708" i="15"/>
  <c r="T1708" i="15"/>
  <c r="U1708" i="15"/>
  <c r="Q1709" i="15"/>
  <c r="T1709" i="15"/>
  <c r="U1709" i="15"/>
  <c r="Q1710" i="15"/>
  <c r="T1710" i="15"/>
  <c r="U1710" i="15"/>
  <c r="Q1711" i="15"/>
  <c r="T1711" i="15"/>
  <c r="U1711" i="15"/>
  <c r="Q1712" i="15"/>
  <c r="T1712" i="15"/>
  <c r="U1712" i="15"/>
  <c r="Q1713" i="15"/>
  <c r="T1713" i="15"/>
  <c r="U1713" i="15"/>
  <c r="Q1714" i="15"/>
  <c r="T1714" i="15"/>
  <c r="U1714" i="15"/>
  <c r="Q1715" i="15"/>
  <c r="T1715" i="15"/>
  <c r="U1715" i="15"/>
  <c r="Q1716" i="15"/>
  <c r="T1716" i="15"/>
  <c r="U1716" i="15"/>
  <c r="Q1717" i="15"/>
  <c r="T1717" i="15"/>
  <c r="U1717" i="15"/>
  <c r="Q1718" i="15"/>
  <c r="T1718" i="15"/>
  <c r="U1718" i="15"/>
  <c r="Q1719" i="15"/>
  <c r="T1719" i="15"/>
  <c r="U1719" i="15"/>
  <c r="Q1720" i="15"/>
  <c r="T1720" i="15"/>
  <c r="U1720" i="15"/>
  <c r="Q1721" i="15"/>
  <c r="T1721" i="15"/>
  <c r="U1721" i="15"/>
  <c r="Q1722" i="15"/>
  <c r="T1722" i="15"/>
  <c r="U1722" i="15"/>
  <c r="Q1723" i="15"/>
  <c r="T1723" i="15"/>
  <c r="U1723" i="15"/>
  <c r="Q1724" i="15"/>
  <c r="T1724" i="15"/>
  <c r="U1724" i="15"/>
  <c r="Q1725" i="15"/>
  <c r="T1725" i="15"/>
  <c r="U1725" i="15"/>
  <c r="Q1726" i="15"/>
  <c r="T1726" i="15"/>
  <c r="U1726" i="15"/>
  <c r="Q1727" i="15"/>
  <c r="T1727" i="15"/>
  <c r="U1727" i="15"/>
  <c r="Q1728" i="15"/>
  <c r="T1728" i="15"/>
  <c r="U1728" i="15"/>
  <c r="Q1729" i="15"/>
  <c r="T1729" i="15"/>
  <c r="U1729" i="15"/>
  <c r="Q1730" i="15"/>
  <c r="T1730" i="15"/>
  <c r="U1730" i="15"/>
  <c r="Q1731" i="15"/>
  <c r="T1731" i="15"/>
  <c r="U1731" i="15"/>
  <c r="Q1732" i="15"/>
  <c r="T1732" i="15"/>
  <c r="U1732" i="15"/>
  <c r="Q1733" i="15"/>
  <c r="T1733" i="15"/>
  <c r="U1733" i="15"/>
  <c r="Q1734" i="15"/>
  <c r="T1734" i="15"/>
  <c r="U1734" i="15"/>
  <c r="Q1735" i="15"/>
  <c r="T1735" i="15"/>
  <c r="U1735" i="15"/>
  <c r="Q1736" i="15"/>
  <c r="T1736" i="15"/>
  <c r="U1736" i="15"/>
  <c r="Q1737" i="15"/>
  <c r="T1737" i="15"/>
  <c r="U1737" i="15"/>
  <c r="Q1738" i="15"/>
  <c r="T1738" i="15"/>
  <c r="U1738" i="15"/>
  <c r="Q1739" i="15"/>
  <c r="T1739" i="15"/>
  <c r="U1739" i="15"/>
  <c r="Q1740" i="15"/>
  <c r="T1740" i="15"/>
  <c r="U1740" i="15"/>
  <c r="Q1741" i="15"/>
  <c r="T1741" i="15"/>
  <c r="U1741" i="15"/>
  <c r="Q1742" i="15"/>
  <c r="T1742" i="15"/>
  <c r="U1742" i="15"/>
  <c r="Q1743" i="15"/>
  <c r="T1743" i="15"/>
  <c r="U1743" i="15"/>
  <c r="Q1744" i="15"/>
  <c r="T1744" i="15"/>
  <c r="U1744" i="15"/>
  <c r="Q1745" i="15"/>
  <c r="T1745" i="15"/>
  <c r="U1745" i="15"/>
  <c r="Q1746" i="15"/>
  <c r="T1746" i="15"/>
  <c r="U1746" i="15"/>
  <c r="Q1747" i="15"/>
  <c r="T1747" i="15"/>
  <c r="U1747" i="15"/>
  <c r="Q1748" i="15"/>
  <c r="T1748" i="15"/>
  <c r="U1748" i="15"/>
  <c r="Q1749" i="15"/>
  <c r="T1749" i="15"/>
  <c r="U1749" i="15"/>
  <c r="Q1750" i="15"/>
  <c r="T1750" i="15"/>
  <c r="U1750" i="15"/>
  <c r="Q1751" i="15"/>
  <c r="T1751" i="15"/>
  <c r="U1751" i="15"/>
  <c r="Q1752" i="15"/>
  <c r="T1752" i="15"/>
  <c r="U1752" i="15"/>
  <c r="Q1753" i="15"/>
  <c r="T1753" i="15"/>
  <c r="U1753" i="15"/>
  <c r="Q1754" i="15"/>
  <c r="T1754" i="15"/>
  <c r="U1754" i="15"/>
  <c r="Q1755" i="15"/>
  <c r="T1755" i="15"/>
  <c r="U1755" i="15"/>
  <c r="Q1756" i="15"/>
  <c r="T1756" i="15"/>
  <c r="U1756" i="15"/>
  <c r="Q1757" i="15"/>
  <c r="T1757" i="15"/>
  <c r="U1757" i="15"/>
  <c r="Q1758" i="15"/>
  <c r="T1758" i="15"/>
  <c r="U1758" i="15"/>
  <c r="Q1759" i="15"/>
  <c r="T1759" i="15"/>
  <c r="U1759" i="15"/>
  <c r="Q1760" i="15"/>
  <c r="T1760" i="15"/>
  <c r="U1760" i="15"/>
  <c r="Q1761" i="15"/>
  <c r="T1761" i="15"/>
  <c r="U1761" i="15"/>
  <c r="Q1762" i="15"/>
  <c r="T1762" i="15"/>
  <c r="U1762" i="15"/>
  <c r="Q1763" i="15"/>
  <c r="T1763" i="15"/>
  <c r="U1763" i="15"/>
  <c r="Q1764" i="15"/>
  <c r="T1764" i="15"/>
  <c r="U1764" i="15"/>
  <c r="Q1765" i="15"/>
  <c r="T1765" i="15"/>
  <c r="U1765" i="15"/>
  <c r="Q1766" i="15"/>
  <c r="T1766" i="15"/>
  <c r="U1766" i="15"/>
  <c r="Q1767" i="15"/>
  <c r="T1767" i="15"/>
  <c r="U1767" i="15"/>
  <c r="Q1768" i="15"/>
  <c r="T1768" i="15"/>
  <c r="U1768" i="15"/>
  <c r="Q1769" i="15"/>
  <c r="T1769" i="15"/>
  <c r="U1769" i="15"/>
  <c r="Q1770" i="15"/>
  <c r="T1770" i="15"/>
  <c r="U1770" i="15"/>
  <c r="Q1771" i="15"/>
  <c r="T1771" i="15"/>
  <c r="U1771" i="15"/>
  <c r="Q1772" i="15"/>
  <c r="T1772" i="15"/>
  <c r="U1772" i="15"/>
  <c r="Q1773" i="15"/>
  <c r="T1773" i="15"/>
  <c r="U1773" i="15"/>
  <c r="Q1774" i="15"/>
  <c r="T1774" i="15"/>
  <c r="U1774" i="15"/>
  <c r="Q1775" i="15"/>
  <c r="T1775" i="15"/>
  <c r="U1775" i="15"/>
  <c r="Q1776" i="15"/>
  <c r="T1776" i="15"/>
  <c r="U1776" i="15"/>
  <c r="Q1777" i="15"/>
  <c r="T1777" i="15"/>
  <c r="U1777" i="15"/>
  <c r="Q1778" i="15"/>
  <c r="T1778" i="15"/>
  <c r="U1778" i="15"/>
  <c r="Q1779" i="15"/>
  <c r="T1779" i="15"/>
  <c r="U1779" i="15"/>
  <c r="Q1780" i="15"/>
  <c r="T1780" i="15"/>
  <c r="U1780" i="15"/>
  <c r="Q1781" i="15"/>
  <c r="T1781" i="15"/>
  <c r="U1781" i="15"/>
  <c r="Q1782" i="15"/>
  <c r="T1782" i="15"/>
  <c r="U1782" i="15"/>
  <c r="Q1783" i="15"/>
  <c r="T1783" i="15"/>
  <c r="U1783" i="15"/>
  <c r="Q1784" i="15"/>
  <c r="T1784" i="15"/>
  <c r="U1784" i="15"/>
  <c r="Q1785" i="15"/>
  <c r="T1785" i="15"/>
  <c r="U1785" i="15"/>
  <c r="Q1786" i="15"/>
  <c r="T1786" i="15"/>
  <c r="U1786" i="15"/>
  <c r="Q1787" i="15"/>
  <c r="T1787" i="15"/>
  <c r="U1787" i="15"/>
  <c r="Q1788" i="15"/>
  <c r="T1788" i="15"/>
  <c r="U1788" i="15"/>
  <c r="Q1789" i="15"/>
  <c r="T1789" i="15"/>
  <c r="U1789" i="15"/>
  <c r="Q1790" i="15"/>
  <c r="T1790" i="15"/>
  <c r="U1790" i="15"/>
  <c r="Q1791" i="15"/>
  <c r="T1791" i="15"/>
  <c r="U1791" i="15"/>
  <c r="Q1792" i="15"/>
  <c r="T1792" i="15"/>
  <c r="U1792" i="15"/>
  <c r="Q1793" i="15"/>
  <c r="T1793" i="15"/>
  <c r="U1793" i="15"/>
  <c r="Q1794" i="15"/>
  <c r="T1794" i="15"/>
  <c r="U1794" i="15"/>
  <c r="Q1795" i="15"/>
  <c r="T1795" i="15"/>
  <c r="U1795" i="15"/>
  <c r="Q1796" i="15"/>
  <c r="T1796" i="15"/>
  <c r="U1796" i="15"/>
  <c r="Q1797" i="15"/>
  <c r="T1797" i="15"/>
  <c r="U1797" i="15"/>
  <c r="Q1798" i="15"/>
  <c r="T1798" i="15"/>
  <c r="U1798" i="15"/>
  <c r="Q1799" i="15"/>
  <c r="T1799" i="15"/>
  <c r="U1799" i="15"/>
  <c r="Q1800" i="15"/>
  <c r="T1800" i="15"/>
  <c r="U1800" i="15"/>
  <c r="Q1801" i="15"/>
  <c r="T1801" i="15"/>
  <c r="U1801" i="15"/>
  <c r="Q1802" i="15"/>
  <c r="T1802" i="15"/>
  <c r="U1802" i="15"/>
  <c r="Q1803" i="15"/>
  <c r="T1803" i="15"/>
  <c r="U1803" i="15"/>
  <c r="Q1804" i="15"/>
  <c r="T1804" i="15"/>
  <c r="U1804" i="15"/>
  <c r="Q1805" i="15"/>
  <c r="T1805" i="15"/>
  <c r="U1805" i="15"/>
  <c r="Q1806" i="15"/>
  <c r="T1806" i="15"/>
  <c r="U1806" i="15"/>
  <c r="Q1807" i="15"/>
  <c r="T1807" i="15"/>
  <c r="U1807" i="15"/>
  <c r="Q1808" i="15"/>
  <c r="T1808" i="15"/>
  <c r="U1808" i="15"/>
  <c r="Q1809" i="15"/>
  <c r="T1809" i="15"/>
  <c r="U1809" i="15"/>
  <c r="Q1810" i="15"/>
  <c r="T1810" i="15"/>
  <c r="U1810" i="15"/>
  <c r="Q1811" i="15"/>
  <c r="T1811" i="15"/>
  <c r="U1811" i="15"/>
  <c r="Q1812" i="15"/>
  <c r="T1812" i="15"/>
  <c r="U1812" i="15"/>
  <c r="Q1813" i="15"/>
  <c r="T1813" i="15"/>
  <c r="U1813" i="15"/>
  <c r="Q1814" i="15"/>
  <c r="T1814" i="15"/>
  <c r="U1814" i="15"/>
  <c r="Q1815" i="15"/>
  <c r="T1815" i="15"/>
  <c r="U1815" i="15"/>
  <c r="Q1816" i="15"/>
  <c r="T1816" i="15"/>
  <c r="U1816" i="15"/>
  <c r="Q1817" i="15"/>
  <c r="T1817" i="15"/>
  <c r="U1817" i="15"/>
  <c r="Q1818" i="15"/>
  <c r="T1818" i="15"/>
  <c r="U1818" i="15"/>
  <c r="Q1819" i="15"/>
  <c r="T1819" i="15"/>
  <c r="U1819" i="15"/>
  <c r="Q1820" i="15"/>
  <c r="T1820" i="15"/>
  <c r="U1820" i="15"/>
  <c r="Q1821" i="15"/>
  <c r="T1821" i="15"/>
  <c r="U1821" i="15"/>
  <c r="Q1822" i="15"/>
  <c r="T1822" i="15"/>
  <c r="U1822" i="15"/>
  <c r="Q1823" i="15"/>
  <c r="T1823" i="15"/>
  <c r="U1823" i="15"/>
  <c r="Q1824" i="15"/>
  <c r="T1824" i="15"/>
  <c r="U1824" i="15"/>
  <c r="Q1825" i="15"/>
  <c r="T1825" i="15"/>
  <c r="U1825" i="15"/>
  <c r="Q1826" i="15"/>
  <c r="T1826" i="15"/>
  <c r="U1826" i="15"/>
  <c r="Q1827" i="15"/>
  <c r="T1827" i="15"/>
  <c r="U1827" i="15"/>
  <c r="Q1828" i="15"/>
  <c r="T1828" i="15"/>
  <c r="U1828" i="15"/>
  <c r="Q1829" i="15"/>
  <c r="T1829" i="15"/>
  <c r="U1829" i="15"/>
  <c r="Q1830" i="15"/>
  <c r="T1830" i="15"/>
  <c r="U1830" i="15"/>
  <c r="Q1831" i="15"/>
  <c r="T1831" i="15"/>
  <c r="U1831" i="15"/>
  <c r="Q1832" i="15"/>
  <c r="T1832" i="15"/>
  <c r="U1832" i="15"/>
  <c r="Q1833" i="15"/>
  <c r="T1833" i="15"/>
  <c r="U1833" i="15"/>
  <c r="Q1834" i="15"/>
  <c r="T1834" i="15"/>
  <c r="U1834" i="15"/>
  <c r="Q1835" i="15"/>
  <c r="T1835" i="15"/>
  <c r="U1835" i="15"/>
  <c r="Q1836" i="15"/>
  <c r="T1836" i="15"/>
  <c r="U1836" i="15"/>
  <c r="Q1837" i="15"/>
  <c r="T1837" i="15"/>
  <c r="U1837" i="15"/>
  <c r="Q1838" i="15"/>
  <c r="T1838" i="15"/>
  <c r="U1838" i="15"/>
  <c r="Q1839" i="15"/>
  <c r="T1839" i="15"/>
  <c r="U1839" i="15"/>
  <c r="Q1840" i="15"/>
  <c r="T1840" i="15"/>
  <c r="U1840" i="15"/>
  <c r="Q1841" i="15"/>
  <c r="T1841" i="15"/>
  <c r="U1841" i="15"/>
  <c r="Q1842" i="15"/>
  <c r="T1842" i="15"/>
  <c r="U1842" i="15"/>
  <c r="Q1843" i="15"/>
  <c r="T1843" i="15"/>
  <c r="U1843" i="15"/>
  <c r="Q1844" i="15"/>
  <c r="T1844" i="15"/>
  <c r="U1844" i="15"/>
  <c r="Q1845" i="15"/>
  <c r="T1845" i="15"/>
  <c r="U1845" i="15"/>
  <c r="Q1846" i="15"/>
  <c r="T1846" i="15"/>
  <c r="U1846" i="15"/>
  <c r="Q1847" i="15"/>
  <c r="T1847" i="15"/>
  <c r="U1847" i="15"/>
  <c r="Q1848" i="15"/>
  <c r="T1848" i="15"/>
  <c r="U1848" i="15"/>
  <c r="Q1849" i="15"/>
  <c r="T1849" i="15"/>
  <c r="U1849" i="15"/>
  <c r="Q1850" i="15"/>
  <c r="T1850" i="15"/>
  <c r="U1850" i="15"/>
  <c r="Q1851" i="15"/>
  <c r="T1851" i="15"/>
  <c r="U1851" i="15"/>
  <c r="Q1852" i="15"/>
  <c r="T1852" i="15"/>
  <c r="U1852" i="15"/>
  <c r="Q1853" i="15"/>
  <c r="T1853" i="15"/>
  <c r="U1853" i="15"/>
  <c r="Q1854" i="15"/>
  <c r="T1854" i="15"/>
  <c r="U1854" i="15"/>
  <c r="Q1855" i="15"/>
  <c r="T1855" i="15"/>
  <c r="U1855" i="15"/>
  <c r="Q1856" i="15"/>
  <c r="T1856" i="15"/>
  <c r="U1856" i="15"/>
  <c r="Q1857" i="15"/>
  <c r="T1857" i="15"/>
  <c r="U1857" i="15"/>
  <c r="Q1858" i="15"/>
  <c r="T1858" i="15"/>
  <c r="U1858" i="15"/>
  <c r="Q1859" i="15"/>
  <c r="T1859" i="15"/>
  <c r="U1859" i="15"/>
  <c r="Q1860" i="15"/>
  <c r="T1860" i="15"/>
  <c r="U1860" i="15"/>
  <c r="Q1861" i="15"/>
  <c r="T1861" i="15"/>
  <c r="U1861" i="15"/>
  <c r="Q1862" i="15"/>
  <c r="T1862" i="15"/>
  <c r="U1862" i="15"/>
  <c r="Q1863" i="15"/>
  <c r="T1863" i="15"/>
  <c r="U1863" i="15"/>
  <c r="Q1864" i="15"/>
  <c r="T1864" i="15"/>
  <c r="U1864" i="15"/>
  <c r="Q1865" i="15"/>
  <c r="T1865" i="15"/>
  <c r="U1865" i="15"/>
  <c r="Q1866" i="15"/>
  <c r="T1866" i="15"/>
  <c r="U1866" i="15"/>
  <c r="Q1867" i="15"/>
  <c r="T1867" i="15"/>
  <c r="U1867" i="15"/>
  <c r="Q1868" i="15"/>
  <c r="T1868" i="15"/>
  <c r="U1868" i="15"/>
  <c r="Q1869" i="15"/>
  <c r="T1869" i="15"/>
  <c r="U1869" i="15"/>
  <c r="Q1870" i="15"/>
  <c r="T1870" i="15"/>
  <c r="U1870" i="15"/>
  <c r="Q1871" i="15"/>
  <c r="T1871" i="15"/>
  <c r="U1871" i="15"/>
  <c r="Q1872" i="15"/>
  <c r="T1872" i="15"/>
  <c r="U1872" i="15"/>
  <c r="Q1873" i="15"/>
  <c r="T1873" i="15"/>
  <c r="U1873" i="15"/>
  <c r="Q1874" i="15"/>
  <c r="T1874" i="15"/>
  <c r="U1874" i="15"/>
  <c r="Q1875" i="15"/>
  <c r="T1875" i="15"/>
  <c r="U1875" i="15"/>
  <c r="Q1876" i="15"/>
  <c r="T1876" i="15"/>
  <c r="U1876" i="15"/>
  <c r="Q1877" i="15"/>
  <c r="T1877" i="15"/>
  <c r="U1877" i="15"/>
  <c r="Q1878" i="15"/>
  <c r="T1878" i="15"/>
  <c r="U1878" i="15"/>
  <c r="Q1879" i="15"/>
  <c r="T1879" i="15"/>
  <c r="U1879" i="15"/>
  <c r="Q1880" i="15"/>
  <c r="T1880" i="15"/>
  <c r="U1880" i="15"/>
  <c r="Q1881" i="15"/>
  <c r="T1881" i="15"/>
  <c r="U1881" i="15"/>
  <c r="Q1882" i="15"/>
  <c r="T1882" i="15"/>
  <c r="U1882" i="15"/>
  <c r="Q1883" i="15"/>
  <c r="T1883" i="15"/>
  <c r="U1883" i="15"/>
  <c r="Q1884" i="15"/>
  <c r="T1884" i="15"/>
  <c r="U1884" i="15"/>
  <c r="Q1885" i="15"/>
  <c r="T1885" i="15"/>
  <c r="U1885" i="15"/>
  <c r="Q1886" i="15"/>
  <c r="T1886" i="15"/>
  <c r="U1886" i="15"/>
  <c r="Q1887" i="15"/>
  <c r="T1887" i="15"/>
  <c r="U1887" i="15"/>
  <c r="Q1888" i="15"/>
  <c r="T1888" i="15"/>
  <c r="U1888" i="15"/>
  <c r="Q1889" i="15"/>
  <c r="T1889" i="15"/>
  <c r="U1889" i="15"/>
  <c r="Q1890" i="15"/>
  <c r="T1890" i="15"/>
  <c r="U1890" i="15"/>
  <c r="Q1891" i="15"/>
  <c r="T1891" i="15"/>
  <c r="U1891" i="15"/>
  <c r="Q1892" i="15"/>
  <c r="T1892" i="15"/>
  <c r="U1892" i="15"/>
  <c r="Q1893" i="15"/>
  <c r="T1893" i="15"/>
  <c r="U1893" i="15"/>
  <c r="Q1894" i="15"/>
  <c r="T1894" i="15"/>
  <c r="U1894" i="15"/>
  <c r="Q1895" i="15"/>
  <c r="T1895" i="15"/>
  <c r="U1895" i="15"/>
  <c r="Q1896" i="15"/>
  <c r="T1896" i="15"/>
  <c r="U1896" i="15"/>
  <c r="Q1897" i="15"/>
  <c r="T1897" i="15"/>
  <c r="U1897" i="15"/>
  <c r="Q1898" i="15"/>
  <c r="T1898" i="15"/>
  <c r="U1898" i="15"/>
  <c r="Q1899" i="15"/>
  <c r="T1899" i="15"/>
  <c r="U1899" i="15"/>
  <c r="Q1900" i="15"/>
  <c r="T1900" i="15"/>
  <c r="U1900" i="15"/>
  <c r="Q1901" i="15"/>
  <c r="T1901" i="15"/>
  <c r="U1901" i="15"/>
  <c r="Q1902" i="15"/>
  <c r="T1902" i="15"/>
  <c r="U1902" i="15"/>
  <c r="Q1903" i="15"/>
  <c r="T1903" i="15"/>
  <c r="U1903" i="15"/>
  <c r="Q1904" i="15"/>
  <c r="T1904" i="15"/>
  <c r="U1904" i="15"/>
  <c r="Q1905" i="15"/>
  <c r="T1905" i="15"/>
  <c r="U1905" i="15"/>
  <c r="Q1906" i="15"/>
  <c r="T1906" i="15"/>
  <c r="U1906" i="15"/>
  <c r="Q1907" i="15"/>
  <c r="T1907" i="15"/>
  <c r="U1907" i="15"/>
  <c r="Q1908" i="15"/>
  <c r="T1908" i="15"/>
  <c r="U1908" i="15"/>
  <c r="Q1909" i="15"/>
  <c r="T1909" i="15"/>
  <c r="U1909" i="15"/>
  <c r="Q1910" i="15"/>
  <c r="T1910" i="15"/>
  <c r="U1910" i="15"/>
  <c r="Q1911" i="15"/>
  <c r="T1911" i="15"/>
  <c r="U1911" i="15"/>
  <c r="Q1912" i="15"/>
  <c r="T1912" i="15"/>
  <c r="U1912" i="15"/>
  <c r="Q1913" i="15"/>
  <c r="T1913" i="15"/>
  <c r="U1913" i="15"/>
  <c r="Q1914" i="15"/>
  <c r="T1914" i="15"/>
  <c r="U1914" i="15"/>
  <c r="Q1915" i="15"/>
  <c r="T1915" i="15"/>
  <c r="U1915" i="15"/>
  <c r="Q1916" i="15"/>
  <c r="T1916" i="15"/>
  <c r="U1916" i="15"/>
  <c r="Q1917" i="15"/>
  <c r="T1917" i="15"/>
  <c r="U1917" i="15"/>
  <c r="Q1918" i="15"/>
  <c r="T1918" i="15"/>
  <c r="U1918" i="15"/>
  <c r="Q1919" i="15"/>
  <c r="T1919" i="15"/>
  <c r="U1919" i="15"/>
  <c r="Q1920" i="15"/>
  <c r="T1920" i="15"/>
  <c r="U1920" i="15"/>
  <c r="Q1921" i="15"/>
  <c r="T1921" i="15"/>
  <c r="U1921" i="15"/>
  <c r="Q1922" i="15"/>
  <c r="T1922" i="15"/>
  <c r="U1922" i="15"/>
  <c r="Q1923" i="15"/>
  <c r="T1923" i="15"/>
  <c r="U1923" i="15"/>
  <c r="Q1924" i="15"/>
  <c r="T1924" i="15"/>
  <c r="U1924" i="15"/>
  <c r="Q1925" i="15"/>
  <c r="T1925" i="15"/>
  <c r="U1925" i="15"/>
  <c r="Q1926" i="15"/>
  <c r="T1926" i="15"/>
  <c r="U1926" i="15"/>
  <c r="Q1927" i="15"/>
  <c r="T1927" i="15"/>
  <c r="U1927" i="15"/>
  <c r="Q1928" i="15"/>
  <c r="T1928" i="15"/>
  <c r="U1928" i="15"/>
  <c r="Q1929" i="15"/>
  <c r="T1929" i="15"/>
  <c r="U1929" i="15"/>
  <c r="Q1930" i="15"/>
  <c r="T1930" i="15"/>
  <c r="U1930" i="15"/>
  <c r="Q1931" i="15"/>
  <c r="T1931" i="15"/>
  <c r="U1931" i="15"/>
  <c r="Q1932" i="15"/>
  <c r="T1932" i="15"/>
  <c r="U1932" i="15"/>
  <c r="Q1933" i="15"/>
  <c r="T1933" i="15"/>
  <c r="U1933" i="15"/>
  <c r="Q1934" i="15"/>
  <c r="T1934" i="15"/>
  <c r="U1934" i="15"/>
  <c r="Q1935" i="15"/>
  <c r="T1935" i="15"/>
  <c r="U1935" i="15"/>
  <c r="Q1936" i="15"/>
  <c r="T1936" i="15"/>
  <c r="U1936" i="15"/>
  <c r="Q1937" i="15"/>
  <c r="T1937" i="15"/>
  <c r="U1937" i="15"/>
  <c r="Q1938" i="15"/>
  <c r="T1938" i="15"/>
  <c r="U1938" i="15"/>
  <c r="Q1939" i="15"/>
  <c r="T1939" i="15"/>
  <c r="U1939" i="15"/>
  <c r="Q1940" i="15"/>
  <c r="T1940" i="15"/>
  <c r="U1940" i="15"/>
  <c r="Q1941" i="15"/>
  <c r="T1941" i="15"/>
  <c r="U1941" i="15"/>
  <c r="Q1942" i="15"/>
  <c r="T1942" i="15"/>
  <c r="U1942" i="15"/>
  <c r="Q1943" i="15"/>
  <c r="T1943" i="15"/>
  <c r="U1943" i="15"/>
  <c r="Q1944" i="15"/>
  <c r="T1944" i="15"/>
  <c r="U1944" i="15"/>
  <c r="Q1945" i="15"/>
  <c r="T1945" i="15"/>
  <c r="U1945" i="15"/>
  <c r="Q1946" i="15"/>
  <c r="T1946" i="15"/>
  <c r="U1946" i="15"/>
  <c r="Q1947" i="15"/>
  <c r="T1947" i="15"/>
  <c r="U1947" i="15"/>
  <c r="Q1948" i="15"/>
  <c r="T1948" i="15"/>
  <c r="U1948" i="15"/>
  <c r="Q1949" i="15"/>
  <c r="T1949" i="15"/>
  <c r="U1949" i="15"/>
  <c r="Q1950" i="15"/>
  <c r="T1950" i="15"/>
  <c r="U1950" i="15"/>
  <c r="Q1951" i="15"/>
  <c r="T1951" i="15"/>
  <c r="U1951" i="15"/>
  <c r="Q1952" i="15"/>
  <c r="T1952" i="15"/>
  <c r="U1952" i="15"/>
  <c r="Q1953" i="15"/>
  <c r="T1953" i="15"/>
  <c r="U1953" i="15"/>
  <c r="Q1954" i="15"/>
  <c r="T1954" i="15"/>
  <c r="U1954" i="15"/>
  <c r="Q1955" i="15"/>
  <c r="T1955" i="15"/>
  <c r="U1955" i="15"/>
  <c r="Q1956" i="15"/>
  <c r="T1956" i="15"/>
  <c r="U1956" i="15"/>
  <c r="Q1957" i="15"/>
  <c r="T1957" i="15"/>
  <c r="U1957" i="15"/>
  <c r="Q1958" i="15"/>
  <c r="T1958" i="15"/>
  <c r="U1958" i="15"/>
  <c r="Q1959" i="15"/>
  <c r="T1959" i="15"/>
  <c r="U1959" i="15"/>
  <c r="Q1960" i="15"/>
  <c r="T1960" i="15"/>
  <c r="U1960" i="15"/>
  <c r="Q1961" i="15"/>
  <c r="T1961" i="15"/>
  <c r="U1961" i="15"/>
  <c r="Q1962" i="15"/>
  <c r="T1962" i="15"/>
  <c r="U1962" i="15"/>
  <c r="Q1963" i="15"/>
  <c r="T1963" i="15"/>
  <c r="U1963" i="15"/>
  <c r="Q1964" i="15"/>
  <c r="T1964" i="15"/>
  <c r="U1964" i="15"/>
  <c r="Q1965" i="15"/>
  <c r="T1965" i="15"/>
  <c r="U1965" i="15"/>
  <c r="Q1966" i="15"/>
  <c r="T1966" i="15"/>
  <c r="U1966" i="15"/>
  <c r="Q1967" i="15"/>
  <c r="T1967" i="15"/>
  <c r="U1967" i="15"/>
  <c r="Q1968" i="15"/>
  <c r="T1968" i="15"/>
  <c r="U1968" i="15"/>
  <c r="Q1969" i="15"/>
  <c r="T1969" i="15"/>
  <c r="U1969" i="15"/>
  <c r="Q1970" i="15"/>
  <c r="T1970" i="15"/>
  <c r="U1970" i="15"/>
  <c r="Q1971" i="15"/>
  <c r="T1971" i="15"/>
  <c r="U1971" i="15"/>
  <c r="Q1972" i="15"/>
  <c r="T1972" i="15"/>
  <c r="U1972" i="15"/>
  <c r="Q1973" i="15"/>
  <c r="T1973" i="15"/>
  <c r="U1973" i="15"/>
  <c r="Q1974" i="15"/>
  <c r="T1974" i="15"/>
  <c r="U1974" i="15"/>
  <c r="Q1975" i="15"/>
  <c r="T1975" i="15"/>
  <c r="U1975" i="15"/>
  <c r="Q1976" i="15"/>
  <c r="T1976" i="15"/>
  <c r="U1976" i="15"/>
  <c r="Q1977" i="15"/>
  <c r="T1977" i="15"/>
  <c r="U1977" i="15"/>
  <c r="Q1978" i="15"/>
  <c r="T1978" i="15"/>
  <c r="U1978" i="15"/>
  <c r="Q1979" i="15"/>
  <c r="T1979" i="15"/>
  <c r="U1979" i="15"/>
  <c r="Q1980" i="15"/>
  <c r="T1980" i="15"/>
  <c r="U1980" i="15"/>
  <c r="Q1981" i="15"/>
  <c r="T1981" i="15"/>
  <c r="U1981" i="15"/>
  <c r="Q1982" i="15"/>
  <c r="T1982" i="15"/>
  <c r="U1982" i="15"/>
  <c r="Q1983" i="15"/>
  <c r="T1983" i="15"/>
  <c r="U1983" i="15"/>
  <c r="Q1984" i="15"/>
  <c r="T1984" i="15"/>
  <c r="U1984" i="15"/>
  <c r="Q1985" i="15"/>
  <c r="T1985" i="15"/>
  <c r="U1985" i="15"/>
  <c r="Q1986" i="15"/>
  <c r="T1986" i="15"/>
  <c r="U1986" i="15"/>
  <c r="Q1987" i="15"/>
  <c r="T1987" i="15"/>
  <c r="U1987" i="15"/>
  <c r="Q1988" i="15"/>
  <c r="T1988" i="15"/>
  <c r="U1988" i="15"/>
  <c r="Q1989" i="15"/>
  <c r="T1989" i="15"/>
  <c r="U1989" i="15"/>
  <c r="Q1990" i="15"/>
  <c r="T1990" i="15"/>
  <c r="U1990" i="15"/>
  <c r="Q1991" i="15"/>
  <c r="T1991" i="15"/>
  <c r="U1991" i="15"/>
  <c r="Q1992" i="15"/>
  <c r="T1992" i="15"/>
  <c r="U1992" i="15"/>
  <c r="Q1993" i="15"/>
  <c r="T1993" i="15"/>
  <c r="U1993" i="15"/>
  <c r="Q1994" i="15"/>
  <c r="T1994" i="15"/>
  <c r="U1994" i="15"/>
  <c r="Q1995" i="15"/>
  <c r="T1995" i="15"/>
  <c r="U1995" i="15"/>
  <c r="Q1996" i="15"/>
  <c r="T1996" i="15"/>
  <c r="U1996" i="15"/>
  <c r="Q1997" i="15"/>
  <c r="T1997" i="15"/>
  <c r="U1997" i="15"/>
  <c r="Q1998" i="15"/>
  <c r="T1998" i="15"/>
  <c r="U1998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U165" i="15"/>
  <c r="U166" i="15"/>
  <c r="U167" i="15"/>
  <c r="U168" i="15"/>
  <c r="U169" i="15"/>
  <c r="U170" i="15"/>
  <c r="U171" i="15"/>
  <c r="U172" i="15"/>
  <c r="U173" i="15"/>
  <c r="U174" i="15"/>
  <c r="U175" i="15"/>
  <c r="U176" i="15"/>
  <c r="U177" i="15"/>
  <c r="U178" i="15"/>
  <c r="U179" i="15"/>
  <c r="U180" i="15"/>
  <c r="U181" i="15"/>
  <c r="U182" i="15"/>
  <c r="U183" i="15"/>
  <c r="U184" i="15"/>
  <c r="U185" i="15"/>
  <c r="U186" i="15"/>
  <c r="U187" i="15"/>
  <c r="U188" i="15"/>
  <c r="U189" i="15"/>
  <c r="U190" i="15"/>
  <c r="U191" i="15"/>
  <c r="U192" i="15"/>
  <c r="U193" i="15"/>
  <c r="U194" i="15"/>
  <c r="U195" i="15"/>
  <c r="U196" i="15"/>
  <c r="U197" i="15"/>
  <c r="U198" i="15"/>
  <c r="U199" i="15"/>
  <c r="U200" i="15"/>
  <c r="U201" i="15"/>
  <c r="U202" i="15"/>
  <c r="U203" i="15"/>
  <c r="U204" i="15"/>
  <c r="U205" i="15"/>
  <c r="U206" i="15"/>
  <c r="U207" i="15"/>
  <c r="U208" i="15"/>
  <c r="U209" i="15"/>
  <c r="U210" i="15"/>
  <c r="U211" i="15"/>
  <c r="U212" i="15"/>
  <c r="U213" i="15"/>
  <c r="U214" i="15"/>
  <c r="U215" i="15"/>
  <c r="U216" i="15"/>
  <c r="U217" i="15"/>
  <c r="U218" i="15"/>
  <c r="U219" i="15"/>
  <c r="U220" i="15"/>
  <c r="U221" i="15"/>
  <c r="U222" i="15"/>
  <c r="U223" i="15"/>
  <c r="U224" i="15"/>
  <c r="U225" i="15"/>
  <c r="U226" i="15"/>
  <c r="U227" i="15"/>
  <c r="U228" i="15"/>
  <c r="U229" i="15"/>
  <c r="U230" i="15"/>
  <c r="U231" i="15"/>
  <c r="U232" i="15"/>
  <c r="U233" i="15"/>
  <c r="U234" i="15"/>
  <c r="U235" i="15"/>
  <c r="U236" i="15"/>
  <c r="U237" i="15"/>
  <c r="U238" i="15"/>
  <c r="U239" i="15"/>
  <c r="U240" i="15"/>
  <c r="U241" i="15"/>
  <c r="U242" i="15"/>
  <c r="U243" i="15"/>
  <c r="U244" i="15"/>
  <c r="U245" i="15"/>
  <c r="U246" i="15"/>
  <c r="U247" i="15"/>
  <c r="U248" i="15"/>
  <c r="U249" i="15"/>
  <c r="U250" i="15"/>
  <c r="U251" i="15"/>
  <c r="U252" i="15"/>
  <c r="U253" i="15"/>
  <c r="U254" i="15"/>
  <c r="U255" i="15"/>
  <c r="U256" i="15"/>
  <c r="U257" i="15"/>
  <c r="U258" i="15"/>
  <c r="U259" i="15"/>
  <c r="U260" i="15"/>
  <c r="U261" i="15"/>
  <c r="U262" i="15"/>
  <c r="U263" i="15"/>
  <c r="U264" i="15"/>
  <c r="U265" i="15"/>
  <c r="U266" i="15"/>
  <c r="U267" i="15"/>
  <c r="U268" i="15"/>
  <c r="U269" i="15"/>
  <c r="U270" i="15"/>
  <c r="U271" i="15"/>
  <c r="U272" i="15"/>
  <c r="U273" i="15"/>
  <c r="U274" i="15"/>
  <c r="U275" i="15"/>
  <c r="U276" i="15"/>
  <c r="U277" i="15"/>
  <c r="U278" i="15"/>
  <c r="U279" i="15"/>
  <c r="U280" i="15"/>
  <c r="U281" i="15"/>
  <c r="U282" i="15"/>
  <c r="U283" i="15"/>
  <c r="U284" i="15"/>
  <c r="U285" i="15"/>
  <c r="U286" i="15"/>
  <c r="U287" i="15"/>
  <c r="U288" i="15"/>
  <c r="U289" i="15"/>
  <c r="U290" i="15"/>
  <c r="U291" i="15"/>
  <c r="U292" i="15"/>
  <c r="U293" i="15"/>
  <c r="U294" i="15"/>
  <c r="U295" i="15"/>
  <c r="U296" i="15"/>
  <c r="U297" i="15"/>
  <c r="U298" i="15"/>
  <c r="U299" i="15"/>
  <c r="U300" i="15"/>
  <c r="U301" i="15"/>
  <c r="U302" i="15"/>
  <c r="U303" i="15"/>
  <c r="U304" i="15"/>
  <c r="U305" i="15"/>
  <c r="U306" i="15"/>
  <c r="U307" i="15"/>
  <c r="U308" i="15"/>
  <c r="U309" i="15"/>
  <c r="U310" i="15"/>
  <c r="U311" i="15"/>
  <c r="U312" i="15"/>
  <c r="U313" i="15"/>
  <c r="U314" i="15"/>
  <c r="U315" i="15"/>
  <c r="U316" i="15"/>
  <c r="U317" i="15"/>
  <c r="U318" i="15"/>
  <c r="U319" i="15"/>
  <c r="U320" i="15"/>
  <c r="U321" i="15"/>
  <c r="U322" i="15"/>
  <c r="U323" i="15"/>
  <c r="U324" i="15"/>
  <c r="U325" i="15"/>
  <c r="U326" i="15"/>
  <c r="U327" i="15"/>
  <c r="U328" i="15"/>
  <c r="U329" i="15"/>
  <c r="U330" i="15"/>
  <c r="U331" i="15"/>
  <c r="U332" i="15"/>
  <c r="U333" i="15"/>
  <c r="U334" i="15"/>
  <c r="U335" i="15"/>
  <c r="U336" i="15"/>
  <c r="U337" i="15"/>
  <c r="U338" i="15"/>
  <c r="U339" i="15"/>
  <c r="U340" i="15"/>
  <c r="U341" i="15"/>
  <c r="U342" i="15"/>
  <c r="U343" i="15"/>
  <c r="U344" i="15"/>
  <c r="U345" i="15"/>
  <c r="U346" i="15"/>
  <c r="U347" i="15"/>
  <c r="U348" i="15"/>
  <c r="U349" i="15"/>
  <c r="U350" i="15"/>
  <c r="U351" i="15"/>
  <c r="U352" i="15"/>
  <c r="U353" i="15"/>
  <c r="U354" i="15"/>
  <c r="U355" i="15"/>
  <c r="U356" i="15"/>
  <c r="U357" i="15"/>
  <c r="U358" i="15"/>
  <c r="U359" i="15"/>
  <c r="U360" i="15"/>
  <c r="U361" i="15"/>
  <c r="U362" i="15"/>
  <c r="U363" i="15"/>
  <c r="U364" i="15"/>
  <c r="U365" i="15"/>
  <c r="U366" i="15"/>
  <c r="U367" i="15"/>
  <c r="U368" i="15"/>
  <c r="U369" i="15"/>
  <c r="U370" i="15"/>
  <c r="U371" i="15"/>
  <c r="U372" i="15"/>
  <c r="U373" i="15"/>
  <c r="U374" i="15"/>
  <c r="U375" i="15"/>
  <c r="U376" i="15"/>
  <c r="U377" i="15"/>
  <c r="U378" i="15"/>
  <c r="U379" i="15"/>
  <c r="U380" i="15"/>
  <c r="U381" i="15"/>
  <c r="U382" i="15"/>
  <c r="U383" i="15"/>
  <c r="U384" i="15"/>
  <c r="U385" i="15"/>
  <c r="U386" i="15"/>
  <c r="U387" i="15"/>
  <c r="U388" i="15"/>
  <c r="U389" i="15"/>
  <c r="U390" i="15"/>
  <c r="U391" i="15"/>
  <c r="U392" i="15"/>
  <c r="U393" i="15"/>
  <c r="U394" i="15"/>
  <c r="U395" i="15"/>
  <c r="U396" i="15"/>
  <c r="U397" i="15"/>
  <c r="U398" i="15"/>
  <c r="U399" i="15"/>
  <c r="U400" i="15"/>
  <c r="U401" i="15"/>
  <c r="U402" i="15"/>
  <c r="U403" i="15"/>
  <c r="U404" i="15"/>
  <c r="U405" i="15"/>
  <c r="U406" i="15"/>
  <c r="U407" i="15"/>
  <c r="U408" i="15"/>
  <c r="U409" i="15"/>
  <c r="U410" i="15"/>
  <c r="U411" i="15"/>
  <c r="U412" i="15"/>
  <c r="U413" i="15"/>
  <c r="U414" i="15"/>
  <c r="U415" i="15"/>
  <c r="U416" i="15"/>
  <c r="U417" i="15"/>
  <c r="U418" i="15"/>
  <c r="U419" i="15"/>
  <c r="U420" i="15"/>
  <c r="U421" i="15"/>
  <c r="U422" i="15"/>
  <c r="U423" i="15"/>
  <c r="U424" i="15"/>
  <c r="U425" i="15"/>
  <c r="U426" i="15"/>
  <c r="U427" i="15"/>
  <c r="U428" i="15"/>
  <c r="U429" i="15"/>
  <c r="U430" i="15"/>
  <c r="U431" i="15"/>
  <c r="U432" i="15"/>
  <c r="U433" i="15"/>
  <c r="U434" i="15"/>
  <c r="U435" i="15"/>
  <c r="U436" i="15"/>
  <c r="U437" i="15"/>
  <c r="U438" i="15"/>
  <c r="U439" i="15"/>
  <c r="U440" i="15"/>
  <c r="U441" i="15"/>
  <c r="U442" i="15"/>
  <c r="U443" i="15"/>
  <c r="U444" i="15"/>
  <c r="U445" i="15"/>
  <c r="U446" i="15"/>
  <c r="U447" i="15"/>
  <c r="U448" i="15"/>
  <c r="U449" i="15"/>
  <c r="U450" i="15"/>
  <c r="U451" i="15"/>
  <c r="U452" i="15"/>
  <c r="U453" i="15"/>
  <c r="U454" i="15"/>
  <c r="U455" i="15"/>
  <c r="U456" i="15"/>
  <c r="U457" i="15"/>
  <c r="U458" i="15"/>
  <c r="U459" i="15"/>
  <c r="U460" i="15"/>
  <c r="U461" i="15"/>
  <c r="U462" i="15"/>
  <c r="U463" i="15"/>
  <c r="U464" i="15"/>
  <c r="U465" i="15"/>
  <c r="U466" i="15"/>
  <c r="U467" i="15"/>
  <c r="U468" i="15"/>
  <c r="U469" i="15"/>
  <c r="U470" i="15"/>
  <c r="U471" i="15"/>
  <c r="U472" i="15"/>
  <c r="U473" i="15"/>
  <c r="U474" i="15"/>
  <c r="U475" i="15"/>
  <c r="U476" i="15"/>
  <c r="U477" i="15"/>
  <c r="U478" i="15"/>
  <c r="U479" i="15"/>
  <c r="U480" i="15"/>
  <c r="U481" i="15"/>
  <c r="U482" i="15"/>
  <c r="U483" i="15"/>
  <c r="U484" i="15"/>
  <c r="U485" i="15"/>
  <c r="U486" i="15"/>
  <c r="U487" i="15"/>
  <c r="U488" i="15"/>
  <c r="U489" i="15"/>
  <c r="U490" i="15"/>
  <c r="U491" i="15"/>
  <c r="U492" i="15"/>
  <c r="U493" i="15"/>
  <c r="U494" i="15"/>
  <c r="U495" i="15"/>
  <c r="U496" i="15"/>
  <c r="U497" i="15"/>
  <c r="U498" i="15"/>
  <c r="U499" i="15"/>
  <c r="U500" i="15"/>
  <c r="U501" i="15"/>
  <c r="U502" i="15"/>
  <c r="U503" i="15"/>
  <c r="U504" i="15"/>
  <c r="U505" i="15"/>
  <c r="U506" i="15"/>
  <c r="U507" i="15"/>
  <c r="U508" i="15"/>
  <c r="U509" i="15"/>
  <c r="U510" i="15"/>
  <c r="U511" i="15"/>
  <c r="U512" i="15"/>
  <c r="U513" i="15"/>
  <c r="U514" i="15"/>
  <c r="U515" i="15"/>
  <c r="U516" i="15"/>
  <c r="U517" i="15"/>
  <c r="U518" i="15"/>
  <c r="U519" i="15"/>
  <c r="U520" i="15"/>
  <c r="U521" i="15"/>
  <c r="U522" i="15"/>
  <c r="U523" i="15"/>
  <c r="U524" i="15"/>
  <c r="U525" i="15"/>
  <c r="U526" i="15"/>
  <c r="U527" i="15"/>
  <c r="U528" i="15"/>
  <c r="U529" i="15"/>
  <c r="U530" i="15"/>
  <c r="U531" i="15"/>
  <c r="U532" i="15"/>
  <c r="U533" i="15"/>
  <c r="U534" i="15"/>
  <c r="U535" i="15"/>
  <c r="U536" i="15"/>
  <c r="U537" i="15"/>
  <c r="U538" i="15"/>
  <c r="U539" i="15"/>
  <c r="U540" i="15"/>
  <c r="U541" i="15"/>
  <c r="U542" i="15"/>
  <c r="U543" i="15"/>
  <c r="U544" i="15"/>
  <c r="U545" i="15"/>
  <c r="U546" i="15"/>
  <c r="U547" i="15"/>
  <c r="U548" i="15"/>
  <c r="U549" i="15"/>
  <c r="U550" i="15"/>
  <c r="U551" i="15"/>
  <c r="U552" i="15"/>
  <c r="U553" i="15"/>
  <c r="U554" i="15"/>
  <c r="U555" i="15"/>
  <c r="U556" i="15"/>
  <c r="U557" i="15"/>
  <c r="U558" i="15"/>
  <c r="U559" i="15"/>
  <c r="U560" i="15"/>
  <c r="U561" i="15"/>
  <c r="U562" i="15"/>
  <c r="U563" i="15"/>
  <c r="U564" i="15"/>
  <c r="U565" i="15"/>
  <c r="U566" i="15"/>
  <c r="U567" i="15"/>
  <c r="U568" i="15"/>
  <c r="U569" i="15"/>
  <c r="U570" i="15"/>
  <c r="U571" i="15"/>
  <c r="U572" i="15"/>
  <c r="U573" i="15"/>
  <c r="U574" i="15"/>
  <c r="U575" i="15"/>
  <c r="U576" i="15"/>
  <c r="U577" i="15"/>
  <c r="U578" i="15"/>
  <c r="U579" i="15"/>
  <c r="U580" i="15"/>
  <c r="U581" i="15"/>
  <c r="U582" i="15"/>
  <c r="U583" i="15"/>
  <c r="U584" i="15"/>
  <c r="U585" i="15"/>
  <c r="U586" i="15"/>
  <c r="U587" i="15"/>
  <c r="U588" i="15"/>
  <c r="U589" i="15"/>
  <c r="U590" i="15"/>
  <c r="U591" i="15"/>
  <c r="U592" i="15"/>
  <c r="U593" i="15"/>
  <c r="U594" i="15"/>
  <c r="U595" i="15"/>
  <c r="U596" i="15"/>
  <c r="U597" i="15"/>
  <c r="U598" i="15"/>
  <c r="U599" i="15"/>
  <c r="U600" i="15"/>
  <c r="U601" i="15"/>
  <c r="U602" i="15"/>
  <c r="U603" i="15"/>
  <c r="U604" i="15"/>
  <c r="U605" i="15"/>
  <c r="U606" i="15"/>
  <c r="U607" i="15"/>
  <c r="U608" i="15"/>
  <c r="U609" i="15"/>
  <c r="U610" i="15"/>
  <c r="U611" i="15"/>
  <c r="U612" i="15"/>
  <c r="U613" i="15"/>
  <c r="U614" i="15"/>
  <c r="U615" i="15"/>
  <c r="U616" i="15"/>
  <c r="U617" i="15"/>
  <c r="U618" i="15"/>
  <c r="U619" i="15"/>
  <c r="U620" i="15"/>
  <c r="U621" i="15"/>
  <c r="U622" i="15"/>
  <c r="U623" i="15"/>
  <c r="U624" i="15"/>
  <c r="U625" i="15"/>
  <c r="U626" i="15"/>
  <c r="U627" i="15"/>
  <c r="U628" i="15"/>
  <c r="U629" i="15"/>
  <c r="U630" i="15"/>
  <c r="U631" i="15"/>
  <c r="U632" i="15"/>
  <c r="U633" i="15"/>
  <c r="U634" i="15"/>
  <c r="U635" i="15"/>
  <c r="U636" i="15"/>
  <c r="U637" i="15"/>
  <c r="U638" i="15"/>
  <c r="U639" i="15"/>
  <c r="U640" i="15"/>
  <c r="U641" i="15"/>
  <c r="U642" i="15"/>
  <c r="U643" i="15"/>
  <c r="U644" i="15"/>
  <c r="U645" i="15"/>
  <c r="U646" i="15"/>
  <c r="U647" i="15"/>
  <c r="U648" i="15"/>
  <c r="U649" i="15"/>
  <c r="U650" i="15"/>
  <c r="U651" i="15"/>
  <c r="U652" i="15"/>
  <c r="U653" i="15"/>
  <c r="U654" i="15"/>
  <c r="U655" i="15"/>
  <c r="U656" i="15"/>
  <c r="U657" i="15"/>
  <c r="U658" i="15"/>
  <c r="U659" i="15"/>
  <c r="U660" i="15"/>
  <c r="U661" i="15"/>
  <c r="U662" i="15"/>
  <c r="U663" i="15"/>
  <c r="U664" i="15"/>
  <c r="U665" i="15"/>
  <c r="U666" i="15"/>
  <c r="U667" i="15"/>
  <c r="U668" i="15"/>
  <c r="U669" i="15"/>
  <c r="U670" i="15"/>
  <c r="U671" i="15"/>
  <c r="U672" i="15"/>
  <c r="U673" i="15"/>
  <c r="U674" i="15"/>
  <c r="U675" i="15"/>
  <c r="U676" i="15"/>
  <c r="U677" i="15"/>
  <c r="U678" i="15"/>
  <c r="U679" i="15"/>
  <c r="U680" i="15"/>
  <c r="U681" i="15"/>
  <c r="U682" i="15"/>
  <c r="U683" i="15"/>
  <c r="U684" i="15"/>
  <c r="U685" i="15"/>
  <c r="U686" i="15"/>
  <c r="U687" i="15"/>
  <c r="U688" i="15"/>
  <c r="U689" i="15"/>
  <c r="U690" i="15"/>
  <c r="U691" i="15"/>
  <c r="U692" i="15"/>
  <c r="U693" i="15"/>
  <c r="U694" i="15"/>
  <c r="U695" i="15"/>
  <c r="U696" i="15"/>
  <c r="U697" i="15"/>
  <c r="U698" i="15"/>
  <c r="U699" i="15"/>
  <c r="U700" i="15"/>
  <c r="U701" i="15"/>
  <c r="U702" i="15"/>
  <c r="U703" i="15"/>
  <c r="U704" i="15"/>
  <c r="U705" i="15"/>
  <c r="U706" i="15"/>
  <c r="U707" i="15"/>
  <c r="U708" i="15"/>
  <c r="U709" i="15"/>
  <c r="U710" i="15"/>
  <c r="U711" i="15"/>
  <c r="U712" i="15"/>
  <c r="U713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T171" i="15"/>
  <c r="T172" i="15"/>
  <c r="T173" i="15"/>
  <c r="T174" i="15"/>
  <c r="T175" i="15"/>
  <c r="T176" i="15"/>
  <c r="T177" i="15"/>
  <c r="T178" i="15"/>
  <c r="T179" i="15"/>
  <c r="T180" i="15"/>
  <c r="T181" i="15"/>
  <c r="T182" i="15"/>
  <c r="T183" i="15"/>
  <c r="T184" i="15"/>
  <c r="T185" i="15"/>
  <c r="T186" i="15"/>
  <c r="T187" i="15"/>
  <c r="T188" i="15"/>
  <c r="T189" i="15"/>
  <c r="T190" i="15"/>
  <c r="T191" i="15"/>
  <c r="T192" i="15"/>
  <c r="T193" i="15"/>
  <c r="T194" i="15"/>
  <c r="T195" i="15"/>
  <c r="T196" i="15"/>
  <c r="T197" i="15"/>
  <c r="T198" i="15"/>
  <c r="T199" i="15"/>
  <c r="T200" i="15"/>
  <c r="T201" i="15"/>
  <c r="T202" i="15"/>
  <c r="T203" i="15"/>
  <c r="T204" i="15"/>
  <c r="T205" i="15"/>
  <c r="T206" i="15"/>
  <c r="T207" i="15"/>
  <c r="T208" i="15"/>
  <c r="T209" i="15"/>
  <c r="T210" i="15"/>
  <c r="T211" i="15"/>
  <c r="T212" i="15"/>
  <c r="T213" i="15"/>
  <c r="T214" i="15"/>
  <c r="T215" i="15"/>
  <c r="T216" i="15"/>
  <c r="T217" i="15"/>
  <c r="T218" i="15"/>
  <c r="T219" i="15"/>
  <c r="T220" i="15"/>
  <c r="T221" i="15"/>
  <c r="T222" i="15"/>
  <c r="T223" i="15"/>
  <c r="T224" i="15"/>
  <c r="T225" i="15"/>
  <c r="T226" i="15"/>
  <c r="T227" i="15"/>
  <c r="T228" i="15"/>
  <c r="T229" i="15"/>
  <c r="T230" i="15"/>
  <c r="T231" i="15"/>
  <c r="T232" i="15"/>
  <c r="T233" i="15"/>
  <c r="T234" i="15"/>
  <c r="T235" i="15"/>
  <c r="T236" i="15"/>
  <c r="T237" i="15"/>
  <c r="T238" i="15"/>
  <c r="T239" i="15"/>
  <c r="T240" i="15"/>
  <c r="T241" i="15"/>
  <c r="T242" i="15"/>
  <c r="T243" i="15"/>
  <c r="T244" i="15"/>
  <c r="T245" i="15"/>
  <c r="T246" i="15"/>
  <c r="T247" i="15"/>
  <c r="T248" i="15"/>
  <c r="T249" i="15"/>
  <c r="T250" i="15"/>
  <c r="T251" i="15"/>
  <c r="T252" i="15"/>
  <c r="T253" i="15"/>
  <c r="T254" i="15"/>
  <c r="T255" i="15"/>
  <c r="T256" i="15"/>
  <c r="T257" i="15"/>
  <c r="T258" i="15"/>
  <c r="T259" i="15"/>
  <c r="T260" i="15"/>
  <c r="T261" i="15"/>
  <c r="T262" i="15"/>
  <c r="T263" i="15"/>
  <c r="T264" i="15"/>
  <c r="T265" i="15"/>
  <c r="T266" i="15"/>
  <c r="T267" i="15"/>
  <c r="T268" i="15"/>
  <c r="T269" i="15"/>
  <c r="T270" i="15"/>
  <c r="T271" i="15"/>
  <c r="T272" i="15"/>
  <c r="T273" i="15"/>
  <c r="T274" i="15"/>
  <c r="T275" i="15"/>
  <c r="T276" i="15"/>
  <c r="T277" i="15"/>
  <c r="T278" i="15"/>
  <c r="T279" i="15"/>
  <c r="T280" i="15"/>
  <c r="T281" i="15"/>
  <c r="T282" i="15"/>
  <c r="T283" i="15"/>
  <c r="T284" i="15"/>
  <c r="T285" i="15"/>
  <c r="T286" i="15"/>
  <c r="T287" i="15"/>
  <c r="T288" i="15"/>
  <c r="T289" i="15"/>
  <c r="T290" i="15"/>
  <c r="T291" i="15"/>
  <c r="T292" i="15"/>
  <c r="T293" i="15"/>
  <c r="T294" i="15"/>
  <c r="T295" i="15"/>
  <c r="T296" i="15"/>
  <c r="T297" i="15"/>
  <c r="T298" i="15"/>
  <c r="T299" i="15"/>
  <c r="T300" i="15"/>
  <c r="T301" i="15"/>
  <c r="T302" i="15"/>
  <c r="T303" i="15"/>
  <c r="T304" i="15"/>
  <c r="T305" i="15"/>
  <c r="T306" i="15"/>
  <c r="T307" i="15"/>
  <c r="T308" i="15"/>
  <c r="T309" i="15"/>
  <c r="T310" i="15"/>
  <c r="T311" i="15"/>
  <c r="T312" i="15"/>
  <c r="T313" i="15"/>
  <c r="T314" i="15"/>
  <c r="T315" i="15"/>
  <c r="T316" i="15"/>
  <c r="T317" i="15"/>
  <c r="T318" i="15"/>
  <c r="T319" i="15"/>
  <c r="T320" i="15"/>
  <c r="T321" i="15"/>
  <c r="T322" i="15"/>
  <c r="T323" i="15"/>
  <c r="T324" i="15"/>
  <c r="T325" i="15"/>
  <c r="T326" i="15"/>
  <c r="T327" i="15"/>
  <c r="T328" i="15"/>
  <c r="T329" i="15"/>
  <c r="T330" i="15"/>
  <c r="T331" i="15"/>
  <c r="T332" i="15"/>
  <c r="T333" i="15"/>
  <c r="T334" i="15"/>
  <c r="T335" i="15"/>
  <c r="T336" i="15"/>
  <c r="T337" i="15"/>
  <c r="T338" i="15"/>
  <c r="T339" i="15"/>
  <c r="T340" i="15"/>
  <c r="T341" i="15"/>
  <c r="T342" i="15"/>
  <c r="T343" i="15"/>
  <c r="T344" i="15"/>
  <c r="T345" i="15"/>
  <c r="T346" i="15"/>
  <c r="T347" i="15"/>
  <c r="T348" i="15"/>
  <c r="T349" i="15"/>
  <c r="T350" i="15"/>
  <c r="T351" i="15"/>
  <c r="T352" i="15"/>
  <c r="T353" i="15"/>
  <c r="T354" i="15"/>
  <c r="T355" i="15"/>
  <c r="T356" i="15"/>
  <c r="T357" i="15"/>
  <c r="T358" i="15"/>
  <c r="T359" i="15"/>
  <c r="T360" i="15"/>
  <c r="T361" i="15"/>
  <c r="T362" i="15"/>
  <c r="T363" i="15"/>
  <c r="T364" i="15"/>
  <c r="T365" i="15"/>
  <c r="T366" i="15"/>
  <c r="T367" i="15"/>
  <c r="T368" i="15"/>
  <c r="T369" i="15"/>
  <c r="T370" i="15"/>
  <c r="T371" i="15"/>
  <c r="T372" i="15"/>
  <c r="T373" i="15"/>
  <c r="T374" i="15"/>
  <c r="T375" i="15"/>
  <c r="T376" i="15"/>
  <c r="T377" i="15"/>
  <c r="T378" i="15"/>
  <c r="T379" i="15"/>
  <c r="T380" i="15"/>
  <c r="T381" i="15"/>
  <c r="T382" i="15"/>
  <c r="T383" i="15"/>
  <c r="T384" i="15"/>
  <c r="T385" i="15"/>
  <c r="T386" i="15"/>
  <c r="T387" i="15"/>
  <c r="T388" i="15"/>
  <c r="T389" i="15"/>
  <c r="T390" i="15"/>
  <c r="T391" i="15"/>
  <c r="T392" i="15"/>
  <c r="T393" i="15"/>
  <c r="T394" i="15"/>
  <c r="T395" i="15"/>
  <c r="T396" i="15"/>
  <c r="T397" i="15"/>
  <c r="T398" i="15"/>
  <c r="T399" i="15"/>
  <c r="T400" i="15"/>
  <c r="T401" i="15"/>
  <c r="T402" i="15"/>
  <c r="T403" i="15"/>
  <c r="T404" i="15"/>
  <c r="T405" i="15"/>
  <c r="T406" i="15"/>
  <c r="T407" i="15"/>
  <c r="T408" i="15"/>
  <c r="T409" i="15"/>
  <c r="T410" i="15"/>
  <c r="T411" i="15"/>
  <c r="T412" i="15"/>
  <c r="T413" i="15"/>
  <c r="T414" i="15"/>
  <c r="T415" i="15"/>
  <c r="T416" i="15"/>
  <c r="T417" i="15"/>
  <c r="T418" i="15"/>
  <c r="T419" i="15"/>
  <c r="T420" i="15"/>
  <c r="T421" i="15"/>
  <c r="T422" i="15"/>
  <c r="T423" i="15"/>
  <c r="T424" i="15"/>
  <c r="T425" i="15"/>
  <c r="T426" i="15"/>
  <c r="T427" i="15"/>
  <c r="T428" i="15"/>
  <c r="T429" i="15"/>
  <c r="T430" i="15"/>
  <c r="T431" i="15"/>
  <c r="T432" i="15"/>
  <c r="T433" i="15"/>
  <c r="T434" i="15"/>
  <c r="T435" i="15"/>
  <c r="T436" i="15"/>
  <c r="T437" i="15"/>
  <c r="T438" i="15"/>
  <c r="T439" i="15"/>
  <c r="T440" i="15"/>
  <c r="T441" i="15"/>
  <c r="T442" i="15"/>
  <c r="T443" i="15"/>
  <c r="T444" i="15"/>
  <c r="T445" i="15"/>
  <c r="T446" i="15"/>
  <c r="T447" i="15"/>
  <c r="T448" i="15"/>
  <c r="T449" i="15"/>
  <c r="T450" i="15"/>
  <c r="T451" i="15"/>
  <c r="T452" i="15"/>
  <c r="T453" i="15"/>
  <c r="T454" i="15"/>
  <c r="T455" i="15"/>
  <c r="T456" i="15"/>
  <c r="T457" i="15"/>
  <c r="T458" i="15"/>
  <c r="T459" i="15"/>
  <c r="T460" i="15"/>
  <c r="T461" i="15"/>
  <c r="T462" i="15"/>
  <c r="T463" i="15"/>
  <c r="T464" i="15"/>
  <c r="T465" i="15"/>
  <c r="T466" i="15"/>
  <c r="T467" i="15"/>
  <c r="T468" i="15"/>
  <c r="T469" i="15"/>
  <c r="T470" i="15"/>
  <c r="T471" i="15"/>
  <c r="T472" i="15"/>
  <c r="T473" i="15"/>
  <c r="T474" i="15"/>
  <c r="T475" i="15"/>
  <c r="T476" i="15"/>
  <c r="T477" i="15"/>
  <c r="T478" i="15"/>
  <c r="T479" i="15"/>
  <c r="T480" i="15"/>
  <c r="T481" i="15"/>
  <c r="T482" i="15"/>
  <c r="T483" i="15"/>
  <c r="T484" i="15"/>
  <c r="T485" i="15"/>
  <c r="T486" i="15"/>
  <c r="T487" i="15"/>
  <c r="T488" i="15"/>
  <c r="T489" i="15"/>
  <c r="T490" i="15"/>
  <c r="T491" i="15"/>
  <c r="T492" i="15"/>
  <c r="T493" i="15"/>
  <c r="T494" i="15"/>
  <c r="T495" i="15"/>
  <c r="T496" i="15"/>
  <c r="T497" i="15"/>
  <c r="T498" i="15"/>
  <c r="T499" i="15"/>
  <c r="T500" i="15"/>
  <c r="T501" i="15"/>
  <c r="T502" i="15"/>
  <c r="T503" i="15"/>
  <c r="T504" i="15"/>
  <c r="T505" i="15"/>
  <c r="T506" i="15"/>
  <c r="T507" i="15"/>
  <c r="T508" i="15"/>
  <c r="T509" i="15"/>
  <c r="T510" i="15"/>
  <c r="T511" i="15"/>
  <c r="T512" i="15"/>
  <c r="T513" i="15"/>
  <c r="T514" i="15"/>
  <c r="T515" i="15"/>
  <c r="T516" i="15"/>
  <c r="T517" i="15"/>
  <c r="T518" i="15"/>
  <c r="T519" i="15"/>
  <c r="T520" i="15"/>
  <c r="T521" i="15"/>
  <c r="T522" i="15"/>
  <c r="T523" i="15"/>
  <c r="T524" i="15"/>
  <c r="T525" i="15"/>
  <c r="T526" i="15"/>
  <c r="T527" i="15"/>
  <c r="T528" i="15"/>
  <c r="T529" i="15"/>
  <c r="T530" i="15"/>
  <c r="T531" i="15"/>
  <c r="T532" i="15"/>
  <c r="T533" i="15"/>
  <c r="T534" i="15"/>
  <c r="T535" i="15"/>
  <c r="T536" i="15"/>
  <c r="T537" i="15"/>
  <c r="T538" i="15"/>
  <c r="T539" i="15"/>
  <c r="T540" i="15"/>
  <c r="T541" i="15"/>
  <c r="T542" i="15"/>
  <c r="T543" i="15"/>
  <c r="T544" i="15"/>
  <c r="T545" i="15"/>
  <c r="T546" i="15"/>
  <c r="T547" i="15"/>
  <c r="T548" i="15"/>
  <c r="T549" i="15"/>
  <c r="T550" i="15"/>
  <c r="T551" i="15"/>
  <c r="T552" i="15"/>
  <c r="T553" i="15"/>
  <c r="T554" i="15"/>
  <c r="T555" i="15"/>
  <c r="T556" i="15"/>
  <c r="T557" i="15"/>
  <c r="T558" i="15"/>
  <c r="T559" i="15"/>
  <c r="T560" i="15"/>
  <c r="T561" i="15"/>
  <c r="T562" i="15"/>
  <c r="T563" i="15"/>
  <c r="T564" i="15"/>
  <c r="T565" i="15"/>
  <c r="T566" i="15"/>
  <c r="T567" i="15"/>
  <c r="T568" i="15"/>
  <c r="T569" i="15"/>
  <c r="T570" i="15"/>
  <c r="T571" i="15"/>
  <c r="T572" i="15"/>
  <c r="T573" i="15"/>
  <c r="T574" i="15"/>
  <c r="T575" i="15"/>
  <c r="T576" i="15"/>
  <c r="T577" i="15"/>
  <c r="T578" i="15"/>
  <c r="T579" i="15"/>
  <c r="T580" i="15"/>
  <c r="T581" i="15"/>
  <c r="T582" i="15"/>
  <c r="T583" i="15"/>
  <c r="T584" i="15"/>
  <c r="T585" i="15"/>
  <c r="T586" i="15"/>
  <c r="T587" i="15"/>
  <c r="T588" i="15"/>
  <c r="T589" i="15"/>
  <c r="T590" i="15"/>
  <c r="T591" i="15"/>
  <c r="T592" i="15"/>
  <c r="T593" i="15"/>
  <c r="T594" i="15"/>
  <c r="T595" i="15"/>
  <c r="T596" i="15"/>
  <c r="T597" i="15"/>
  <c r="T598" i="15"/>
  <c r="T599" i="15"/>
  <c r="T600" i="15"/>
  <c r="T601" i="15"/>
  <c r="T602" i="15"/>
  <c r="T603" i="15"/>
  <c r="T604" i="15"/>
  <c r="T605" i="15"/>
  <c r="T606" i="15"/>
  <c r="T607" i="15"/>
  <c r="T608" i="15"/>
  <c r="T609" i="15"/>
  <c r="T610" i="15"/>
  <c r="T611" i="15"/>
  <c r="T612" i="15"/>
  <c r="T613" i="15"/>
  <c r="T614" i="15"/>
  <c r="T615" i="15"/>
  <c r="T616" i="15"/>
  <c r="T617" i="15"/>
  <c r="T618" i="15"/>
  <c r="T619" i="15"/>
  <c r="T620" i="15"/>
  <c r="T621" i="15"/>
  <c r="T622" i="15"/>
  <c r="T623" i="15"/>
  <c r="T624" i="15"/>
  <c r="T625" i="15"/>
  <c r="T626" i="15"/>
  <c r="T627" i="15"/>
  <c r="T628" i="15"/>
  <c r="T629" i="15"/>
  <c r="T630" i="15"/>
  <c r="T631" i="15"/>
  <c r="T632" i="15"/>
  <c r="T633" i="15"/>
  <c r="T634" i="15"/>
  <c r="T635" i="15"/>
  <c r="T636" i="15"/>
  <c r="T637" i="15"/>
  <c r="T638" i="15"/>
  <c r="T639" i="15"/>
  <c r="T640" i="15"/>
  <c r="T641" i="15"/>
  <c r="T642" i="15"/>
  <c r="T643" i="15"/>
  <c r="T644" i="15"/>
  <c r="T645" i="15"/>
  <c r="T646" i="15"/>
  <c r="T647" i="15"/>
  <c r="T648" i="15"/>
  <c r="T649" i="15"/>
  <c r="T650" i="15"/>
  <c r="T651" i="15"/>
  <c r="T652" i="15"/>
  <c r="T653" i="15"/>
  <c r="T654" i="15"/>
  <c r="T655" i="15"/>
  <c r="T656" i="15"/>
  <c r="T657" i="15"/>
  <c r="T658" i="15"/>
  <c r="T659" i="15"/>
  <c r="T660" i="15"/>
  <c r="T661" i="15"/>
  <c r="T662" i="15"/>
  <c r="T663" i="15"/>
  <c r="T664" i="15"/>
  <c r="T665" i="15"/>
  <c r="T666" i="15"/>
  <c r="T667" i="15"/>
  <c r="T668" i="15"/>
  <c r="T669" i="15"/>
  <c r="T670" i="15"/>
  <c r="T671" i="15"/>
  <c r="T672" i="15"/>
  <c r="T673" i="15"/>
  <c r="T674" i="15"/>
  <c r="T675" i="15"/>
  <c r="T676" i="15"/>
  <c r="T677" i="15"/>
  <c r="T678" i="15"/>
  <c r="T679" i="15"/>
  <c r="T680" i="15"/>
  <c r="T681" i="15"/>
  <c r="T682" i="15"/>
  <c r="T683" i="15"/>
  <c r="T684" i="15"/>
  <c r="T685" i="15"/>
  <c r="T686" i="15"/>
  <c r="T687" i="15"/>
  <c r="T688" i="15"/>
  <c r="T689" i="15"/>
  <c r="T690" i="15"/>
  <c r="T691" i="15"/>
  <c r="T692" i="15"/>
  <c r="T693" i="15"/>
  <c r="T694" i="15"/>
  <c r="T695" i="15"/>
  <c r="T696" i="15"/>
  <c r="T697" i="15"/>
  <c r="T698" i="15"/>
  <c r="T699" i="15"/>
  <c r="T700" i="15"/>
  <c r="T701" i="15"/>
  <c r="T702" i="15"/>
  <c r="T703" i="15"/>
  <c r="T704" i="15"/>
  <c r="T705" i="15"/>
  <c r="T706" i="15"/>
  <c r="T707" i="15"/>
  <c r="T708" i="15"/>
  <c r="T709" i="15"/>
  <c r="T710" i="15"/>
  <c r="T711" i="15"/>
  <c r="T712" i="15"/>
  <c r="T713" i="15"/>
  <c r="T3" i="15"/>
  <c r="T4" i="15"/>
  <c r="T5" i="15"/>
  <c r="T6" i="15"/>
  <c r="T7" i="15"/>
  <c r="T8" i="15"/>
  <c r="T9" i="15"/>
  <c r="T10" i="15"/>
  <c r="T11" i="15"/>
  <c r="T12" i="15"/>
  <c r="T13" i="15"/>
  <c r="T14" i="15"/>
  <c r="T15" i="15"/>
  <c r="T2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2" i="15"/>
  <c r="B60" i="5"/>
  <c r="B17" i="8"/>
  <c r="B5" i="16" s="1"/>
  <c r="B18" i="8"/>
  <c r="P14" i="5" s="1"/>
  <c r="B14" i="5" s="1"/>
  <c r="B19" i="8"/>
  <c r="P15" i="5" s="1"/>
  <c r="B15" i="5" s="1"/>
  <c r="B20" i="8"/>
  <c r="P16" i="5" s="1"/>
  <c r="B16" i="5" s="1"/>
  <c r="B21" i="8"/>
  <c r="P17" i="5" s="1"/>
  <c r="B17" i="5" s="1"/>
  <c r="B22" i="8"/>
  <c r="B10" i="16" s="1"/>
  <c r="B23" i="8"/>
  <c r="P19" i="5" s="1"/>
  <c r="B19" i="5" s="1"/>
  <c r="B24" i="8"/>
  <c r="P20" i="5" s="1"/>
  <c r="B20" i="5" s="1"/>
  <c r="B25" i="8"/>
  <c r="P21" i="5" s="1"/>
  <c r="B21" i="5" s="1"/>
  <c r="B26" i="8"/>
  <c r="P22" i="5" s="1"/>
  <c r="B22" i="5" s="1"/>
  <c r="B27" i="8"/>
  <c r="P23" i="5" s="1"/>
  <c r="B23" i="5" s="1"/>
  <c r="B28" i="8"/>
  <c r="P24" i="5" s="1"/>
  <c r="B24" i="5" s="1"/>
  <c r="B29" i="8"/>
  <c r="P25" i="5" s="1"/>
  <c r="B25" i="5" s="1"/>
  <c r="B30" i="8"/>
  <c r="B18" i="16" s="1"/>
  <c r="B31" i="8"/>
  <c r="P27" i="5" s="1"/>
  <c r="B27" i="5" s="1"/>
  <c r="B32" i="8"/>
  <c r="P28" i="5" s="1"/>
  <c r="B28" i="5" s="1"/>
  <c r="B33" i="8"/>
  <c r="P29" i="5" s="1"/>
  <c r="B29" i="5" s="1"/>
  <c r="B34" i="8"/>
  <c r="B22" i="16" s="1"/>
  <c r="B35" i="8"/>
  <c r="P31" i="5" s="1"/>
  <c r="B31" i="5" s="1"/>
  <c r="B36" i="8"/>
  <c r="B24" i="16" s="1"/>
  <c r="B37" i="8"/>
  <c r="P33" i="5" s="1"/>
  <c r="B33" i="5" s="1"/>
  <c r="B38" i="8"/>
  <c r="P34" i="5" s="1"/>
  <c r="B34" i="5" s="1"/>
  <c r="B39" i="8"/>
  <c r="B27" i="16" s="1"/>
  <c r="B40" i="8"/>
  <c r="P36" i="5" s="1"/>
  <c r="B36" i="5" s="1"/>
  <c r="B41" i="8"/>
  <c r="P37" i="5" s="1"/>
  <c r="B37" i="5" s="1"/>
  <c r="B42" i="8"/>
  <c r="P38" i="5" s="1"/>
  <c r="B38" i="5" s="1"/>
  <c r="B43" i="8"/>
  <c r="P39" i="5" s="1"/>
  <c r="B39" i="5" s="1"/>
  <c r="B44" i="8"/>
  <c r="P40" i="5" s="1"/>
  <c r="B40" i="5" s="1"/>
  <c r="B45" i="8"/>
  <c r="B46" i="8"/>
  <c r="P42" i="5" s="1"/>
  <c r="B42" i="5" s="1"/>
  <c r="B47" i="8"/>
  <c r="P43" i="5" s="1"/>
  <c r="B43" i="5" s="1"/>
  <c r="B48" i="8"/>
  <c r="P44" i="5" s="1"/>
  <c r="B44" i="5" s="1"/>
  <c r="B49" i="8"/>
  <c r="P45" i="5" s="1"/>
  <c r="B45" i="5" s="1"/>
  <c r="B50" i="8"/>
  <c r="B38" i="16" s="1"/>
  <c r="B51" i="8"/>
  <c r="B39" i="16" s="1"/>
  <c r="B52" i="8"/>
  <c r="B40" i="16" s="1"/>
  <c r="B53" i="8"/>
  <c r="P49" i="5" s="1"/>
  <c r="B49" i="5" s="1"/>
  <c r="B54" i="8"/>
  <c r="P50" i="5" s="1"/>
  <c r="B50" i="5" s="1"/>
  <c r="B55" i="8"/>
  <c r="B43" i="16" s="1"/>
  <c r="B56" i="8"/>
  <c r="P52" i="5" s="1"/>
  <c r="B52" i="5" s="1"/>
  <c r="B57" i="8"/>
  <c r="B58" i="8"/>
  <c r="B46" i="16" s="1"/>
  <c r="B16" i="8"/>
  <c r="B4" i="16" s="1"/>
  <c r="B15" i="8"/>
  <c r="P11" i="5" s="1"/>
  <c r="B11" i="5" s="1"/>
  <c r="Q2" i="15"/>
  <c r="Q3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Q277" i="15"/>
  <c r="Q278" i="15"/>
  <c r="Q279" i="15"/>
  <c r="Q280" i="15"/>
  <c r="Q281" i="15"/>
  <c r="Q282" i="15"/>
  <c r="Q283" i="15"/>
  <c r="Q284" i="15"/>
  <c r="Q285" i="15"/>
  <c r="Q286" i="15"/>
  <c r="Q287" i="15"/>
  <c r="Q288" i="15"/>
  <c r="Q289" i="15"/>
  <c r="Q290" i="15"/>
  <c r="Q291" i="15"/>
  <c r="Q292" i="15"/>
  <c r="Q293" i="15"/>
  <c r="Q294" i="15"/>
  <c r="Q295" i="15"/>
  <c r="Q296" i="15"/>
  <c r="Q297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1" i="15"/>
  <c r="Q312" i="15"/>
  <c r="Q313" i="15"/>
  <c r="Q314" i="15"/>
  <c r="Q315" i="15"/>
  <c r="Q316" i="15"/>
  <c r="Q317" i="15"/>
  <c r="Q318" i="15"/>
  <c r="Q319" i="15"/>
  <c r="Q320" i="15"/>
  <c r="Q321" i="15"/>
  <c r="Q322" i="15"/>
  <c r="Q323" i="15"/>
  <c r="Q324" i="15"/>
  <c r="Q325" i="15"/>
  <c r="Q326" i="15"/>
  <c r="Q327" i="15"/>
  <c r="Q328" i="15"/>
  <c r="Q329" i="15"/>
  <c r="Q330" i="15"/>
  <c r="Q331" i="15"/>
  <c r="Q332" i="15"/>
  <c r="Q333" i="15"/>
  <c r="Q334" i="15"/>
  <c r="Q335" i="15"/>
  <c r="Q336" i="15"/>
  <c r="Q337" i="15"/>
  <c r="Q338" i="15"/>
  <c r="Q339" i="15"/>
  <c r="Q340" i="15"/>
  <c r="Q341" i="15"/>
  <c r="Q342" i="15"/>
  <c r="Q343" i="15"/>
  <c r="Q344" i="15"/>
  <c r="Q345" i="15"/>
  <c r="Q346" i="15"/>
  <c r="Q347" i="15"/>
  <c r="Q348" i="15"/>
  <c r="Q349" i="15"/>
  <c r="Q350" i="15"/>
  <c r="Q351" i="15"/>
  <c r="Q352" i="15"/>
  <c r="Q353" i="15"/>
  <c r="Q354" i="15"/>
  <c r="Q355" i="15"/>
  <c r="Q356" i="15"/>
  <c r="Q357" i="15"/>
  <c r="Q358" i="15"/>
  <c r="Q359" i="15"/>
  <c r="Q360" i="15"/>
  <c r="Q361" i="15"/>
  <c r="Q362" i="15"/>
  <c r="Q363" i="15"/>
  <c r="Q364" i="15"/>
  <c r="Q365" i="15"/>
  <c r="Q366" i="15"/>
  <c r="Q367" i="15"/>
  <c r="Q368" i="15"/>
  <c r="Q369" i="15"/>
  <c r="Q370" i="15"/>
  <c r="Q371" i="15"/>
  <c r="Q372" i="15"/>
  <c r="Q373" i="15"/>
  <c r="Q374" i="15"/>
  <c r="Q375" i="15"/>
  <c r="Q376" i="15"/>
  <c r="Q377" i="15"/>
  <c r="Q378" i="15"/>
  <c r="Q379" i="15"/>
  <c r="Q380" i="15"/>
  <c r="Q381" i="15"/>
  <c r="Q382" i="15"/>
  <c r="Q383" i="15"/>
  <c r="Q384" i="15"/>
  <c r="Q385" i="15"/>
  <c r="Q386" i="15"/>
  <c r="Q387" i="15"/>
  <c r="Q388" i="15"/>
  <c r="Q389" i="15"/>
  <c r="Q390" i="15"/>
  <c r="Q391" i="15"/>
  <c r="Q392" i="15"/>
  <c r="Q393" i="15"/>
  <c r="Q394" i="15"/>
  <c r="Q395" i="15"/>
  <c r="Q396" i="15"/>
  <c r="Q397" i="15"/>
  <c r="Q398" i="15"/>
  <c r="Q399" i="15"/>
  <c r="Q400" i="15"/>
  <c r="Q401" i="15"/>
  <c r="Q402" i="15"/>
  <c r="Q403" i="15"/>
  <c r="Q404" i="15"/>
  <c r="Q405" i="15"/>
  <c r="Q406" i="15"/>
  <c r="Q407" i="15"/>
  <c r="Q408" i="15"/>
  <c r="Q409" i="15"/>
  <c r="Q410" i="15"/>
  <c r="Q411" i="15"/>
  <c r="Q412" i="15"/>
  <c r="Q413" i="15"/>
  <c r="Q414" i="15"/>
  <c r="Q415" i="15"/>
  <c r="Q416" i="15"/>
  <c r="Q417" i="15"/>
  <c r="Q418" i="15"/>
  <c r="Q419" i="15"/>
  <c r="Q420" i="15"/>
  <c r="Q421" i="15"/>
  <c r="Q422" i="15"/>
  <c r="Q423" i="15"/>
  <c r="Q424" i="15"/>
  <c r="Q425" i="15"/>
  <c r="Q426" i="15"/>
  <c r="Q427" i="15"/>
  <c r="Q428" i="15"/>
  <c r="Q429" i="15"/>
  <c r="Q430" i="15"/>
  <c r="Q431" i="15"/>
  <c r="Q432" i="15"/>
  <c r="Q433" i="15"/>
  <c r="Q434" i="15"/>
  <c r="Q435" i="15"/>
  <c r="Q436" i="15"/>
  <c r="Q437" i="15"/>
  <c r="Q438" i="15"/>
  <c r="Q439" i="15"/>
  <c r="Q440" i="15"/>
  <c r="Q441" i="15"/>
  <c r="Q442" i="15"/>
  <c r="Q443" i="15"/>
  <c r="Q444" i="15"/>
  <c r="Q445" i="15"/>
  <c r="Q446" i="15"/>
  <c r="Q447" i="15"/>
  <c r="Q448" i="15"/>
  <c r="Q449" i="15"/>
  <c r="Q450" i="15"/>
  <c r="Q451" i="15"/>
  <c r="Q452" i="15"/>
  <c r="Q453" i="15"/>
  <c r="Q454" i="15"/>
  <c r="Q455" i="15"/>
  <c r="Q456" i="15"/>
  <c r="Q457" i="15"/>
  <c r="Q458" i="15"/>
  <c r="Q459" i="15"/>
  <c r="Q460" i="15"/>
  <c r="Q461" i="15"/>
  <c r="Q462" i="15"/>
  <c r="Q463" i="15"/>
  <c r="Q464" i="15"/>
  <c r="Q465" i="15"/>
  <c r="Q466" i="15"/>
  <c r="Q467" i="15"/>
  <c r="Q468" i="15"/>
  <c r="Q469" i="15"/>
  <c r="Q470" i="15"/>
  <c r="Q471" i="15"/>
  <c r="Q472" i="15"/>
  <c r="Q473" i="15"/>
  <c r="Q474" i="15"/>
  <c r="Q475" i="15"/>
  <c r="Q476" i="15"/>
  <c r="Q477" i="15"/>
  <c r="Q478" i="15"/>
  <c r="Q479" i="15"/>
  <c r="Q480" i="15"/>
  <c r="Q481" i="15"/>
  <c r="Q482" i="15"/>
  <c r="Q483" i="15"/>
  <c r="Q484" i="15"/>
  <c r="Q485" i="15"/>
  <c r="Q486" i="15"/>
  <c r="Q487" i="15"/>
  <c r="Q488" i="15"/>
  <c r="Q489" i="15"/>
  <c r="Q490" i="15"/>
  <c r="Q491" i="15"/>
  <c r="Q492" i="15"/>
  <c r="Q493" i="15"/>
  <c r="Q494" i="15"/>
  <c r="Q495" i="15"/>
  <c r="Q496" i="15"/>
  <c r="Q497" i="15"/>
  <c r="Q498" i="15"/>
  <c r="Q499" i="15"/>
  <c r="Q500" i="15"/>
  <c r="Q501" i="15"/>
  <c r="Q502" i="15"/>
  <c r="Q503" i="15"/>
  <c r="Q504" i="15"/>
  <c r="Q505" i="15"/>
  <c r="Q506" i="15"/>
  <c r="Q507" i="15"/>
  <c r="Q508" i="15"/>
  <c r="Q509" i="15"/>
  <c r="Q510" i="15"/>
  <c r="Q511" i="15"/>
  <c r="Q512" i="15"/>
  <c r="Q513" i="15"/>
  <c r="Q514" i="15"/>
  <c r="Q515" i="15"/>
  <c r="Q516" i="15"/>
  <c r="Q517" i="15"/>
  <c r="Q518" i="15"/>
  <c r="Q519" i="15"/>
  <c r="Q520" i="15"/>
  <c r="Q521" i="15"/>
  <c r="Q522" i="15"/>
  <c r="Q523" i="15"/>
  <c r="Q524" i="15"/>
  <c r="Q525" i="15"/>
  <c r="Q526" i="15"/>
  <c r="Q527" i="15"/>
  <c r="Q528" i="15"/>
  <c r="Q529" i="15"/>
  <c r="Q530" i="15"/>
  <c r="Q531" i="15"/>
  <c r="Q532" i="15"/>
  <c r="Q533" i="15"/>
  <c r="Q534" i="15"/>
  <c r="Q535" i="15"/>
  <c r="Q536" i="15"/>
  <c r="Q537" i="15"/>
  <c r="Q538" i="15"/>
  <c r="Q539" i="15"/>
  <c r="Q540" i="15"/>
  <c r="Q541" i="15"/>
  <c r="Q542" i="15"/>
  <c r="Q543" i="15"/>
  <c r="Q544" i="15"/>
  <c r="Q545" i="15"/>
  <c r="Q546" i="15"/>
  <c r="Q547" i="15"/>
  <c r="Q548" i="15"/>
  <c r="Q549" i="15"/>
  <c r="Q550" i="15"/>
  <c r="Q551" i="15"/>
  <c r="Q552" i="15"/>
  <c r="Q553" i="15"/>
  <c r="Q554" i="15"/>
  <c r="Q555" i="15"/>
  <c r="Q556" i="15"/>
  <c r="Q557" i="15"/>
  <c r="Q558" i="15"/>
  <c r="Q559" i="15"/>
  <c r="Q560" i="15"/>
  <c r="Q561" i="15"/>
  <c r="Q562" i="15"/>
  <c r="Q563" i="15"/>
  <c r="Q564" i="15"/>
  <c r="Q565" i="15"/>
  <c r="Q566" i="15"/>
  <c r="Q567" i="15"/>
  <c r="Q568" i="15"/>
  <c r="Q569" i="15"/>
  <c r="Q570" i="15"/>
  <c r="Q571" i="15"/>
  <c r="Q572" i="15"/>
  <c r="Q573" i="15"/>
  <c r="Q574" i="15"/>
  <c r="Q575" i="15"/>
  <c r="Q576" i="15"/>
  <c r="Q577" i="15"/>
  <c r="Q578" i="15"/>
  <c r="Q579" i="15"/>
  <c r="Q580" i="15"/>
  <c r="Q581" i="15"/>
  <c r="Q582" i="15"/>
  <c r="Q583" i="15"/>
  <c r="Q584" i="15"/>
  <c r="Q585" i="15"/>
  <c r="Q586" i="15"/>
  <c r="Q587" i="15"/>
  <c r="Q588" i="15"/>
  <c r="Q589" i="15"/>
  <c r="Q590" i="15"/>
  <c r="Q591" i="15"/>
  <c r="Q592" i="15"/>
  <c r="Q593" i="15"/>
  <c r="Q594" i="15"/>
  <c r="Q595" i="15"/>
  <c r="Q596" i="15"/>
  <c r="Q597" i="15"/>
  <c r="Q598" i="15"/>
  <c r="Q599" i="15"/>
  <c r="Q600" i="15"/>
  <c r="Q601" i="15"/>
  <c r="Q602" i="15"/>
  <c r="Q603" i="15"/>
  <c r="Q604" i="15"/>
  <c r="Q605" i="15"/>
  <c r="Q606" i="15"/>
  <c r="Q607" i="15"/>
  <c r="Q608" i="15"/>
  <c r="Q609" i="15"/>
  <c r="Q610" i="15"/>
  <c r="Q611" i="15"/>
  <c r="Q612" i="15"/>
  <c r="Q613" i="15"/>
  <c r="Q614" i="15"/>
  <c r="Q615" i="15"/>
  <c r="Q616" i="15"/>
  <c r="Q617" i="15"/>
  <c r="Q618" i="15"/>
  <c r="Q619" i="15"/>
  <c r="Q620" i="15"/>
  <c r="Q621" i="15"/>
  <c r="Q622" i="15"/>
  <c r="Q623" i="15"/>
  <c r="Q624" i="15"/>
  <c r="Q625" i="15"/>
  <c r="Q626" i="15"/>
  <c r="Q627" i="15"/>
  <c r="Q628" i="15"/>
  <c r="Q629" i="15"/>
  <c r="Q630" i="15"/>
  <c r="Q631" i="15"/>
  <c r="Q632" i="15"/>
  <c r="Q633" i="15"/>
  <c r="Q634" i="15"/>
  <c r="Q635" i="15"/>
  <c r="Q636" i="15"/>
  <c r="Q637" i="15"/>
  <c r="Q638" i="15"/>
  <c r="Q639" i="15"/>
  <c r="Q640" i="15"/>
  <c r="Q641" i="15"/>
  <c r="Q642" i="15"/>
  <c r="Q643" i="15"/>
  <c r="Q644" i="15"/>
  <c r="Q645" i="15"/>
  <c r="Q646" i="15"/>
  <c r="Q647" i="15"/>
  <c r="Q648" i="15"/>
  <c r="Q649" i="15"/>
  <c r="Q650" i="15"/>
  <c r="Q651" i="15"/>
  <c r="Q652" i="15"/>
  <c r="Q653" i="15"/>
  <c r="Q654" i="15"/>
  <c r="Q655" i="15"/>
  <c r="Q656" i="15"/>
  <c r="Q657" i="15"/>
  <c r="Q658" i="15"/>
  <c r="Q659" i="15"/>
  <c r="Q660" i="15"/>
  <c r="Q661" i="15"/>
  <c r="Q662" i="15"/>
  <c r="Q663" i="15"/>
  <c r="Q664" i="15"/>
  <c r="Q665" i="15"/>
  <c r="Q666" i="15"/>
  <c r="Q667" i="15"/>
  <c r="Q668" i="15"/>
  <c r="Q669" i="15"/>
  <c r="Q670" i="15"/>
  <c r="Q671" i="15"/>
  <c r="Q672" i="15"/>
  <c r="Q673" i="15"/>
  <c r="Q674" i="15"/>
  <c r="Q675" i="15"/>
  <c r="Q676" i="15"/>
  <c r="Q677" i="15"/>
  <c r="Q678" i="15"/>
  <c r="Q679" i="15"/>
  <c r="Q680" i="15"/>
  <c r="Q681" i="15"/>
  <c r="Q682" i="15"/>
  <c r="Q683" i="15"/>
  <c r="Q684" i="15"/>
  <c r="Q685" i="15"/>
  <c r="Q686" i="15"/>
  <c r="Q687" i="15"/>
  <c r="Q688" i="15"/>
  <c r="Q689" i="15"/>
  <c r="Q690" i="15"/>
  <c r="Q691" i="15"/>
  <c r="Q692" i="15"/>
  <c r="Q693" i="15"/>
  <c r="Q694" i="15"/>
  <c r="Q695" i="15"/>
  <c r="Q696" i="15"/>
  <c r="Q697" i="15"/>
  <c r="Q698" i="15"/>
  <c r="Q699" i="15"/>
  <c r="Q700" i="15"/>
  <c r="Q701" i="15"/>
  <c r="Q702" i="15"/>
  <c r="Q703" i="15"/>
  <c r="Q704" i="15"/>
  <c r="Q705" i="15"/>
  <c r="Q706" i="15"/>
  <c r="Q707" i="15"/>
  <c r="Q708" i="15"/>
  <c r="Q709" i="15"/>
  <c r="Q710" i="15"/>
  <c r="Q711" i="15"/>
  <c r="Q712" i="15"/>
  <c r="Q713" i="15"/>
  <c r="Z16" i="8"/>
  <c r="AK16" i="8" s="1"/>
  <c r="H16" i="8" s="1"/>
  <c r="H4" i="16" s="1"/>
  <c r="W1" i="8"/>
  <c r="AN61" i="8"/>
  <c r="AN64" i="8"/>
  <c r="AK64" i="8"/>
  <c r="AJ64" i="8"/>
  <c r="AI64" i="8"/>
  <c r="AH64" i="8"/>
  <c r="AN63" i="8"/>
  <c r="AK63" i="8"/>
  <c r="AJ63" i="8"/>
  <c r="AI63" i="8"/>
  <c r="AH63" i="8"/>
  <c r="AK62" i="8"/>
  <c r="AJ62" i="8"/>
  <c r="AI62" i="8"/>
  <c r="AH62" i="8"/>
  <c r="AK61" i="8"/>
  <c r="AJ61" i="8"/>
  <c r="AI61" i="8"/>
  <c r="AH61" i="8"/>
  <c r="AN60" i="8"/>
  <c r="AK60" i="8"/>
  <c r="AJ60" i="8"/>
  <c r="AI60" i="8"/>
  <c r="AH60" i="8"/>
  <c r="W17" i="8"/>
  <c r="AH17" i="8" s="1"/>
  <c r="E17" i="8" s="1"/>
  <c r="E5" i="16" s="1"/>
  <c r="AB18" i="8"/>
  <c r="AM18" i="8" s="1"/>
  <c r="K18" i="8" s="1"/>
  <c r="J6" i="16" s="1"/>
  <c r="Y18" i="8"/>
  <c r="AJ18" i="8" s="1"/>
  <c r="G18" i="8" s="1"/>
  <c r="G6" i="16" s="1"/>
  <c r="Y16" i="8"/>
  <c r="AJ16" i="8" s="1"/>
  <c r="G16" i="8" s="1"/>
  <c r="G4" i="16" s="1"/>
  <c r="AA18" i="8"/>
  <c r="AL18" i="8" s="1"/>
  <c r="J18" i="8" s="1"/>
  <c r="I6" i="16" s="1"/>
  <c r="AD16" i="8"/>
  <c r="AO16" i="8" s="1"/>
  <c r="M16" i="8" s="1"/>
  <c r="L4" i="16" s="1"/>
  <c r="AE18" i="8"/>
  <c r="AP18" i="8" s="1"/>
  <c r="N18" i="8" s="1"/>
  <c r="M6" i="16" s="1"/>
  <c r="AA15" i="8"/>
  <c r="AL15" i="8" s="1"/>
  <c r="J15" i="8" s="1"/>
  <c r="I3" i="16" s="1"/>
  <c r="X15" i="8"/>
  <c r="AI15" i="8" s="1"/>
  <c r="F15" i="8" s="1"/>
  <c r="F3" i="16" s="1"/>
  <c r="AD18" i="8"/>
  <c r="AO18" i="8" s="1"/>
  <c r="M18" i="8" s="1"/>
  <c r="L6" i="16" s="1"/>
  <c r="AE15" i="8"/>
  <c r="AP15" i="8" s="1"/>
  <c r="N15" i="8" s="1"/>
  <c r="M3" i="16" s="1"/>
  <c r="Z15" i="8"/>
  <c r="AK15" i="8" s="1"/>
  <c r="H15" i="8" s="1"/>
  <c r="H3" i="16" s="1"/>
  <c r="U19" i="8"/>
  <c r="AF19" i="8" s="1"/>
  <c r="C19" i="8" s="1"/>
  <c r="R15" i="5" s="1"/>
  <c r="C15" i="5" s="1"/>
  <c r="V18" i="8"/>
  <c r="AG18" i="8" s="1"/>
  <c r="D18" i="8" s="1"/>
  <c r="AA19" i="8"/>
  <c r="AL19" i="8" s="1"/>
  <c r="J19" i="8" s="1"/>
  <c r="I7" i="16" s="1"/>
  <c r="AB17" i="8"/>
  <c r="AM17" i="8" s="1"/>
  <c r="K17" i="8" s="1"/>
  <c r="J5" i="16" s="1"/>
  <c r="Y15" i="8"/>
  <c r="AJ15" i="8" s="1"/>
  <c r="G15" i="8" s="1"/>
  <c r="G3" i="16" s="1"/>
  <c r="Z17" i="8"/>
  <c r="AK17" i="8" s="1"/>
  <c r="H17" i="8" s="1"/>
  <c r="H5" i="16" s="1"/>
  <c r="V17" i="8"/>
  <c r="AG17" i="8" s="1"/>
  <c r="D17" i="8" s="1"/>
  <c r="D5" i="16" s="1"/>
  <c r="V15" i="8"/>
  <c r="AG15" i="8" s="1"/>
  <c r="D15" i="8" s="1"/>
  <c r="V19" i="8"/>
  <c r="AG19" i="8" s="1"/>
  <c r="D19" i="8" s="1"/>
  <c r="T15" i="5" s="1"/>
  <c r="D15" i="5" s="1"/>
  <c r="W19" i="8"/>
  <c r="AH19" i="8" s="1"/>
  <c r="E19" i="8" s="1"/>
  <c r="E7" i="16" s="1"/>
  <c r="AD22" i="8"/>
  <c r="AO22" i="8" s="1"/>
  <c r="M22" i="8" s="1"/>
  <c r="L10" i="16" s="1"/>
  <c r="Y19" i="8"/>
  <c r="AJ19" i="8" s="1"/>
  <c r="G19" i="8" s="1"/>
  <c r="G7" i="16" s="1"/>
  <c r="AB19" i="8"/>
  <c r="AM19" i="8" s="1"/>
  <c r="K19" i="8" s="1"/>
  <c r="J7" i="16" s="1"/>
  <c r="Z19" i="8"/>
  <c r="AK19" i="8" s="1"/>
  <c r="H19" i="8" s="1"/>
  <c r="H7" i="16" s="1"/>
  <c r="AC16" i="8"/>
  <c r="AN16" i="8" s="1"/>
  <c r="L16" i="8" s="1"/>
  <c r="K4" i="16" s="1"/>
  <c r="W18" i="8"/>
  <c r="AH18" i="8" s="1"/>
  <c r="E18" i="8" s="1"/>
  <c r="V14" i="5" s="1"/>
  <c r="E14" i="5" s="1"/>
  <c r="W16" i="8"/>
  <c r="AH16" i="8" s="1"/>
  <c r="E16" i="8" s="1"/>
  <c r="AD17" i="8"/>
  <c r="AO17" i="8" s="1"/>
  <c r="M17" i="8" s="1"/>
  <c r="L5" i="16" s="1"/>
  <c r="W15" i="8"/>
  <c r="AH15" i="8" s="1"/>
  <c r="E15" i="8" s="1"/>
  <c r="V11" i="5" s="1"/>
  <c r="E11" i="5" s="1"/>
  <c r="U17" i="8"/>
  <c r="AF17" i="8" s="1"/>
  <c r="C17" i="8" s="1"/>
  <c r="X18" i="8"/>
  <c r="AI18" i="8" s="1"/>
  <c r="F18" i="8" s="1"/>
  <c r="F6" i="16" s="1"/>
  <c r="AD15" i="8"/>
  <c r="AO15" i="8" s="1"/>
  <c r="M15" i="8" s="1"/>
  <c r="L3" i="16" s="1"/>
  <c r="Y17" i="8"/>
  <c r="AJ17" i="8" s="1"/>
  <c r="G17" i="8" s="1"/>
  <c r="G5" i="16" s="1"/>
  <c r="AD19" i="8"/>
  <c r="AO19" i="8" s="1"/>
  <c r="M19" i="8" s="1"/>
  <c r="L7" i="16" s="1"/>
  <c r="X16" i="8"/>
  <c r="AI16" i="8" s="1"/>
  <c r="F16" i="8" s="1"/>
  <c r="F4" i="16" s="1"/>
  <c r="AB16" i="8"/>
  <c r="AM16" i="8" s="1"/>
  <c r="K16" i="8" s="1"/>
  <c r="J4" i="16" s="1"/>
  <c r="V16" i="8"/>
  <c r="AG16" i="8" s="1"/>
  <c r="D16" i="8" s="1"/>
  <c r="AC15" i="8"/>
  <c r="AN15" i="8" s="1"/>
  <c r="L15" i="8" s="1"/>
  <c r="K3" i="16" s="1"/>
  <c r="U18" i="8"/>
  <c r="AF18" i="8" s="1"/>
  <c r="C18" i="8" s="1"/>
  <c r="AE19" i="8"/>
  <c r="AP19" i="8" s="1"/>
  <c r="N19" i="8" s="1"/>
  <c r="M7" i="16" s="1"/>
  <c r="AA16" i="8"/>
  <c r="AL16" i="8" s="1"/>
  <c r="J16" i="8" s="1"/>
  <c r="I4" i="16" s="1"/>
  <c r="AE16" i="8"/>
  <c r="AP16" i="8" s="1"/>
  <c r="N16" i="8" s="1"/>
  <c r="M4" i="16" s="1"/>
  <c r="X19" i="8"/>
  <c r="AI19" i="8" s="1"/>
  <c r="F19" i="8" s="1"/>
  <c r="F7" i="16" s="1"/>
  <c r="AC17" i="8"/>
  <c r="AN17" i="8" s="1"/>
  <c r="L17" i="8" s="1"/>
  <c r="K5" i="16" s="1"/>
  <c r="Z18" i="8"/>
  <c r="AK18" i="8" s="1"/>
  <c r="H18" i="8" s="1"/>
  <c r="H6" i="16" s="1"/>
  <c r="U16" i="8"/>
  <c r="AF16" i="8" s="1"/>
  <c r="C16" i="8" s="1"/>
  <c r="R12" i="5" s="1"/>
  <c r="C12" i="5" s="1"/>
  <c r="AB15" i="8"/>
  <c r="AM15" i="8" s="1"/>
  <c r="K15" i="8" s="1"/>
  <c r="J3" i="16" s="1"/>
  <c r="AC18" i="8"/>
  <c r="AN18" i="8" s="1"/>
  <c r="L18" i="8" s="1"/>
  <c r="K6" i="16" s="1"/>
  <c r="AE17" i="8"/>
  <c r="AP17" i="8" s="1"/>
  <c r="N17" i="8" s="1"/>
  <c r="M5" i="16" s="1"/>
  <c r="AA17" i="8"/>
  <c r="AL17" i="8" s="1"/>
  <c r="J17" i="8" s="1"/>
  <c r="I5" i="16" s="1"/>
  <c r="AC19" i="8"/>
  <c r="AN19" i="8" s="1"/>
  <c r="L19" i="8" s="1"/>
  <c r="K7" i="16" s="1"/>
  <c r="X17" i="8"/>
  <c r="AI17" i="8" s="1"/>
  <c r="F17" i="8" s="1"/>
  <c r="F5" i="16" s="1"/>
  <c r="Z21" i="8"/>
  <c r="AK21" i="8" s="1"/>
  <c r="H21" i="8" s="1"/>
  <c r="H9" i="16" s="1"/>
  <c r="V22" i="8"/>
  <c r="AG22" i="8" s="1"/>
  <c r="D22" i="8" s="1"/>
  <c r="T18" i="5" s="1"/>
  <c r="D18" i="5" s="1"/>
  <c r="AC20" i="8"/>
  <c r="AN20" i="8" s="1"/>
  <c r="L20" i="8" s="1"/>
  <c r="K8" i="16" s="1"/>
  <c r="U23" i="8"/>
  <c r="AF23" i="8" s="1"/>
  <c r="C23" i="8" s="1"/>
  <c r="V23" i="8"/>
  <c r="AG23" i="8" s="1"/>
  <c r="D23" i="8" s="1"/>
  <c r="AE23" i="8"/>
  <c r="AP23" i="8" s="1"/>
  <c r="N23" i="8" s="1"/>
  <c r="M11" i="16" s="1"/>
  <c r="U20" i="8"/>
  <c r="AF20" i="8" s="1"/>
  <c r="C20" i="8" s="1"/>
  <c r="AC22" i="8"/>
  <c r="AN22" i="8" s="1"/>
  <c r="L22" i="8" s="1"/>
  <c r="K10" i="16" s="1"/>
  <c r="U38" i="8"/>
  <c r="AF38" i="8" s="1"/>
  <c r="C38" i="8" s="1"/>
  <c r="R34" i="5" s="1"/>
  <c r="C34" i="5" s="1"/>
  <c r="AB21" i="8"/>
  <c r="AM21" i="8" s="1"/>
  <c r="K21" i="8" s="1"/>
  <c r="J9" i="16" s="1"/>
  <c r="V21" i="8"/>
  <c r="AG21" i="8" s="1"/>
  <c r="D21" i="8" s="1"/>
  <c r="AC21" i="8"/>
  <c r="AN21" i="8" s="1"/>
  <c r="L21" i="8" s="1"/>
  <c r="K9" i="16" s="1"/>
  <c r="Y24" i="8"/>
  <c r="AJ24" i="8" s="1"/>
  <c r="G24" i="8" s="1"/>
  <c r="G12" i="16" s="1"/>
  <c r="Y48" i="8"/>
  <c r="AJ48" i="8" s="1"/>
  <c r="G48" i="8" s="1"/>
  <c r="G36" i="16" s="1"/>
  <c r="U26" i="8"/>
  <c r="AF26" i="8" s="1"/>
  <c r="C26" i="8" s="1"/>
  <c r="C14" i="16" s="1"/>
  <c r="Z30" i="8"/>
  <c r="AK30" i="8" s="1"/>
  <c r="H30" i="8" s="1"/>
  <c r="H18" i="16" s="1"/>
  <c r="AE24" i="8"/>
  <c r="AP24" i="8" s="1"/>
  <c r="N24" i="8" s="1"/>
  <c r="M12" i="16" s="1"/>
  <c r="AE21" i="8"/>
  <c r="AP21" i="8" s="1"/>
  <c r="N21" i="8" s="1"/>
  <c r="M9" i="16" s="1"/>
  <c r="Y20" i="8"/>
  <c r="AJ20" i="8" s="1"/>
  <c r="G20" i="8" s="1"/>
  <c r="G8" i="16" s="1"/>
  <c r="AB22" i="8"/>
  <c r="AM22" i="8" s="1"/>
  <c r="K22" i="8" s="1"/>
  <c r="J10" i="16" s="1"/>
  <c r="AA20" i="8"/>
  <c r="AL20" i="8" s="1"/>
  <c r="J20" i="8" s="1"/>
  <c r="I8" i="16" s="1"/>
  <c r="AC23" i="8"/>
  <c r="AN23" i="8" s="1"/>
  <c r="L23" i="8" s="1"/>
  <c r="K11" i="16" s="1"/>
  <c r="Y21" i="8"/>
  <c r="AJ21" i="8" s="1"/>
  <c r="G21" i="8" s="1"/>
  <c r="G9" i="16" s="1"/>
  <c r="AE26" i="8"/>
  <c r="AP26" i="8" s="1"/>
  <c r="N26" i="8" s="1"/>
  <c r="M14" i="16" s="1"/>
  <c r="W20" i="8"/>
  <c r="AH20" i="8" s="1"/>
  <c r="E20" i="8" s="1"/>
  <c r="V16" i="5" s="1"/>
  <c r="E16" i="5" s="1"/>
  <c r="AD20" i="8"/>
  <c r="AO20" i="8" s="1"/>
  <c r="M20" i="8" s="1"/>
  <c r="L8" i="16" s="1"/>
  <c r="W24" i="8"/>
  <c r="AH24" i="8" s="1"/>
  <c r="E24" i="8" s="1"/>
  <c r="E12" i="16" s="1"/>
  <c r="AA21" i="8"/>
  <c r="AL21" i="8" s="1"/>
  <c r="J21" i="8" s="1"/>
  <c r="I9" i="16" s="1"/>
  <c r="Y23" i="8"/>
  <c r="AJ23" i="8" s="1"/>
  <c r="G23" i="8" s="1"/>
  <c r="G11" i="16" s="1"/>
  <c r="AB25" i="8"/>
  <c r="AM25" i="8" s="1"/>
  <c r="K25" i="8" s="1"/>
  <c r="J13" i="16" s="1"/>
  <c r="AE55" i="8"/>
  <c r="AP55" i="8" s="1"/>
  <c r="N55" i="8" s="1"/>
  <c r="M43" i="16" s="1"/>
  <c r="AD40" i="8"/>
  <c r="AO40" i="8" s="1"/>
  <c r="M40" i="8" s="1"/>
  <c r="L28" i="16" s="1"/>
  <c r="V54" i="8"/>
  <c r="AG54" i="8" s="1"/>
  <c r="D54" i="8" s="1"/>
  <c r="T50" i="5" s="1"/>
  <c r="D50" i="5" s="1"/>
  <c r="Y55" i="8"/>
  <c r="AJ55" i="8" s="1"/>
  <c r="G55" i="8" s="1"/>
  <c r="G43" i="16" s="1"/>
  <c r="V25" i="8"/>
  <c r="AG25" i="8" s="1"/>
  <c r="D25" i="8" s="1"/>
  <c r="AE35" i="8"/>
  <c r="AP35" i="8" s="1"/>
  <c r="N35" i="8" s="1"/>
  <c r="M23" i="16" s="1"/>
  <c r="X49" i="8"/>
  <c r="AI49" i="8" s="1"/>
  <c r="F49" i="8" s="1"/>
  <c r="F37" i="16" s="1"/>
  <c r="AB28" i="8"/>
  <c r="AM28" i="8" s="1"/>
  <c r="K28" i="8" s="1"/>
  <c r="J16" i="16" s="1"/>
  <c r="AB35" i="8"/>
  <c r="AM35" i="8" s="1"/>
  <c r="K35" i="8" s="1"/>
  <c r="J23" i="16" s="1"/>
  <c r="AD33" i="8"/>
  <c r="AO33" i="8" s="1"/>
  <c r="M33" i="8" s="1"/>
  <c r="L21" i="16" s="1"/>
  <c r="Z29" i="8"/>
  <c r="AK29" i="8" s="1"/>
  <c r="H29" i="8" s="1"/>
  <c r="H17" i="16" s="1"/>
  <c r="W40" i="8"/>
  <c r="AH40" i="8" s="1"/>
  <c r="E40" i="8" s="1"/>
  <c r="AE40" i="8"/>
  <c r="AP40" i="8" s="1"/>
  <c r="N40" i="8" s="1"/>
  <c r="M28" i="16" s="1"/>
  <c r="V41" i="8"/>
  <c r="AG41" i="8" s="1"/>
  <c r="D41" i="8" s="1"/>
  <c r="T37" i="5" s="1"/>
  <c r="D37" i="5" s="1"/>
  <c r="V35" i="8"/>
  <c r="AG35" i="8" s="1"/>
  <c r="D35" i="8" s="1"/>
  <c r="AD41" i="8"/>
  <c r="AO41" i="8" s="1"/>
  <c r="M41" i="8" s="1"/>
  <c r="L29" i="16" s="1"/>
  <c r="V26" i="8"/>
  <c r="AG26" i="8" s="1"/>
  <c r="D26" i="8" s="1"/>
  <c r="X45" i="8"/>
  <c r="AI45" i="8" s="1"/>
  <c r="F45" i="8" s="1"/>
  <c r="F33" i="16" s="1"/>
  <c r="AB48" i="8"/>
  <c r="AM48" i="8" s="1"/>
  <c r="K48" i="8" s="1"/>
  <c r="J36" i="16" s="1"/>
  <c r="X48" i="8"/>
  <c r="AI48" i="8" s="1"/>
  <c r="F48" i="8" s="1"/>
  <c r="F36" i="16" s="1"/>
  <c r="AE50" i="8"/>
  <c r="AP50" i="8" s="1"/>
  <c r="N50" i="8" s="1"/>
  <c r="M38" i="16" s="1"/>
  <c r="X40" i="8"/>
  <c r="AI40" i="8" s="1"/>
  <c r="F40" i="8" s="1"/>
  <c r="F28" i="16" s="1"/>
  <c r="AC58" i="8"/>
  <c r="AN58" i="8" s="1"/>
  <c r="L58" i="8" s="1"/>
  <c r="K46" i="16" s="1"/>
  <c r="AD54" i="8"/>
  <c r="AO54" i="8" s="1"/>
  <c r="M54" i="8" s="1"/>
  <c r="L42" i="16" s="1"/>
  <c r="AA38" i="8"/>
  <c r="AL38" i="8" s="1"/>
  <c r="J38" i="8" s="1"/>
  <c r="I26" i="16" s="1"/>
  <c r="AC30" i="8"/>
  <c r="AN30" i="8" s="1"/>
  <c r="L30" i="8" s="1"/>
  <c r="K18" i="16" s="1"/>
  <c r="U58" i="8"/>
  <c r="AF58" i="8" s="1"/>
  <c r="C58" i="8" s="1"/>
  <c r="R54" i="5" s="1"/>
  <c r="C54" i="5" s="1"/>
  <c r="Z48" i="8"/>
  <c r="AK48" i="8" s="1"/>
  <c r="H48" i="8" s="1"/>
  <c r="H36" i="16" s="1"/>
  <c r="AD58" i="8"/>
  <c r="AO58" i="8" s="1"/>
  <c r="M58" i="8" s="1"/>
  <c r="L46" i="16" s="1"/>
  <c r="W34" i="8"/>
  <c r="AH34" i="8" s="1"/>
  <c r="E34" i="8" s="1"/>
  <c r="U56" i="8"/>
  <c r="AF56" i="8" s="1"/>
  <c r="C56" i="8" s="1"/>
  <c r="C44" i="16" s="1"/>
  <c r="AB53" i="8"/>
  <c r="AM53" i="8" s="1"/>
  <c r="K53" i="8" s="1"/>
  <c r="J41" i="16" s="1"/>
  <c r="AD29" i="8"/>
  <c r="AO29" i="8" s="1"/>
  <c r="M29" i="8" s="1"/>
  <c r="L17" i="16" s="1"/>
  <c r="AA51" i="8"/>
  <c r="AL51" i="8" s="1"/>
  <c r="J51" i="8" s="1"/>
  <c r="I39" i="16" s="1"/>
  <c r="AA30" i="8"/>
  <c r="AL30" i="8" s="1"/>
  <c r="J30" i="8" s="1"/>
  <c r="I18" i="16" s="1"/>
  <c r="X43" i="8"/>
  <c r="AI43" i="8" s="1"/>
  <c r="F43" i="8" s="1"/>
  <c r="F31" i="16" s="1"/>
  <c r="Y32" i="8"/>
  <c r="AJ32" i="8" s="1"/>
  <c r="G32" i="8" s="1"/>
  <c r="G20" i="16" s="1"/>
  <c r="V45" i="8"/>
  <c r="AG45" i="8" s="1"/>
  <c r="D45" i="8" s="1"/>
  <c r="T41" i="5" s="1"/>
  <c r="D41" i="5" s="1"/>
  <c r="AE44" i="8"/>
  <c r="AP44" i="8" s="1"/>
  <c r="N44" i="8" s="1"/>
  <c r="M32" i="16" s="1"/>
  <c r="U27" i="8"/>
  <c r="AF27" i="8" s="1"/>
  <c r="C27" i="8" s="1"/>
  <c r="C15" i="16" s="1"/>
  <c r="U43" i="8"/>
  <c r="AF43" i="8" s="1"/>
  <c r="C43" i="8" s="1"/>
  <c r="AC46" i="8"/>
  <c r="AN46" i="8" s="1"/>
  <c r="L46" i="8" s="1"/>
  <c r="K34" i="16" s="1"/>
  <c r="Y51" i="8"/>
  <c r="AJ51" i="8" s="1"/>
  <c r="G51" i="8" s="1"/>
  <c r="G39" i="16" s="1"/>
  <c r="AA27" i="8"/>
  <c r="AL27" i="8" s="1"/>
  <c r="J27" i="8" s="1"/>
  <c r="I15" i="16" s="1"/>
  <c r="U33" i="8"/>
  <c r="AF33" i="8" s="1"/>
  <c r="C33" i="8" s="1"/>
  <c r="V52" i="8"/>
  <c r="AG52" i="8" s="1"/>
  <c r="D52" i="8" s="1"/>
  <c r="W45" i="8"/>
  <c r="AH45" i="8" s="1"/>
  <c r="E45" i="8" s="1"/>
  <c r="W39" i="8"/>
  <c r="AH39" i="8" s="1"/>
  <c r="E39" i="8" s="1"/>
  <c r="X51" i="8"/>
  <c r="AI51" i="8" s="1"/>
  <c r="F51" i="8" s="1"/>
  <c r="F39" i="16" s="1"/>
  <c r="U44" i="8"/>
  <c r="AF44" i="8" s="1"/>
  <c r="C44" i="8" s="1"/>
  <c r="R40" i="5" s="1"/>
  <c r="C40" i="5" s="1"/>
  <c r="AC36" i="8"/>
  <c r="AN36" i="8" s="1"/>
  <c r="L36" i="8" s="1"/>
  <c r="K24" i="16" s="1"/>
  <c r="AE32" i="8"/>
  <c r="AP32" i="8" s="1"/>
  <c r="N32" i="8" s="1"/>
  <c r="M20" i="16" s="1"/>
  <c r="V33" i="8"/>
  <c r="AG33" i="8" s="1"/>
  <c r="D33" i="8" s="1"/>
  <c r="AA37" i="8"/>
  <c r="AL37" i="8" s="1"/>
  <c r="J37" i="8" s="1"/>
  <c r="I25" i="16" s="1"/>
  <c r="AC40" i="8"/>
  <c r="AN40" i="8" s="1"/>
  <c r="L40" i="8" s="1"/>
  <c r="K28" i="16" s="1"/>
  <c r="W52" i="8"/>
  <c r="AH52" i="8" s="1"/>
  <c r="E52" i="8" s="1"/>
  <c r="Z56" i="8"/>
  <c r="AK56" i="8" s="1"/>
  <c r="H56" i="8" s="1"/>
  <c r="H44" i="16" s="1"/>
  <c r="AE28" i="8"/>
  <c r="AP28" i="8" s="1"/>
  <c r="N28" i="8" s="1"/>
  <c r="M16" i="16" s="1"/>
  <c r="AE57" i="8"/>
  <c r="AP57" i="8" s="1"/>
  <c r="N57" i="8" s="1"/>
  <c r="M45" i="16" s="1"/>
  <c r="W26" i="8"/>
  <c r="AH26" i="8" s="1"/>
  <c r="E26" i="8" s="1"/>
  <c r="V22" i="5" s="1"/>
  <c r="E22" i="5" s="1"/>
  <c r="V28" i="8"/>
  <c r="AG28" i="8" s="1"/>
  <c r="D28" i="8" s="1"/>
  <c r="AE48" i="8"/>
  <c r="AP48" i="8" s="1"/>
  <c r="N48" i="8" s="1"/>
  <c r="M36" i="16" s="1"/>
  <c r="AE56" i="8"/>
  <c r="AP56" i="8" s="1"/>
  <c r="N56" i="8" s="1"/>
  <c r="M44" i="16" s="1"/>
  <c r="AA40" i="8"/>
  <c r="AL40" i="8" s="1"/>
  <c r="J40" i="8" s="1"/>
  <c r="I28" i="16" s="1"/>
  <c r="V51" i="8"/>
  <c r="AG51" i="8" s="1"/>
  <c r="D51" i="8" s="1"/>
  <c r="V49" i="8"/>
  <c r="AG49" i="8" s="1"/>
  <c r="D49" i="8" s="1"/>
  <c r="T45" i="5" s="1"/>
  <c r="D45" i="5" s="1"/>
  <c r="AD49" i="8"/>
  <c r="AO49" i="8" s="1"/>
  <c r="M49" i="8" s="1"/>
  <c r="L37" i="16" s="1"/>
  <c r="U28" i="8"/>
  <c r="AF28" i="8" s="1"/>
  <c r="C28" i="8" s="1"/>
  <c r="W30" i="8"/>
  <c r="AH30" i="8" s="1"/>
  <c r="E30" i="8" s="1"/>
  <c r="U34" i="8"/>
  <c r="AF34" i="8" s="1"/>
  <c r="C34" i="8" s="1"/>
  <c r="Y35" i="8"/>
  <c r="AJ35" i="8" s="1"/>
  <c r="G35" i="8" s="1"/>
  <c r="G23" i="16" s="1"/>
  <c r="U31" i="8"/>
  <c r="AF31" i="8" s="1"/>
  <c r="C31" i="8" s="1"/>
  <c r="V40" i="8"/>
  <c r="AG40" i="8" s="1"/>
  <c r="D40" i="8" s="1"/>
  <c r="D28" i="16" s="1"/>
  <c r="AA53" i="8"/>
  <c r="AL53" i="8" s="1"/>
  <c r="J53" i="8" s="1"/>
  <c r="I41" i="16" s="1"/>
  <c r="X38" i="8"/>
  <c r="AI38" i="8" s="1"/>
  <c r="F38" i="8" s="1"/>
  <c r="F26" i="16" s="1"/>
  <c r="AE34" i="8"/>
  <c r="AP34" i="8" s="1"/>
  <c r="N34" i="8" s="1"/>
  <c r="M22" i="16" s="1"/>
  <c r="W55" i="8"/>
  <c r="AH55" i="8" s="1"/>
  <c r="E55" i="8" s="1"/>
  <c r="AD35" i="8"/>
  <c r="AO35" i="8" s="1"/>
  <c r="M35" i="8" s="1"/>
  <c r="L23" i="16" s="1"/>
  <c r="AB44" i="8"/>
  <c r="AM44" i="8" s="1"/>
  <c r="K44" i="8" s="1"/>
  <c r="J32" i="16" s="1"/>
  <c r="AC53" i="8"/>
  <c r="AN53" i="8" s="1"/>
  <c r="L53" i="8" s="1"/>
  <c r="K41" i="16" s="1"/>
  <c r="U30" i="8"/>
  <c r="AF30" i="8" s="1"/>
  <c r="C30" i="8" s="1"/>
  <c r="AA52" i="8"/>
  <c r="AL52" i="8" s="1"/>
  <c r="J52" i="8" s="1"/>
  <c r="I40" i="16" s="1"/>
  <c r="X35" i="8"/>
  <c r="AI35" i="8" s="1"/>
  <c r="F35" i="8" s="1"/>
  <c r="F23" i="16" s="1"/>
  <c r="V48" i="8"/>
  <c r="AG48" i="8" s="1"/>
  <c r="D48" i="8" s="1"/>
  <c r="AB32" i="8"/>
  <c r="AM32" i="8" s="1"/>
  <c r="K32" i="8" s="1"/>
  <c r="J20" i="16" s="1"/>
  <c r="Z27" i="8"/>
  <c r="AK27" i="8" s="1"/>
  <c r="H27" i="8" s="1"/>
  <c r="H15" i="16" s="1"/>
  <c r="V37" i="8"/>
  <c r="AG37" i="8" s="1"/>
  <c r="D37" i="8" s="1"/>
  <c r="D25" i="16" s="1"/>
  <c r="AC47" i="8"/>
  <c r="AN47" i="8" s="1"/>
  <c r="L47" i="8" s="1"/>
  <c r="K35" i="16" s="1"/>
  <c r="U37" i="8"/>
  <c r="AF37" i="8" s="1"/>
  <c r="C37" i="8" s="1"/>
  <c r="U29" i="8"/>
  <c r="AF29" i="8" s="1"/>
  <c r="C29" i="8" s="1"/>
  <c r="Y29" i="8"/>
  <c r="AJ29" i="8" s="1"/>
  <c r="G29" i="8" s="1"/>
  <c r="G17" i="16" s="1"/>
  <c r="AA58" i="8"/>
  <c r="AL58" i="8" s="1"/>
  <c r="J58" i="8" s="1"/>
  <c r="I46" i="16" s="1"/>
  <c r="W37" i="8"/>
  <c r="AH37" i="8" s="1"/>
  <c r="E37" i="8" s="1"/>
  <c r="V44" i="8"/>
  <c r="AG44" i="8" s="1"/>
  <c r="D44" i="8" s="1"/>
  <c r="D32" i="16" s="1"/>
  <c r="U46" i="8"/>
  <c r="AF46" i="8" s="1"/>
  <c r="C46" i="8" s="1"/>
  <c r="AE51" i="8"/>
  <c r="AP51" i="8" s="1"/>
  <c r="N51" i="8" s="1"/>
  <c r="M39" i="16" s="1"/>
  <c r="AE31" i="8"/>
  <c r="AP31" i="8" s="1"/>
  <c r="N31" i="8" s="1"/>
  <c r="M19" i="16" s="1"/>
  <c r="V50" i="8"/>
  <c r="AG50" i="8" s="1"/>
  <c r="D50" i="8" s="1"/>
  <c r="D38" i="16" s="1"/>
  <c r="U54" i="8"/>
  <c r="AF54" i="8" s="1"/>
  <c r="C54" i="8" s="1"/>
  <c r="R50" i="5" s="1"/>
  <c r="C50" i="5" s="1"/>
  <c r="W33" i="8"/>
  <c r="AH33" i="8" s="1"/>
  <c r="E33" i="8" s="1"/>
  <c r="Y38" i="8"/>
  <c r="AJ38" i="8" s="1"/>
  <c r="G38" i="8" s="1"/>
  <c r="G26" i="16" s="1"/>
  <c r="U39" i="8"/>
  <c r="AF39" i="8" s="1"/>
  <c r="C39" i="8" s="1"/>
  <c r="Z35" i="8"/>
  <c r="AK35" i="8" s="1"/>
  <c r="H35" i="8" s="1"/>
  <c r="H23" i="16" s="1"/>
  <c r="X41" i="8"/>
  <c r="AI41" i="8" s="1"/>
  <c r="F41" i="8" s="1"/>
  <c r="F29" i="16" s="1"/>
  <c r="Z34" i="8"/>
  <c r="AK34" i="8" s="1"/>
  <c r="H34" i="8" s="1"/>
  <c r="H22" i="16" s="1"/>
  <c r="AD53" i="8"/>
  <c r="AO53" i="8" s="1"/>
  <c r="M53" i="8" s="1"/>
  <c r="L41" i="16" s="1"/>
  <c r="AA41" i="8"/>
  <c r="AL41" i="8" s="1"/>
  <c r="J41" i="8" s="1"/>
  <c r="I29" i="16" s="1"/>
  <c r="U49" i="8"/>
  <c r="AF49" i="8" s="1"/>
  <c r="C49" i="8" s="1"/>
  <c r="X28" i="8"/>
  <c r="AI28" i="8" s="1"/>
  <c r="F28" i="8" s="1"/>
  <c r="F16" i="16" s="1"/>
  <c r="AC54" i="8"/>
  <c r="AN54" i="8" s="1"/>
  <c r="L54" i="8" s="1"/>
  <c r="K42" i="16" s="1"/>
  <c r="AB33" i="8"/>
  <c r="AM33" i="8" s="1"/>
  <c r="K33" i="8" s="1"/>
  <c r="J21" i="16" s="1"/>
  <c r="W38" i="8"/>
  <c r="AH38" i="8" s="1"/>
  <c r="E38" i="8" s="1"/>
  <c r="E26" i="16" s="1"/>
  <c r="AD26" i="8"/>
  <c r="AO26" i="8" s="1"/>
  <c r="M26" i="8" s="1"/>
  <c r="L14" i="16" s="1"/>
  <c r="AE41" i="8"/>
  <c r="AP41" i="8" s="1"/>
  <c r="N41" i="8" s="1"/>
  <c r="M29" i="16" s="1"/>
  <c r="AE20" i="8"/>
  <c r="AP20" i="8" s="1"/>
  <c r="N20" i="8" s="1"/>
  <c r="M8" i="16" s="1"/>
  <c r="W21" i="8"/>
  <c r="AH21" i="8" s="1"/>
  <c r="E21" i="8" s="1"/>
  <c r="AC24" i="8"/>
  <c r="AN24" i="8" s="1"/>
  <c r="L24" i="8" s="1"/>
  <c r="K12" i="16" s="1"/>
  <c r="AA23" i="8"/>
  <c r="AL23" i="8" s="1"/>
  <c r="J23" i="8" s="1"/>
  <c r="I11" i="16" s="1"/>
  <c r="AE25" i="8"/>
  <c r="AP25" i="8" s="1"/>
  <c r="N25" i="8" s="1"/>
  <c r="M13" i="16" s="1"/>
  <c r="AD24" i="8"/>
  <c r="AO24" i="8" s="1"/>
  <c r="M24" i="8" s="1"/>
  <c r="L12" i="16" s="1"/>
  <c r="X22" i="8"/>
  <c r="AI22" i="8" s="1"/>
  <c r="F22" i="8" s="1"/>
  <c r="F10" i="16" s="1"/>
  <c r="AB24" i="8"/>
  <c r="AM24" i="8" s="1"/>
  <c r="K24" i="8" s="1"/>
  <c r="J12" i="16" s="1"/>
  <c r="W25" i="8"/>
  <c r="AH25" i="8" s="1"/>
  <c r="E25" i="8" s="1"/>
  <c r="V21" i="5" s="1"/>
  <c r="E21" i="5" s="1"/>
  <c r="U24" i="8"/>
  <c r="AF24" i="8" s="1"/>
  <c r="C24" i="8" s="1"/>
  <c r="Y22" i="8"/>
  <c r="AJ22" i="8" s="1"/>
  <c r="G22" i="8" s="1"/>
  <c r="G10" i="16" s="1"/>
  <c r="AD21" i="8"/>
  <c r="AO21" i="8" s="1"/>
  <c r="M21" i="8" s="1"/>
  <c r="L9" i="16" s="1"/>
  <c r="X24" i="8"/>
  <c r="AI24" i="8" s="1"/>
  <c r="F24" i="8" s="1"/>
  <c r="F12" i="16" s="1"/>
  <c r="U25" i="8"/>
  <c r="AF25" i="8" s="1"/>
  <c r="C25" i="8" s="1"/>
  <c r="R21" i="5" s="1"/>
  <c r="C21" i="5" s="1"/>
  <c r="X23" i="8"/>
  <c r="AI23" i="8" s="1"/>
  <c r="F23" i="8" s="1"/>
  <c r="F11" i="16" s="1"/>
  <c r="Z23" i="8"/>
  <c r="AK23" i="8" s="1"/>
  <c r="H23" i="8" s="1"/>
  <c r="H11" i="16" s="1"/>
  <c r="Y57" i="8"/>
  <c r="AJ57" i="8" s="1"/>
  <c r="G57" i="8" s="1"/>
  <c r="G45" i="16" s="1"/>
  <c r="AD28" i="8"/>
  <c r="AO28" i="8" s="1"/>
  <c r="M28" i="8" s="1"/>
  <c r="L16" i="16" s="1"/>
  <c r="V58" i="8"/>
  <c r="AG58" i="8" s="1"/>
  <c r="D58" i="8" s="1"/>
  <c r="T54" i="5" s="1"/>
  <c r="D54" i="5" s="1"/>
  <c r="V34" i="8"/>
  <c r="AG34" i="8" s="1"/>
  <c r="D34" i="8" s="1"/>
  <c r="AD37" i="8"/>
  <c r="AO37" i="8" s="1"/>
  <c r="M37" i="8" s="1"/>
  <c r="L25" i="16" s="1"/>
  <c r="W50" i="8"/>
  <c r="AH50" i="8" s="1"/>
  <c r="E50" i="8" s="1"/>
  <c r="X29" i="8"/>
  <c r="AI29" i="8" s="1"/>
  <c r="F29" i="8" s="1"/>
  <c r="F17" i="16" s="1"/>
  <c r="Y42" i="8"/>
  <c r="AJ42" i="8" s="1"/>
  <c r="G42" i="8" s="1"/>
  <c r="G30" i="16" s="1"/>
  <c r="AA44" i="8"/>
  <c r="AL44" i="8" s="1"/>
  <c r="J44" i="8" s="1"/>
  <c r="I32" i="16" s="1"/>
  <c r="X52" i="8"/>
  <c r="AI52" i="8" s="1"/>
  <c r="F52" i="8" s="1"/>
  <c r="F40" i="16" s="1"/>
  <c r="AA36" i="8"/>
  <c r="AL36" i="8" s="1"/>
  <c r="J36" i="8" s="1"/>
  <c r="I24" i="16" s="1"/>
  <c r="AB34" i="8"/>
  <c r="AM34" i="8" s="1"/>
  <c r="K34" i="8" s="1"/>
  <c r="J22" i="16" s="1"/>
  <c r="V36" i="8"/>
  <c r="AG36" i="8" s="1"/>
  <c r="D36" i="8" s="1"/>
  <c r="V42" i="8"/>
  <c r="AG42" i="8" s="1"/>
  <c r="D42" i="8" s="1"/>
  <c r="W48" i="8"/>
  <c r="AH48" i="8" s="1"/>
  <c r="E48" i="8" s="1"/>
  <c r="AA22" i="8"/>
  <c r="AL22" i="8" s="1"/>
  <c r="J22" i="8" s="1"/>
  <c r="I10" i="16" s="1"/>
  <c r="X25" i="8"/>
  <c r="AI25" i="8" s="1"/>
  <c r="F25" i="8" s="1"/>
  <c r="F13" i="16" s="1"/>
  <c r="AD23" i="8"/>
  <c r="AO23" i="8" s="1"/>
  <c r="M23" i="8" s="1"/>
  <c r="L11" i="16" s="1"/>
  <c r="U21" i="8"/>
  <c r="AF21" i="8" s="1"/>
  <c r="C21" i="8" s="1"/>
  <c r="V24" i="8"/>
  <c r="AG24" i="8" s="1"/>
  <c r="D24" i="8" s="1"/>
  <c r="D12" i="16" s="1"/>
  <c r="AA24" i="8"/>
  <c r="AL24" i="8" s="1"/>
  <c r="J24" i="8" s="1"/>
  <c r="I12" i="16" s="1"/>
  <c r="W22" i="8"/>
  <c r="AH22" i="8" s="1"/>
  <c r="E22" i="8" s="1"/>
  <c r="E10" i="16" s="1"/>
  <c r="V20" i="8"/>
  <c r="AG20" i="8" s="1"/>
  <c r="D20" i="8" s="1"/>
  <c r="D8" i="16" s="1"/>
  <c r="W23" i="8"/>
  <c r="AH23" i="8" s="1"/>
  <c r="E23" i="8" s="1"/>
  <c r="E11" i="16" s="1"/>
  <c r="AB23" i="8"/>
  <c r="AM23" i="8" s="1"/>
  <c r="K23" i="8" s="1"/>
  <c r="J11" i="16" s="1"/>
  <c r="Z22" i="8"/>
  <c r="AK22" i="8" s="1"/>
  <c r="H22" i="8" s="1"/>
  <c r="H10" i="16" s="1"/>
  <c r="AE22" i="8"/>
  <c r="AP22" i="8" s="1"/>
  <c r="N22" i="8" s="1"/>
  <c r="M10" i="16" s="1"/>
  <c r="Z25" i="8"/>
  <c r="AK25" i="8" s="1"/>
  <c r="H25" i="8" s="1"/>
  <c r="H13" i="16" s="1"/>
  <c r="AB20" i="8"/>
  <c r="AM20" i="8" s="1"/>
  <c r="K20" i="8" s="1"/>
  <c r="J8" i="16" s="1"/>
  <c r="Z24" i="8"/>
  <c r="AK24" i="8" s="1"/>
  <c r="H24" i="8" s="1"/>
  <c r="H12" i="16" s="1"/>
  <c r="Z20" i="8"/>
  <c r="AK20" i="8" s="1"/>
  <c r="H20" i="8" s="1"/>
  <c r="H8" i="16" s="1"/>
  <c r="X20" i="8"/>
  <c r="AI20" i="8" s="1"/>
  <c r="F20" i="8" s="1"/>
  <c r="F8" i="16" s="1"/>
  <c r="U45" i="8"/>
  <c r="AF45" i="8" s="1"/>
  <c r="C45" i="8" s="1"/>
  <c r="R41" i="5" s="1"/>
  <c r="C41" i="5" s="1"/>
  <c r="AD48" i="8"/>
  <c r="AO48" i="8" s="1"/>
  <c r="M48" i="8" s="1"/>
  <c r="L36" i="16" s="1"/>
  <c r="V43" i="8"/>
  <c r="AG43" i="8" s="1"/>
  <c r="D43" i="8" s="1"/>
  <c r="AE58" i="8"/>
  <c r="AP58" i="8" s="1"/>
  <c r="N58" i="8" s="1"/>
  <c r="M46" i="16" s="1"/>
  <c r="Y56" i="8"/>
  <c r="AJ56" i="8" s="1"/>
  <c r="G56" i="8" s="1"/>
  <c r="G44" i="16" s="1"/>
  <c r="Z57" i="8"/>
  <c r="AK57" i="8" s="1"/>
  <c r="H57" i="8" s="1"/>
  <c r="H45" i="16" s="1"/>
  <c r="Z49" i="8"/>
  <c r="AK49" i="8" s="1"/>
  <c r="H49" i="8" s="1"/>
  <c r="H37" i="16" s="1"/>
  <c r="X26" i="8"/>
  <c r="AI26" i="8" s="1"/>
  <c r="F26" i="8" s="1"/>
  <c r="F14" i="16" s="1"/>
  <c r="W42" i="8"/>
  <c r="AH42" i="8" s="1"/>
  <c r="E42" i="8" s="1"/>
  <c r="AE36" i="8"/>
  <c r="AP36" i="8" s="1"/>
  <c r="N36" i="8" s="1"/>
  <c r="M24" i="16" s="1"/>
  <c r="AA50" i="8"/>
  <c r="AL50" i="8" s="1"/>
  <c r="J50" i="8" s="1"/>
  <c r="I38" i="16" s="1"/>
  <c r="Y37" i="8"/>
  <c r="AJ37" i="8" s="1"/>
  <c r="G37" i="8" s="1"/>
  <c r="G25" i="16" s="1"/>
  <c r="Z43" i="8"/>
  <c r="AK43" i="8" s="1"/>
  <c r="H43" i="8" s="1"/>
  <c r="H31" i="16" s="1"/>
  <c r="AD52" i="8"/>
  <c r="AO52" i="8" s="1"/>
  <c r="M52" i="8" s="1"/>
  <c r="L40" i="16" s="1"/>
  <c r="AA25" i="8"/>
  <c r="AL25" i="8" s="1"/>
  <c r="J25" i="8" s="1"/>
  <c r="I13" i="16" s="1"/>
  <c r="AC25" i="8"/>
  <c r="AN25" i="8" s="1"/>
  <c r="L25" i="8" s="1"/>
  <c r="K13" i="16" s="1"/>
  <c r="Y25" i="8"/>
  <c r="AJ25" i="8" s="1"/>
  <c r="G25" i="8" s="1"/>
  <c r="G13" i="16" s="1"/>
  <c r="U22" i="8"/>
  <c r="AF22" i="8" s="1"/>
  <c r="C22" i="8" s="1"/>
  <c r="C10" i="16" s="1"/>
  <c r="X21" i="8"/>
  <c r="AI21" i="8" s="1"/>
  <c r="F21" i="8" s="1"/>
  <c r="F9" i="16" s="1"/>
  <c r="AD25" i="8"/>
  <c r="AO25" i="8" s="1"/>
  <c r="M25" i="8" s="1"/>
  <c r="L13" i="16" s="1"/>
  <c r="X58" i="8"/>
  <c r="AI58" i="8" s="1"/>
  <c r="F58" i="8" s="1"/>
  <c r="F46" i="16" s="1"/>
  <c r="AE54" i="8"/>
  <c r="AP54" i="8" s="1"/>
  <c r="N54" i="8" s="1"/>
  <c r="M42" i="16" s="1"/>
  <c r="Y27" i="8"/>
  <c r="AJ27" i="8" s="1"/>
  <c r="G27" i="8" s="1"/>
  <c r="G15" i="16" s="1"/>
  <c r="AC35" i="8"/>
  <c r="AN35" i="8" s="1"/>
  <c r="L35" i="8" s="1"/>
  <c r="K23" i="16" s="1"/>
  <c r="AE43" i="8"/>
  <c r="AP43" i="8" s="1"/>
  <c r="N43" i="8" s="1"/>
  <c r="M31" i="16" s="1"/>
  <c r="W29" i="8"/>
  <c r="AH29" i="8" s="1"/>
  <c r="E29" i="8" s="1"/>
  <c r="AA49" i="8"/>
  <c r="AL49" i="8" s="1"/>
  <c r="J49" i="8" s="1"/>
  <c r="I37" i="16" s="1"/>
  <c r="AC34" i="8"/>
  <c r="AN34" i="8" s="1"/>
  <c r="L34" i="8" s="1"/>
  <c r="K22" i="16" s="1"/>
  <c r="Y43" i="8"/>
  <c r="AJ43" i="8" s="1"/>
  <c r="G43" i="8" s="1"/>
  <c r="G31" i="16" s="1"/>
  <c r="Y39" i="8"/>
  <c r="AJ39" i="8" s="1"/>
  <c r="G39" i="8" s="1"/>
  <c r="G27" i="16" s="1"/>
  <c r="Z28" i="8"/>
  <c r="AK28" i="8" s="1"/>
  <c r="H28" i="8" s="1"/>
  <c r="H16" i="16" s="1"/>
  <c r="X33" i="8"/>
  <c r="AI33" i="8" s="1"/>
  <c r="F33" i="8" s="1"/>
  <c r="F21" i="16" s="1"/>
  <c r="AE29" i="8"/>
  <c r="AP29" i="8" s="1"/>
  <c r="N29" i="8" s="1"/>
  <c r="M17" i="16" s="1"/>
  <c r="X32" i="8"/>
  <c r="AI32" i="8" s="1"/>
  <c r="F32" i="8" s="1"/>
  <c r="F20" i="16" s="1"/>
  <c r="AB49" i="8"/>
  <c r="AM49" i="8" s="1"/>
  <c r="K49" i="8" s="1"/>
  <c r="J37" i="16" s="1"/>
  <c r="AB50" i="8"/>
  <c r="AM50" i="8" s="1"/>
  <c r="K50" i="8" s="1"/>
  <c r="J38" i="16" s="1"/>
  <c r="V56" i="8"/>
  <c r="AG56" i="8" s="1"/>
  <c r="D56" i="8" s="1"/>
  <c r="D44" i="16" s="1"/>
  <c r="Z37" i="8"/>
  <c r="AK37" i="8" s="1"/>
  <c r="H37" i="8" s="1"/>
  <c r="H25" i="16" s="1"/>
  <c r="U35" i="8"/>
  <c r="AF35" i="8" s="1"/>
  <c r="C35" i="8" s="1"/>
  <c r="R31" i="5" s="1"/>
  <c r="C31" i="5" s="1"/>
  <c r="Y34" i="8"/>
  <c r="AJ34" i="8" s="1"/>
  <c r="G34" i="8" s="1"/>
  <c r="G22" i="16" s="1"/>
  <c r="AC48" i="8"/>
  <c r="AN48" i="8" s="1"/>
  <c r="L48" i="8" s="1"/>
  <c r="K36" i="16" s="1"/>
  <c r="AC38" i="8"/>
  <c r="AN38" i="8" s="1"/>
  <c r="L38" i="8" s="1"/>
  <c r="K26" i="16" s="1"/>
  <c r="Z53" i="8"/>
  <c r="AK53" i="8" s="1"/>
  <c r="H53" i="8" s="1"/>
  <c r="H41" i="16" s="1"/>
  <c r="W36" i="8"/>
  <c r="AH36" i="8" s="1"/>
  <c r="E36" i="8" s="1"/>
  <c r="X54" i="8"/>
  <c r="AI54" i="8" s="1"/>
  <c r="F54" i="8" s="1"/>
  <c r="F42" i="16" s="1"/>
  <c r="Z33" i="8"/>
  <c r="AK33" i="8" s="1"/>
  <c r="H33" i="8" s="1"/>
  <c r="H21" i="16" s="1"/>
  <c r="W27" i="8"/>
  <c r="AH27" i="8" s="1"/>
  <c r="E27" i="8" s="1"/>
  <c r="AE46" i="8"/>
  <c r="AP46" i="8" s="1"/>
  <c r="N46" i="8" s="1"/>
  <c r="M34" i="16" s="1"/>
  <c r="Z58" i="8"/>
  <c r="AK58" i="8" s="1"/>
  <c r="H58" i="8" s="1"/>
  <c r="H46" i="16" s="1"/>
  <c r="V27" i="8"/>
  <c r="AG27" i="8" s="1"/>
  <c r="D27" i="8" s="1"/>
  <c r="X34" i="8"/>
  <c r="AI34" i="8" s="1"/>
  <c r="F34" i="8" s="1"/>
  <c r="F22" i="16" s="1"/>
  <c r="V47" i="8"/>
  <c r="AG47" i="8" s="1"/>
  <c r="D47" i="8" s="1"/>
  <c r="T43" i="5" s="1"/>
  <c r="D43" i="5" s="1"/>
  <c r="W41" i="8"/>
  <c r="AH41" i="8" s="1"/>
  <c r="E41" i="8" s="1"/>
  <c r="V37" i="5" s="1"/>
  <c r="E37" i="5" s="1"/>
  <c r="AE42" i="8"/>
  <c r="AP42" i="8" s="1"/>
  <c r="N42" i="8" s="1"/>
  <c r="M30" i="16" s="1"/>
  <c r="Z26" i="8"/>
  <c r="AK26" i="8" s="1"/>
  <c r="H26" i="8" s="1"/>
  <c r="H14" i="16" s="1"/>
  <c r="AA45" i="8"/>
  <c r="AL45" i="8" s="1"/>
  <c r="J45" i="8" s="1"/>
  <c r="I33" i="16" s="1"/>
  <c r="AC33" i="8"/>
  <c r="AN33" i="8" s="1"/>
  <c r="L33" i="8" s="1"/>
  <c r="K21" i="16" s="1"/>
  <c r="AC51" i="8"/>
  <c r="AN51" i="8" s="1"/>
  <c r="L51" i="8" s="1"/>
  <c r="K39" i="16" s="1"/>
  <c r="X53" i="8"/>
  <c r="AI53" i="8" s="1"/>
  <c r="F53" i="8" s="1"/>
  <c r="F41" i="16" s="1"/>
  <c r="AB52" i="8"/>
  <c r="AM52" i="8" s="1"/>
  <c r="K52" i="8" s="1"/>
  <c r="J40" i="16" s="1"/>
  <c r="U57" i="8"/>
  <c r="AF57" i="8" s="1"/>
  <c r="C57" i="8" s="1"/>
  <c r="U47" i="8"/>
  <c r="AF47" i="8" s="1"/>
  <c r="C47" i="8" s="1"/>
  <c r="R43" i="5" s="1"/>
  <c r="C43" i="5" s="1"/>
  <c r="W35" i="8"/>
  <c r="AH35" i="8" s="1"/>
  <c r="E35" i="8" s="1"/>
  <c r="AA56" i="8"/>
  <c r="AL56" i="8" s="1"/>
  <c r="J56" i="8" s="1"/>
  <c r="I44" i="16" s="1"/>
  <c r="Y52" i="8"/>
  <c r="AJ52" i="8" s="1"/>
  <c r="G52" i="8" s="1"/>
  <c r="G40" i="16" s="1"/>
  <c r="W53" i="8"/>
  <c r="AH53" i="8" s="1"/>
  <c r="E53" i="8" s="1"/>
  <c r="V49" i="5" s="1"/>
  <c r="E49" i="5" s="1"/>
  <c r="AB37" i="8"/>
  <c r="AM37" i="8" s="1"/>
  <c r="K37" i="8" s="1"/>
  <c r="J25" i="16" s="1"/>
  <c r="Y49" i="8"/>
  <c r="AJ49" i="8" s="1"/>
  <c r="G49" i="8" s="1"/>
  <c r="G37" i="16" s="1"/>
  <c r="U36" i="8"/>
  <c r="AF36" i="8" s="1"/>
  <c r="C36" i="8" s="1"/>
  <c r="AD27" i="8"/>
  <c r="AO27" i="8" s="1"/>
  <c r="M27" i="8" s="1"/>
  <c r="L15" i="16" s="1"/>
  <c r="AA55" i="8"/>
  <c r="AL55" i="8" s="1"/>
  <c r="J55" i="8" s="1"/>
  <c r="I43" i="16" s="1"/>
  <c r="AB30" i="8"/>
  <c r="AM30" i="8" s="1"/>
  <c r="K30" i="8" s="1"/>
  <c r="J18" i="16" s="1"/>
  <c r="AC26" i="8"/>
  <c r="AN26" i="8" s="1"/>
  <c r="L26" i="8" s="1"/>
  <c r="K14" i="16" s="1"/>
  <c r="V31" i="8"/>
  <c r="AG31" i="8" s="1"/>
  <c r="D31" i="8" s="1"/>
  <c r="AC31" i="8"/>
  <c r="AN31" i="8" s="1"/>
  <c r="L31" i="8" s="1"/>
  <c r="K19" i="16" s="1"/>
  <c r="AC50" i="8"/>
  <c r="AN50" i="8" s="1"/>
  <c r="L50" i="8" s="1"/>
  <c r="K38" i="16" s="1"/>
  <c r="AA43" i="8"/>
  <c r="AL43" i="8" s="1"/>
  <c r="J43" i="8" s="1"/>
  <c r="I31" i="16" s="1"/>
  <c r="Z55" i="8"/>
  <c r="AK55" i="8" s="1"/>
  <c r="H55" i="8" s="1"/>
  <c r="H43" i="16" s="1"/>
  <c r="V39" i="8"/>
  <c r="AG39" i="8" s="1"/>
  <c r="D39" i="8" s="1"/>
  <c r="D27" i="16" s="1"/>
  <c r="AA48" i="8"/>
  <c r="AL48" i="8" s="1"/>
  <c r="J48" i="8" s="1"/>
  <c r="I36" i="16" s="1"/>
  <c r="AA39" i="8"/>
  <c r="AL39" i="8" s="1"/>
  <c r="J39" i="8" s="1"/>
  <c r="I27" i="16" s="1"/>
  <c r="Z51" i="8"/>
  <c r="AK51" i="8" s="1"/>
  <c r="H51" i="8" s="1"/>
  <c r="H39" i="16" s="1"/>
  <c r="X36" i="8"/>
  <c r="AI36" i="8" s="1"/>
  <c r="F36" i="8" s="1"/>
  <c r="F24" i="16" s="1"/>
  <c r="AC45" i="8"/>
  <c r="AN45" i="8" s="1"/>
  <c r="L45" i="8" s="1"/>
  <c r="K33" i="16" s="1"/>
  <c r="Z46" i="8"/>
  <c r="AK46" i="8" s="1"/>
  <c r="H46" i="8" s="1"/>
  <c r="H34" i="16" s="1"/>
  <c r="AB39" i="8"/>
  <c r="AM39" i="8" s="1"/>
  <c r="K39" i="8" s="1"/>
  <c r="J27" i="16" s="1"/>
  <c r="AC39" i="8"/>
  <c r="AN39" i="8" s="1"/>
  <c r="L39" i="8" s="1"/>
  <c r="K27" i="16" s="1"/>
  <c r="W54" i="8"/>
  <c r="AH54" i="8" s="1"/>
  <c r="E54" i="8" s="1"/>
  <c r="E42" i="16" s="1"/>
  <c r="U48" i="8"/>
  <c r="AF48" i="8" s="1"/>
  <c r="C48" i="8" s="1"/>
  <c r="Y31" i="8"/>
  <c r="AJ31" i="8" s="1"/>
  <c r="G31" i="8" s="1"/>
  <c r="G19" i="16" s="1"/>
  <c r="AC43" i="8"/>
  <c r="AN43" i="8" s="1"/>
  <c r="L43" i="8" s="1"/>
  <c r="K31" i="16" s="1"/>
  <c r="AB41" i="8"/>
  <c r="AM41" i="8" s="1"/>
  <c r="K41" i="8" s="1"/>
  <c r="J29" i="16" s="1"/>
  <c r="AB46" i="8"/>
  <c r="AM46" i="8" s="1"/>
  <c r="K46" i="8" s="1"/>
  <c r="J34" i="16" s="1"/>
  <c r="AE53" i="8"/>
  <c r="AP53" i="8" s="1"/>
  <c r="N53" i="8" s="1"/>
  <c r="M41" i="16" s="1"/>
  <c r="AE37" i="8"/>
  <c r="AP37" i="8" s="1"/>
  <c r="N37" i="8" s="1"/>
  <c r="M25" i="16" s="1"/>
  <c r="AD50" i="8"/>
  <c r="AO50" i="8" s="1"/>
  <c r="M50" i="8" s="1"/>
  <c r="L38" i="16" s="1"/>
  <c r="V53" i="8"/>
  <c r="AG53" i="8" s="1"/>
  <c r="D53" i="8" s="1"/>
  <c r="D41" i="16" s="1"/>
  <c r="Y41" i="8"/>
  <c r="AJ41" i="8" s="1"/>
  <c r="G41" i="8" s="1"/>
  <c r="G29" i="16" s="1"/>
  <c r="W47" i="8"/>
  <c r="AH47" i="8" s="1"/>
  <c r="E47" i="8" s="1"/>
  <c r="E35" i="16" s="1"/>
  <c r="AC29" i="8"/>
  <c r="AN29" i="8" s="1"/>
  <c r="L29" i="8" s="1"/>
  <c r="K17" i="16" s="1"/>
  <c r="AB47" i="8"/>
  <c r="AM47" i="8" s="1"/>
  <c r="K47" i="8" s="1"/>
  <c r="J35" i="16" s="1"/>
  <c r="AB45" i="8"/>
  <c r="AM45" i="8" s="1"/>
  <c r="K45" i="8" s="1"/>
  <c r="J33" i="16" s="1"/>
  <c r="AC27" i="8"/>
  <c r="AN27" i="8" s="1"/>
  <c r="L27" i="8" s="1"/>
  <c r="K15" i="16" s="1"/>
  <c r="AD55" i="8"/>
  <c r="AO55" i="8" s="1"/>
  <c r="M55" i="8" s="1"/>
  <c r="L43" i="16" s="1"/>
  <c r="W56" i="8"/>
  <c r="AH56" i="8" s="1"/>
  <c r="E56" i="8" s="1"/>
  <c r="V52" i="5" s="1"/>
  <c r="E52" i="5" s="1"/>
  <c r="AC44" i="8"/>
  <c r="AN44" i="8" s="1"/>
  <c r="L44" i="8" s="1"/>
  <c r="K32" i="16" s="1"/>
  <c r="Z41" i="8"/>
  <c r="AK41" i="8" s="1"/>
  <c r="H41" i="8" s="1"/>
  <c r="H29" i="16" s="1"/>
  <c r="Y33" i="8"/>
  <c r="AJ33" i="8" s="1"/>
  <c r="G33" i="8" s="1"/>
  <c r="G21" i="16" s="1"/>
  <c r="AE33" i="8"/>
  <c r="AP33" i="8" s="1"/>
  <c r="N33" i="8" s="1"/>
  <c r="M21" i="16" s="1"/>
  <c r="Y47" i="8"/>
  <c r="AJ47" i="8" s="1"/>
  <c r="G47" i="8" s="1"/>
  <c r="G35" i="16" s="1"/>
  <c r="X37" i="8"/>
  <c r="AI37" i="8" s="1"/>
  <c r="F37" i="8" s="1"/>
  <c r="F25" i="16" s="1"/>
  <c r="AB42" i="8"/>
  <c r="AM42" i="8" s="1"/>
  <c r="K42" i="8" s="1"/>
  <c r="J30" i="16" s="1"/>
  <c r="V30" i="8"/>
  <c r="AG30" i="8" s="1"/>
  <c r="D30" i="8" s="1"/>
  <c r="U41" i="8"/>
  <c r="AF41" i="8" s="1"/>
  <c r="C41" i="8" s="1"/>
  <c r="C29" i="16" s="1"/>
  <c r="AE30" i="8"/>
  <c r="AP30" i="8" s="1"/>
  <c r="N30" i="8" s="1"/>
  <c r="M18" i="16" s="1"/>
  <c r="AA26" i="8"/>
  <c r="AL26" i="8" s="1"/>
  <c r="J26" i="8" s="1"/>
  <c r="I14" i="16" s="1"/>
  <c r="AB31" i="8"/>
  <c r="AM31" i="8" s="1"/>
  <c r="K31" i="8" s="1"/>
  <c r="J19" i="16" s="1"/>
  <c r="W43" i="8"/>
  <c r="AH43" i="8" s="1"/>
  <c r="E43" i="8" s="1"/>
  <c r="V29" i="8"/>
  <c r="AG29" i="8" s="1"/>
  <c r="D29" i="8" s="1"/>
  <c r="AA28" i="8"/>
  <c r="AL28" i="8" s="1"/>
  <c r="J28" i="8" s="1"/>
  <c r="I16" i="16" s="1"/>
  <c r="AD38" i="8"/>
  <c r="AO38" i="8" s="1"/>
  <c r="M38" i="8" s="1"/>
  <c r="L26" i="16" s="1"/>
  <c r="AD46" i="8"/>
  <c r="AO46" i="8" s="1"/>
  <c r="M46" i="8" s="1"/>
  <c r="L34" i="16" s="1"/>
  <c r="AD43" i="8"/>
  <c r="AO43" i="8" s="1"/>
  <c r="M43" i="8" s="1"/>
  <c r="L31" i="16" s="1"/>
  <c r="AE47" i="8"/>
  <c r="AP47" i="8" s="1"/>
  <c r="N47" i="8" s="1"/>
  <c r="M35" i="16" s="1"/>
  <c r="AD39" i="8"/>
  <c r="AO39" i="8" s="1"/>
  <c r="M39" i="8" s="1"/>
  <c r="L27" i="16" s="1"/>
  <c r="Y30" i="8"/>
  <c r="AJ30" i="8" s="1"/>
  <c r="G30" i="8" s="1"/>
  <c r="G18" i="16" s="1"/>
  <c r="AD57" i="8"/>
  <c r="AO57" i="8" s="1"/>
  <c r="M57" i="8" s="1"/>
  <c r="L45" i="16" s="1"/>
  <c r="AD30" i="8"/>
  <c r="AO30" i="8" s="1"/>
  <c r="M30" i="8" s="1"/>
  <c r="L18" i="16" s="1"/>
  <c r="AB40" i="8"/>
  <c r="AM40" i="8" s="1"/>
  <c r="K40" i="8" s="1"/>
  <c r="J28" i="16" s="1"/>
  <c r="AE38" i="8"/>
  <c r="AP38" i="8" s="1"/>
  <c r="N38" i="8" s="1"/>
  <c r="M26" i="16" s="1"/>
  <c r="Z36" i="8"/>
  <c r="AK36" i="8" s="1"/>
  <c r="H36" i="8" s="1"/>
  <c r="H24" i="16" s="1"/>
  <c r="AE49" i="8"/>
  <c r="AP49" i="8" s="1"/>
  <c r="N49" i="8" s="1"/>
  <c r="M37" i="16" s="1"/>
  <c r="Z38" i="8"/>
  <c r="AK38" i="8" s="1"/>
  <c r="H38" i="8" s="1"/>
  <c r="H26" i="16" s="1"/>
  <c r="Y36" i="8"/>
  <c r="AJ36" i="8" s="1"/>
  <c r="G36" i="8" s="1"/>
  <c r="G24" i="16" s="1"/>
  <c r="Z31" i="8"/>
  <c r="AK31" i="8" s="1"/>
  <c r="H31" i="8" s="1"/>
  <c r="H19" i="16" s="1"/>
  <c r="U40" i="8"/>
  <c r="AF40" i="8" s="1"/>
  <c r="C40" i="8" s="1"/>
  <c r="W46" i="8"/>
  <c r="AH46" i="8" s="1"/>
  <c r="E46" i="8" s="1"/>
  <c r="V42" i="5" s="1"/>
  <c r="E42" i="5" s="1"/>
  <c r="Y44" i="8"/>
  <c r="AJ44" i="8" s="1"/>
  <c r="G44" i="8" s="1"/>
  <c r="G32" i="16" s="1"/>
  <c r="X57" i="8"/>
  <c r="AI57" i="8" s="1"/>
  <c r="F57" i="8" s="1"/>
  <c r="F45" i="16" s="1"/>
  <c r="Z44" i="8"/>
  <c r="AK44" i="8" s="1"/>
  <c r="H44" i="8" s="1"/>
  <c r="H32" i="16" s="1"/>
  <c r="Z50" i="8"/>
  <c r="AK50" i="8" s="1"/>
  <c r="H50" i="8" s="1"/>
  <c r="H38" i="16" s="1"/>
  <c r="Z47" i="8"/>
  <c r="AK47" i="8" s="1"/>
  <c r="H47" i="8" s="1"/>
  <c r="H35" i="16" s="1"/>
  <c r="AB27" i="8"/>
  <c r="AM27" i="8" s="1"/>
  <c r="K27" i="8" s="1"/>
  <c r="J15" i="16" s="1"/>
  <c r="Y46" i="8"/>
  <c r="AJ46" i="8" s="1"/>
  <c r="G46" i="8" s="1"/>
  <c r="G34" i="16" s="1"/>
  <c r="Z45" i="8"/>
  <c r="AK45" i="8" s="1"/>
  <c r="H45" i="8" s="1"/>
  <c r="H33" i="16" s="1"/>
  <c r="Z32" i="8"/>
  <c r="AK32" i="8" s="1"/>
  <c r="H32" i="8" s="1"/>
  <c r="H20" i="16" s="1"/>
  <c r="AD51" i="8"/>
  <c r="AO51" i="8" s="1"/>
  <c r="M51" i="8" s="1"/>
  <c r="L39" i="16" s="1"/>
  <c r="AE52" i="8"/>
  <c r="AP52" i="8" s="1"/>
  <c r="N52" i="8" s="1"/>
  <c r="M40" i="16" s="1"/>
  <c r="AD47" i="8"/>
  <c r="AO47" i="8" s="1"/>
  <c r="M47" i="8" s="1"/>
  <c r="L35" i="16" s="1"/>
  <c r="W31" i="8"/>
  <c r="AH31" i="8" s="1"/>
  <c r="E31" i="8" s="1"/>
  <c r="X31" i="8"/>
  <c r="AI31" i="8" s="1"/>
  <c r="F31" i="8" s="1"/>
  <c r="F19" i="16" s="1"/>
  <c r="AB51" i="8"/>
  <c r="AM51" i="8" s="1"/>
  <c r="K51" i="8" s="1"/>
  <c r="J39" i="16" s="1"/>
  <c r="AD44" i="8"/>
  <c r="AO44" i="8" s="1"/>
  <c r="M44" i="8" s="1"/>
  <c r="L32" i="16" s="1"/>
  <c r="AB38" i="8"/>
  <c r="AM38" i="8" s="1"/>
  <c r="K38" i="8" s="1"/>
  <c r="J26" i="16" s="1"/>
  <c r="AC42" i="8"/>
  <c r="AN42" i="8" s="1"/>
  <c r="L42" i="8" s="1"/>
  <c r="K30" i="16" s="1"/>
  <c r="AA46" i="8"/>
  <c r="AL46" i="8" s="1"/>
  <c r="J46" i="8" s="1"/>
  <c r="I34" i="16" s="1"/>
  <c r="W28" i="8"/>
  <c r="AH28" i="8" s="1"/>
  <c r="E28" i="8" s="1"/>
  <c r="U42" i="8"/>
  <c r="AF42" i="8" s="1"/>
  <c r="C42" i="8" s="1"/>
  <c r="R38" i="5" s="1"/>
  <c r="C38" i="5" s="1"/>
  <c r="W32" i="8"/>
  <c r="AH32" i="8" s="1"/>
  <c r="E32" i="8" s="1"/>
  <c r="X50" i="8"/>
  <c r="AI50" i="8" s="1"/>
  <c r="F50" i="8" s="1"/>
  <c r="F38" i="16" s="1"/>
  <c r="AD45" i="8"/>
  <c r="AO45" i="8" s="1"/>
  <c r="M45" i="8" s="1"/>
  <c r="L33" i="16" s="1"/>
  <c r="X27" i="8"/>
  <c r="AI27" i="8" s="1"/>
  <c r="F27" i="8" s="1"/>
  <c r="F15" i="16" s="1"/>
  <c r="AD31" i="8"/>
  <c r="AO31" i="8" s="1"/>
  <c r="M31" i="8" s="1"/>
  <c r="L19" i="16" s="1"/>
  <c r="AC56" i="8"/>
  <c r="AN56" i="8" s="1"/>
  <c r="L56" i="8" s="1"/>
  <c r="K44" i="16" s="1"/>
  <c r="AA47" i="8"/>
  <c r="AL47" i="8" s="1"/>
  <c r="J47" i="8" s="1"/>
  <c r="I35" i="16" s="1"/>
  <c r="U51" i="8"/>
  <c r="AF51" i="8" s="1"/>
  <c r="C51" i="8" s="1"/>
  <c r="C39" i="16" s="1"/>
  <c r="AB36" i="8"/>
  <c r="AM36" i="8" s="1"/>
  <c r="K36" i="8" s="1"/>
  <c r="J24" i="16" s="1"/>
  <c r="U53" i="8"/>
  <c r="AF53" i="8" s="1"/>
  <c r="C53" i="8" s="1"/>
  <c r="R49" i="5" s="1"/>
  <c r="C49" i="5" s="1"/>
  <c r="AC49" i="8"/>
  <c r="AN49" i="8" s="1"/>
  <c r="L49" i="8" s="1"/>
  <c r="K37" i="16" s="1"/>
  <c r="U55" i="8"/>
  <c r="AF55" i="8" s="1"/>
  <c r="C55" i="8" s="1"/>
  <c r="C43" i="16" s="1"/>
  <c r="U32" i="8"/>
  <c r="AF32" i="8" s="1"/>
  <c r="C32" i="8" s="1"/>
  <c r="AE39" i="8"/>
  <c r="AP39" i="8" s="1"/>
  <c r="N39" i="8" s="1"/>
  <c r="M27" i="16" s="1"/>
  <c r="V46" i="8"/>
  <c r="AG46" i="8" s="1"/>
  <c r="D46" i="8" s="1"/>
  <c r="T42" i="5" s="1"/>
  <c r="D42" i="5" s="1"/>
  <c r="AA33" i="8"/>
  <c r="AL33" i="8" s="1"/>
  <c r="J33" i="8" s="1"/>
  <c r="I21" i="16" s="1"/>
  <c r="AB26" i="8"/>
  <c r="AM26" i="8" s="1"/>
  <c r="K26" i="8" s="1"/>
  <c r="J14" i="16" s="1"/>
  <c r="X30" i="8"/>
  <c r="AI30" i="8" s="1"/>
  <c r="F30" i="8" s="1"/>
  <c r="F18" i="16" s="1"/>
  <c r="AE27" i="8"/>
  <c r="AP27" i="8" s="1"/>
  <c r="N27" i="8" s="1"/>
  <c r="M15" i="16" s="1"/>
  <c r="V57" i="8"/>
  <c r="AG57" i="8" s="1"/>
  <c r="D57" i="8" s="1"/>
  <c r="Y54" i="8"/>
  <c r="AJ54" i="8" s="1"/>
  <c r="G54" i="8" s="1"/>
  <c r="G42" i="16" s="1"/>
  <c r="X47" i="8"/>
  <c r="AI47" i="8" s="1"/>
  <c r="F47" i="8" s="1"/>
  <c r="F35" i="16" s="1"/>
  <c r="AA42" i="8"/>
  <c r="AL42" i="8" s="1"/>
  <c r="J42" i="8" s="1"/>
  <c r="I30" i="16" s="1"/>
  <c r="Y45" i="8"/>
  <c r="AJ45" i="8" s="1"/>
  <c r="G45" i="8" s="1"/>
  <c r="G33" i="16" s="1"/>
  <c r="AD42" i="8"/>
  <c r="AO42" i="8" s="1"/>
  <c r="M42" i="8" s="1"/>
  <c r="L30" i="16" s="1"/>
  <c r="AC37" i="8"/>
  <c r="AN37" i="8" s="1"/>
  <c r="L37" i="8" s="1"/>
  <c r="K25" i="16" s="1"/>
  <c r="U50" i="8"/>
  <c r="AF50" i="8" s="1"/>
  <c r="C50" i="8" s="1"/>
  <c r="AE45" i="8"/>
  <c r="AP45" i="8" s="1"/>
  <c r="N45" i="8" s="1"/>
  <c r="M33" i="16" s="1"/>
  <c r="AA35" i="8"/>
  <c r="AL35" i="8" s="1"/>
  <c r="J35" i="8" s="1"/>
  <c r="I23" i="16" s="1"/>
  <c r="V55" i="8"/>
  <c r="AG55" i="8" s="1"/>
  <c r="D55" i="8" s="1"/>
  <c r="D43" i="16" s="1"/>
  <c r="W44" i="8"/>
  <c r="AH44" i="8" s="1"/>
  <c r="E44" i="8" s="1"/>
  <c r="V40" i="5" s="1"/>
  <c r="E40" i="5" s="1"/>
  <c r="Y40" i="8"/>
  <c r="AJ40" i="8" s="1"/>
  <c r="G40" i="8" s="1"/>
  <c r="G28" i="16" s="1"/>
  <c r="V32" i="8"/>
  <c r="AG32" i="8" s="1"/>
  <c r="D32" i="8" s="1"/>
  <c r="AD32" i="8"/>
  <c r="AO32" i="8" s="1"/>
  <c r="M32" i="8" s="1"/>
  <c r="L20" i="16" s="1"/>
  <c r="AA29" i="8"/>
  <c r="AL29" i="8" s="1"/>
  <c r="J29" i="8" s="1"/>
  <c r="I17" i="16" s="1"/>
  <c r="Y53" i="8"/>
  <c r="AJ53" i="8" s="1"/>
  <c r="G53" i="8" s="1"/>
  <c r="G41" i="16" s="1"/>
  <c r="W49" i="8"/>
  <c r="AH49" i="8" s="1"/>
  <c r="E49" i="8" s="1"/>
  <c r="E37" i="16" s="1"/>
  <c r="Y50" i="8"/>
  <c r="AJ50" i="8" s="1"/>
  <c r="G50" i="8" s="1"/>
  <c r="G38" i="16" s="1"/>
  <c r="AB58" i="8"/>
  <c r="AM58" i="8" s="1"/>
  <c r="K58" i="8" s="1"/>
  <c r="J46" i="16" s="1"/>
  <c r="X56" i="8"/>
  <c r="AI56" i="8" s="1"/>
  <c r="F56" i="8" s="1"/>
  <c r="F44" i="16" s="1"/>
  <c r="W51" i="8"/>
  <c r="AH51" i="8" s="1"/>
  <c r="E51" i="8" s="1"/>
  <c r="AA57" i="8"/>
  <c r="AL57" i="8" s="1"/>
  <c r="J57" i="8" s="1"/>
  <c r="I45" i="16" s="1"/>
  <c r="AB29" i="8"/>
  <c r="AM29" i="8" s="1"/>
  <c r="K29" i="8" s="1"/>
  <c r="J17" i="16" s="1"/>
  <c r="AC55" i="8"/>
  <c r="AN55" i="8" s="1"/>
  <c r="L55" i="8" s="1"/>
  <c r="K43" i="16" s="1"/>
  <c r="AA54" i="8"/>
  <c r="AL54" i="8" s="1"/>
  <c r="J54" i="8" s="1"/>
  <c r="I42" i="16" s="1"/>
  <c r="X39" i="8"/>
  <c r="AI39" i="8" s="1"/>
  <c r="F39" i="8" s="1"/>
  <c r="F27" i="16" s="1"/>
  <c r="Z42" i="8"/>
  <c r="AK42" i="8" s="1"/>
  <c r="H42" i="8" s="1"/>
  <c r="H30" i="16" s="1"/>
  <c r="AB43" i="8"/>
  <c r="AM43" i="8" s="1"/>
  <c r="K43" i="8" s="1"/>
  <c r="J31" i="16" s="1"/>
  <c r="AD56" i="8"/>
  <c r="AO56" i="8" s="1"/>
  <c r="M56" i="8" s="1"/>
  <c r="L44" i="16" s="1"/>
  <c r="AB57" i="8"/>
  <c r="AM57" i="8" s="1"/>
  <c r="K57" i="8" s="1"/>
  <c r="J45" i="16" s="1"/>
  <c r="X46" i="8"/>
  <c r="AI46" i="8" s="1"/>
  <c r="F46" i="8" s="1"/>
  <c r="F34" i="16" s="1"/>
  <c r="AA34" i="8"/>
  <c r="AL34" i="8" s="1"/>
  <c r="J34" i="8" s="1"/>
  <c r="I22" i="16" s="1"/>
  <c r="Z39" i="8"/>
  <c r="AK39" i="8" s="1"/>
  <c r="H39" i="8" s="1"/>
  <c r="H27" i="16" s="1"/>
  <c r="AC57" i="8"/>
  <c r="AN57" i="8" s="1"/>
  <c r="L57" i="8" s="1"/>
  <c r="K45" i="16" s="1"/>
  <c r="Z54" i="8"/>
  <c r="AK54" i="8" s="1"/>
  <c r="H54" i="8" s="1"/>
  <c r="H42" i="16" s="1"/>
  <c r="AC28" i="8"/>
  <c r="AN28" i="8" s="1"/>
  <c r="L28" i="8" s="1"/>
  <c r="K16" i="16" s="1"/>
  <c r="Z52" i="8"/>
  <c r="AK52" i="8" s="1"/>
  <c r="H52" i="8" s="1"/>
  <c r="H40" i="16" s="1"/>
  <c r="Y58" i="8"/>
  <c r="AJ58" i="8" s="1"/>
  <c r="G58" i="8" s="1"/>
  <c r="G46" i="16" s="1"/>
  <c r="Y26" i="8"/>
  <c r="AJ26" i="8" s="1"/>
  <c r="G26" i="8" s="1"/>
  <c r="G14" i="16" s="1"/>
  <c r="U52" i="8"/>
  <c r="AF52" i="8" s="1"/>
  <c r="C52" i="8" s="1"/>
  <c r="C40" i="16" s="1"/>
  <c r="AB55" i="8"/>
  <c r="AM55" i="8" s="1"/>
  <c r="K55" i="8" s="1"/>
  <c r="J43" i="16" s="1"/>
  <c r="X55" i="8"/>
  <c r="AI55" i="8" s="1"/>
  <c r="F55" i="8" s="1"/>
  <c r="F43" i="16" s="1"/>
  <c r="X44" i="8"/>
  <c r="AI44" i="8" s="1"/>
  <c r="F44" i="8" s="1"/>
  <c r="F32" i="16" s="1"/>
  <c r="W58" i="8"/>
  <c r="AH58" i="8" s="1"/>
  <c r="E58" i="8" s="1"/>
  <c r="AD36" i="8"/>
  <c r="AO36" i="8" s="1"/>
  <c r="M36" i="8" s="1"/>
  <c r="L24" i="16" s="1"/>
  <c r="W57" i="8"/>
  <c r="AH57" i="8" s="1"/>
  <c r="E57" i="8" s="1"/>
  <c r="AD34" i="8"/>
  <c r="AO34" i="8" s="1"/>
  <c r="M34" i="8" s="1"/>
  <c r="L22" i="16" s="1"/>
  <c r="AB56" i="8"/>
  <c r="AM56" i="8" s="1"/>
  <c r="K56" i="8" s="1"/>
  <c r="J44" i="16" s="1"/>
  <c r="Z40" i="8"/>
  <c r="AK40" i="8" s="1"/>
  <c r="H40" i="8" s="1"/>
  <c r="H28" i="16" s="1"/>
  <c r="Y28" i="8"/>
  <c r="AJ28" i="8" s="1"/>
  <c r="G28" i="8" s="1"/>
  <c r="G16" i="16" s="1"/>
  <c r="AB54" i="8"/>
  <c r="AM54" i="8" s="1"/>
  <c r="K54" i="8" s="1"/>
  <c r="J42" i="16" s="1"/>
  <c r="AA31" i="8"/>
  <c r="AL31" i="8" s="1"/>
  <c r="J31" i="8" s="1"/>
  <c r="I19" i="16" s="1"/>
  <c r="AC32" i="8"/>
  <c r="AN32" i="8" s="1"/>
  <c r="L32" i="8" s="1"/>
  <c r="K20" i="16" s="1"/>
  <c r="AC52" i="8"/>
  <c r="AN52" i="8" s="1"/>
  <c r="L52" i="8" s="1"/>
  <c r="K40" i="16" s="1"/>
  <c r="AC41" i="8"/>
  <c r="AN41" i="8" s="1"/>
  <c r="L41" i="8" s="1"/>
  <c r="K29" i="16" s="1"/>
  <c r="V38" i="8"/>
  <c r="AG38" i="8" s="1"/>
  <c r="D38" i="8" s="1"/>
  <c r="X42" i="8"/>
  <c r="AI42" i="8" s="1"/>
  <c r="F42" i="8" s="1"/>
  <c r="F30" i="16" s="1"/>
  <c r="AA32" i="8"/>
  <c r="AL32" i="8" s="1"/>
  <c r="J32" i="8" s="1"/>
  <c r="I20" i="16" s="1"/>
  <c r="P13" i="5"/>
  <c r="B13" i="5" s="1"/>
  <c r="P18" i="5"/>
  <c r="B18" i="5" s="1"/>
  <c r="P41" i="5"/>
  <c r="B41" i="5" s="1"/>
  <c r="B33" i="16"/>
  <c r="P54" i="5"/>
  <c r="B54" i="5" s="1"/>
  <c r="P53" i="5"/>
  <c r="B53" i="5" s="1"/>
  <c r="B45" i="16"/>
  <c r="B44" i="16"/>
  <c r="P51" i="5"/>
  <c r="B51" i="5" s="1"/>
  <c r="B42" i="16"/>
  <c r="B37" i="16"/>
  <c r="B31" i="16" l="1"/>
  <c r="B15" i="16"/>
  <c r="P1" i="15"/>
  <c r="B25" i="16"/>
  <c r="B17" i="16"/>
  <c r="B3" i="16"/>
  <c r="B36" i="16"/>
  <c r="B11" i="16"/>
  <c r="T13" i="5"/>
  <c r="D13" i="5" s="1"/>
  <c r="B34" i="16"/>
  <c r="P30" i="5"/>
  <c r="B30" i="5" s="1"/>
  <c r="P26" i="5"/>
  <c r="B26" i="5" s="1"/>
  <c r="B30" i="16"/>
  <c r="C7" i="16"/>
  <c r="B9" i="16"/>
  <c r="V13" i="5"/>
  <c r="E13" i="5" s="1"/>
  <c r="R175" i="15"/>
  <c r="R954" i="15"/>
  <c r="R85" i="15"/>
  <c r="R169" i="15"/>
  <c r="R1557" i="15"/>
  <c r="R151" i="15"/>
  <c r="R1457" i="15"/>
  <c r="R107" i="15"/>
  <c r="R1293" i="15"/>
  <c r="R1267" i="15"/>
  <c r="R1461" i="15"/>
  <c r="R1265" i="15"/>
  <c r="R1554" i="15"/>
  <c r="R1521" i="15"/>
  <c r="R1974" i="15"/>
  <c r="R436" i="15"/>
  <c r="R989" i="15"/>
  <c r="R52" i="15"/>
  <c r="R40" i="15"/>
  <c r="R101" i="15"/>
  <c r="R525" i="15"/>
  <c r="R196" i="15"/>
  <c r="R1125" i="15"/>
  <c r="R1025" i="15"/>
  <c r="R545" i="15"/>
  <c r="R1822" i="15"/>
  <c r="R1786" i="15"/>
  <c r="R1654" i="15"/>
  <c r="R1558" i="15"/>
  <c r="R1258" i="15"/>
  <c r="R575" i="15"/>
  <c r="R394" i="15"/>
  <c r="R185" i="15"/>
  <c r="R61" i="15"/>
  <c r="R1951" i="15"/>
  <c r="R1759" i="15"/>
  <c r="R1543" i="15"/>
  <c r="R1363" i="15"/>
  <c r="R216" i="15"/>
  <c r="R141" i="15"/>
  <c r="R1972" i="15"/>
  <c r="R1840" i="15"/>
  <c r="R1624" i="15"/>
  <c r="R1456" i="15"/>
  <c r="R1204" i="15"/>
  <c r="R892" i="15"/>
  <c r="R292" i="15"/>
  <c r="R178" i="15"/>
  <c r="R65" i="15"/>
  <c r="R1191" i="15"/>
  <c r="R1898" i="15"/>
  <c r="R1778" i="15"/>
  <c r="R1598" i="15"/>
  <c r="R1382" i="15"/>
  <c r="R722" i="15"/>
  <c r="R387" i="15"/>
  <c r="R1261" i="15"/>
  <c r="R913" i="15"/>
  <c r="R1344" i="15"/>
  <c r="R1212" i="15"/>
  <c r="R972" i="15"/>
  <c r="R864" i="15"/>
  <c r="R768" i="15"/>
  <c r="R1451" i="15"/>
  <c r="R1403" i="15"/>
  <c r="R1271" i="15"/>
  <c r="R1019" i="15"/>
  <c r="R815" i="15"/>
  <c r="R731" i="15"/>
  <c r="P47" i="5"/>
  <c r="B47" i="5" s="1"/>
  <c r="P48" i="5"/>
  <c r="B48" i="5" s="1"/>
  <c r="B13" i="16"/>
  <c r="B21" i="16"/>
  <c r="B7" i="16"/>
  <c r="D7" i="16"/>
  <c r="B6" i="16"/>
  <c r="B35" i="16"/>
  <c r="B41" i="16"/>
  <c r="P46" i="5"/>
  <c r="B46" i="5" s="1"/>
  <c r="B28" i="16"/>
  <c r="B14" i="16"/>
  <c r="B16" i="16"/>
  <c r="B26" i="16"/>
  <c r="P35" i="5"/>
  <c r="B35" i="5" s="1"/>
  <c r="P12" i="5"/>
  <c r="B12" i="5" s="1"/>
  <c r="B32" i="16"/>
  <c r="B12" i="16"/>
  <c r="P32" i="5"/>
  <c r="B32" i="5" s="1"/>
  <c r="B23" i="16"/>
  <c r="D42" i="16"/>
  <c r="R1605" i="15"/>
  <c r="R1305" i="15"/>
  <c r="R86" i="15"/>
  <c r="R790" i="15"/>
  <c r="R881" i="15"/>
  <c r="R1383" i="15"/>
  <c r="R937" i="15"/>
  <c r="R384" i="15"/>
  <c r="R679" i="15"/>
  <c r="R878" i="15"/>
  <c r="R1478" i="15"/>
  <c r="R1216" i="15"/>
  <c r="R1259" i="15"/>
  <c r="R530" i="15"/>
  <c r="R1046" i="15"/>
  <c r="R534" i="15"/>
  <c r="R1170" i="15"/>
  <c r="R1633" i="15"/>
  <c r="R404" i="15"/>
  <c r="R264" i="15"/>
  <c r="R524" i="15"/>
  <c r="R841" i="15"/>
  <c r="R1610" i="15"/>
  <c r="R417" i="15"/>
  <c r="R1068" i="15"/>
  <c r="R1376" i="15"/>
  <c r="R996" i="15"/>
  <c r="R1080" i="15"/>
  <c r="R1627" i="15"/>
  <c r="R1087" i="15"/>
  <c r="R1669" i="15"/>
  <c r="R1728" i="15"/>
  <c r="R1513" i="15"/>
  <c r="R1336" i="15"/>
  <c r="R860" i="15"/>
  <c r="R1776" i="15"/>
  <c r="R1829" i="15"/>
  <c r="R1867" i="15"/>
  <c r="R645" i="15"/>
  <c r="R897" i="15"/>
  <c r="R177" i="15"/>
  <c r="R1665" i="15"/>
  <c r="R1881" i="15"/>
  <c r="R1668" i="15"/>
  <c r="R1848" i="15"/>
  <c r="R1465" i="15"/>
  <c r="R312" i="15"/>
  <c r="R908" i="15"/>
  <c r="R217" i="15"/>
  <c r="R260" i="15"/>
  <c r="R1847" i="15"/>
  <c r="R1433" i="15"/>
  <c r="R1630" i="15"/>
  <c r="R1645" i="15"/>
  <c r="R1057" i="15"/>
  <c r="R738" i="15"/>
  <c r="R1323" i="15"/>
  <c r="R314" i="15"/>
  <c r="R1390" i="15"/>
  <c r="R114" i="15"/>
  <c r="R305" i="15"/>
  <c r="R1138" i="15"/>
  <c r="R950" i="15"/>
  <c r="R1843" i="15"/>
  <c r="R1447" i="15"/>
  <c r="R1331" i="15"/>
  <c r="R586" i="15"/>
  <c r="R1110" i="15"/>
  <c r="R778" i="15"/>
  <c r="R1246" i="15"/>
  <c r="R648" i="15"/>
  <c r="R132" i="15"/>
  <c r="R64" i="15"/>
  <c r="R432" i="15"/>
  <c r="R880" i="15"/>
  <c r="R1514" i="15"/>
  <c r="R1938" i="15"/>
  <c r="R1696" i="15"/>
  <c r="R1056" i="15"/>
  <c r="R760" i="15"/>
  <c r="R916" i="15"/>
  <c r="R1547" i="15"/>
  <c r="R1231" i="15"/>
  <c r="R1757" i="15"/>
  <c r="R1694" i="15"/>
  <c r="R1487" i="15"/>
  <c r="R1303" i="15"/>
  <c r="R854" i="15"/>
  <c r="R153" i="15"/>
  <c r="R1629" i="15"/>
  <c r="R1860" i="15"/>
  <c r="R1929" i="15"/>
  <c r="R1657" i="15"/>
  <c r="R281" i="15"/>
  <c r="R1505" i="15"/>
  <c r="R1677" i="15"/>
  <c r="R1982" i="15"/>
  <c r="R1606" i="15"/>
  <c r="R1842" i="15"/>
  <c r="R917" i="15"/>
  <c r="R1537" i="15"/>
  <c r="R1792" i="15"/>
  <c r="R484" i="15"/>
  <c r="R1372" i="15"/>
  <c r="R1440" i="15"/>
  <c r="R1452" i="15"/>
  <c r="R1247" i="15"/>
  <c r="R971" i="15"/>
  <c r="R826" i="15"/>
  <c r="R614" i="15"/>
  <c r="R280" i="15"/>
  <c r="R1552" i="15"/>
  <c r="R1280" i="15"/>
  <c r="R1083" i="15"/>
  <c r="R895" i="15"/>
  <c r="R597" i="15"/>
  <c r="R419" i="15"/>
  <c r="R237" i="15"/>
  <c r="R341" i="15"/>
  <c r="R17" i="15"/>
  <c r="R1975" i="15"/>
  <c r="R1835" i="15"/>
  <c r="R1921" i="15"/>
  <c r="R440" i="15"/>
  <c r="R1408" i="15"/>
  <c r="R1234" i="15"/>
  <c r="R780" i="15"/>
  <c r="R274" i="15"/>
  <c r="R1274" i="15"/>
  <c r="R882" i="15"/>
  <c r="R412" i="15"/>
  <c r="R336" i="15"/>
  <c r="R1133" i="15"/>
  <c r="R1135" i="15"/>
  <c r="R625" i="15"/>
  <c r="R1466" i="15"/>
  <c r="R1765" i="15"/>
  <c r="R1702" i="15"/>
  <c r="R1949" i="15"/>
  <c r="R1297" i="15"/>
  <c r="R1374" i="15"/>
  <c r="R1361" i="15"/>
  <c r="R172" i="15"/>
  <c r="R92" i="15"/>
  <c r="R1353" i="15"/>
  <c r="R714" i="15"/>
  <c r="R147" i="15"/>
  <c r="R1450" i="15"/>
  <c r="R1018" i="15"/>
  <c r="R180" i="15"/>
  <c r="R1937" i="15"/>
  <c r="R1825" i="15"/>
  <c r="R710" i="15"/>
  <c r="R1162" i="15"/>
  <c r="R527" i="15"/>
  <c r="R931" i="15"/>
  <c r="R984" i="15"/>
  <c r="R1468" i="15"/>
  <c r="R1603" i="15"/>
  <c r="R1907" i="15"/>
  <c r="R784" i="15"/>
  <c r="R1752" i="15"/>
  <c r="R733" i="15"/>
  <c r="R857" i="15"/>
  <c r="R1164" i="15"/>
  <c r="R672" i="15"/>
  <c r="R832" i="15"/>
  <c r="R1766" i="15"/>
  <c r="R1291" i="15"/>
  <c r="R1985" i="15"/>
  <c r="R1687" i="15"/>
  <c r="R1481" i="15"/>
  <c r="R1290" i="15"/>
  <c r="R617" i="15"/>
  <c r="R997" i="15"/>
  <c r="R1733" i="15"/>
  <c r="R1811" i="15"/>
  <c r="R1329" i="15"/>
  <c r="R1769" i="15"/>
  <c r="R1209" i="15"/>
  <c r="R1948" i="15"/>
  <c r="R1599" i="15"/>
  <c r="R481" i="15"/>
  <c r="R1771" i="15"/>
  <c r="R1651" i="15"/>
  <c r="R1446" i="15"/>
  <c r="R964" i="15"/>
  <c r="R576" i="15"/>
  <c r="R1240" i="15"/>
  <c r="R1051" i="15"/>
  <c r="R571" i="15"/>
  <c r="R231" i="15"/>
  <c r="R658" i="15"/>
  <c r="R41" i="15"/>
  <c r="R1476" i="15"/>
  <c r="R108" i="15"/>
  <c r="R1631" i="15"/>
  <c r="R1317" i="15"/>
  <c r="R1540" i="15"/>
  <c r="R1685" i="15"/>
  <c r="R753" i="15"/>
  <c r="R15" i="15"/>
  <c r="R213" i="15"/>
  <c r="R282" i="15"/>
  <c r="R877" i="15"/>
  <c r="R574" i="15"/>
  <c r="R315" i="15"/>
  <c r="R1427" i="15"/>
  <c r="R1027" i="15"/>
  <c r="R1078" i="15"/>
  <c r="R408" i="15"/>
  <c r="R1506" i="15"/>
  <c r="R1510" i="15"/>
  <c r="R455" i="15"/>
  <c r="R1414" i="15"/>
  <c r="R595" i="15"/>
  <c r="R995" i="15"/>
  <c r="R1901" i="15"/>
  <c r="R1033" i="15"/>
  <c r="R1464" i="15"/>
  <c r="R833" i="15"/>
  <c r="R624" i="15"/>
  <c r="R1432" i="15"/>
  <c r="R304" i="15"/>
  <c r="R1168" i="15"/>
  <c r="R612" i="15"/>
  <c r="R480" i="15"/>
  <c r="R664" i="15"/>
  <c r="R1562" i="15"/>
  <c r="R1355" i="15"/>
  <c r="R1642" i="15"/>
  <c r="R1680" i="15"/>
  <c r="R1475" i="15"/>
  <c r="R1283" i="15"/>
  <c r="R1773" i="15"/>
  <c r="R681" i="15"/>
  <c r="R1877" i="15"/>
  <c r="R1790" i="15"/>
  <c r="R1893" i="15"/>
  <c r="R677" i="15"/>
  <c r="R861" i="15"/>
  <c r="R1889" i="15"/>
  <c r="R1900" i="15"/>
  <c r="R1934" i="15"/>
  <c r="R1565" i="15"/>
  <c r="R1828" i="15"/>
  <c r="R1129" i="15"/>
  <c r="R1613" i="15"/>
  <c r="R1764" i="15"/>
  <c r="R1596" i="15"/>
  <c r="R1250" i="15"/>
  <c r="R1332" i="15"/>
  <c r="R1420" i="15"/>
  <c r="R1228" i="15"/>
  <c r="R944" i="15"/>
  <c r="R774" i="15"/>
  <c r="R556" i="15"/>
  <c r="R148" i="15"/>
  <c r="R1647" i="15"/>
  <c r="R1242" i="15"/>
  <c r="R1044" i="15"/>
  <c r="R876" i="15"/>
  <c r="R564" i="15"/>
  <c r="R406" i="15"/>
  <c r="R225" i="15"/>
  <c r="R214" i="15"/>
  <c r="R1837" i="15"/>
  <c r="R602" i="15"/>
  <c r="R90" i="15"/>
  <c r="R536" i="15"/>
  <c r="R1132" i="15"/>
  <c r="R671" i="15"/>
  <c r="R428" i="15"/>
  <c r="R360" i="15"/>
  <c r="R985" i="15"/>
  <c r="R1546" i="15"/>
  <c r="R1171" i="15"/>
  <c r="R1973" i="15"/>
  <c r="R749" i="15"/>
  <c r="R403" i="15"/>
  <c r="R366" i="15"/>
  <c r="R845" i="15"/>
  <c r="R203" i="15"/>
  <c r="R1379" i="15"/>
  <c r="R122" i="15"/>
  <c r="R1163" i="15"/>
  <c r="R957" i="15"/>
  <c r="R1206" i="15"/>
  <c r="R820" i="15"/>
  <c r="R1794" i="15"/>
  <c r="R1634" i="15"/>
  <c r="R523" i="15"/>
  <c r="R863" i="15"/>
  <c r="R735" i="15"/>
  <c r="R1063" i="15"/>
  <c r="R1749" i="15"/>
  <c r="R1864" i="15"/>
  <c r="R1284" i="15"/>
  <c r="R320" i="15"/>
  <c r="R508" i="15"/>
  <c r="R1172" i="15"/>
  <c r="R184" i="15"/>
  <c r="R1008" i="15"/>
  <c r="R377" i="15"/>
  <c r="R1969" i="15"/>
  <c r="R592" i="15"/>
  <c r="R1482" i="15"/>
  <c r="R1423" i="15"/>
  <c r="R1994" i="15"/>
  <c r="R1638" i="15"/>
  <c r="R1469" i="15"/>
  <c r="R1270" i="15"/>
  <c r="R116" i="15"/>
  <c r="R1273" i="15"/>
  <c r="R1797" i="15"/>
  <c r="R1734" i="15"/>
  <c r="R1649" i="15"/>
  <c r="R1989" i="15"/>
  <c r="R165" i="15"/>
  <c r="R1909" i="15"/>
  <c r="R1836" i="15"/>
  <c r="R1927" i="15"/>
  <c r="R1559" i="15"/>
  <c r="R1807" i="15"/>
  <c r="R909" i="15"/>
  <c r="R1865" i="15"/>
  <c r="R1743" i="15"/>
  <c r="R1644" i="15"/>
  <c r="R572" i="15"/>
  <c r="R1152" i="15"/>
  <c r="R1356" i="15"/>
  <c r="R1177" i="15"/>
  <c r="R938" i="15"/>
  <c r="R767" i="15"/>
  <c r="R511" i="15"/>
  <c r="R123" i="15"/>
  <c r="R1632" i="15"/>
  <c r="R1223" i="15"/>
  <c r="R1031" i="15"/>
  <c r="R870" i="15"/>
  <c r="R551" i="15"/>
  <c r="R400" i="15"/>
  <c r="R188" i="15"/>
  <c r="R573" i="15"/>
  <c r="R369" i="15"/>
  <c r="R1002" i="15"/>
  <c r="R1178" i="15"/>
  <c r="R1306" i="15"/>
  <c r="R1302" i="15"/>
  <c r="R1818" i="15"/>
  <c r="R1180" i="15"/>
  <c r="R296" i="15"/>
  <c r="R1264" i="15"/>
  <c r="R1787" i="15"/>
  <c r="R1350" i="15"/>
  <c r="R700" i="15"/>
  <c r="R565" i="15"/>
  <c r="R781" i="15"/>
  <c r="R222" i="15"/>
  <c r="R1235" i="15"/>
  <c r="R460" i="15"/>
  <c r="R332" i="15"/>
  <c r="R1793" i="15"/>
  <c r="R441" i="15"/>
  <c r="R726" i="15"/>
  <c r="R77" i="15"/>
  <c r="R862" i="15"/>
  <c r="R1459" i="15"/>
  <c r="R358" i="15"/>
  <c r="R600" i="15"/>
  <c r="R16" i="15"/>
  <c r="R235" i="15"/>
  <c r="R907" i="15"/>
  <c r="R1871" i="15"/>
  <c r="R1300" i="15"/>
  <c r="R568" i="15"/>
  <c r="R787" i="15"/>
  <c r="R1339" i="15"/>
  <c r="R1413" i="15"/>
  <c r="R1343" i="15"/>
  <c r="R1672" i="15"/>
  <c r="R888" i="15"/>
  <c r="R1676" i="15"/>
  <c r="R120" i="15"/>
  <c r="R308" i="15"/>
  <c r="R1104" i="15"/>
  <c r="R1579" i="15"/>
  <c r="R496" i="15"/>
  <c r="R1682" i="15"/>
  <c r="R96" i="15"/>
  <c r="R1045" i="15"/>
  <c r="R1282" i="15"/>
  <c r="R1727" i="15"/>
  <c r="R1812" i="15"/>
  <c r="R1590" i="15"/>
  <c r="R1418" i="15"/>
  <c r="R1226" i="15"/>
  <c r="R1931" i="15"/>
  <c r="R657" i="15"/>
  <c r="R1944" i="15"/>
  <c r="R1013" i="15"/>
  <c r="R1801" i="15"/>
  <c r="R1781" i="15"/>
  <c r="R805" i="15"/>
  <c r="R1589" i="15"/>
  <c r="R1738" i="15"/>
  <c r="R1744" i="15"/>
  <c r="R1526" i="15"/>
  <c r="R1751" i="15"/>
  <c r="R669" i="15"/>
  <c r="R1960" i="15"/>
  <c r="R811" i="15"/>
  <c r="R1524" i="15"/>
  <c r="R1428" i="15"/>
  <c r="R1502" i="15"/>
  <c r="R1338" i="15"/>
  <c r="R1113" i="15"/>
  <c r="R900" i="15"/>
  <c r="R704" i="15"/>
  <c r="R430" i="15"/>
  <c r="R37" i="15"/>
  <c r="R1397" i="15"/>
  <c r="R1185" i="15"/>
  <c r="R1000" i="15"/>
  <c r="R808" i="15"/>
  <c r="R519" i="15"/>
  <c r="R375" i="15"/>
  <c r="R156" i="15"/>
  <c r="R386" i="15"/>
  <c r="R1415" i="15"/>
  <c r="R1318" i="15"/>
  <c r="R887" i="15"/>
  <c r="R424" i="15"/>
  <c r="R1626" i="15"/>
  <c r="R966" i="15"/>
  <c r="R500" i="15"/>
  <c r="R26" i="15"/>
  <c r="R208" i="15"/>
  <c r="R1377" i="15"/>
  <c r="R1594" i="15"/>
  <c r="R1289" i="15"/>
  <c r="R529" i="15"/>
  <c r="R1207" i="15"/>
  <c r="R95" i="15"/>
  <c r="R734" i="15"/>
  <c r="R859" i="15"/>
  <c r="R209" i="15"/>
  <c r="R254" i="15"/>
  <c r="R1570" i="15"/>
  <c r="R577" i="15"/>
  <c r="R1035" i="15"/>
  <c r="R204" i="15"/>
  <c r="R799" i="15"/>
  <c r="R904" i="15"/>
  <c r="R1257" i="15"/>
  <c r="R1666" i="15"/>
  <c r="R842" i="15"/>
  <c r="R1534" i="15"/>
  <c r="R1128" i="15"/>
  <c r="R532" i="15"/>
  <c r="R1116" i="15"/>
  <c r="R1804" i="15"/>
  <c r="R252" i="15"/>
  <c r="R1012" i="15"/>
  <c r="R1495" i="15"/>
  <c r="R1885" i="15"/>
  <c r="R1512" i="15"/>
  <c r="R36" i="15"/>
  <c r="R352" i="15"/>
  <c r="R1370" i="15"/>
  <c r="R340" i="15"/>
  <c r="R1763" i="15"/>
  <c r="R1576" i="15"/>
  <c r="R1380" i="15"/>
  <c r="R1213" i="15"/>
  <c r="R1924" i="15"/>
  <c r="R1201" i="15"/>
  <c r="R1910" i="15"/>
  <c r="R673" i="15"/>
  <c r="R129" i="15"/>
  <c r="R1285" i="15"/>
  <c r="R961" i="15"/>
  <c r="R1878" i="15"/>
  <c r="R1724" i="15"/>
  <c r="R1710" i="15"/>
  <c r="R1968" i="15"/>
  <c r="R1730" i="15"/>
  <c r="R1753" i="15"/>
  <c r="R1926" i="15"/>
  <c r="R804" i="15"/>
  <c r="R1518" i="15"/>
  <c r="R1489" i="15"/>
  <c r="R1094" i="15"/>
  <c r="R698" i="15"/>
  <c r="R1384" i="15"/>
  <c r="R1166" i="15"/>
  <c r="R782" i="15"/>
  <c r="R362" i="15"/>
  <c r="R1463" i="15"/>
  <c r="R1800" i="15"/>
  <c r="R761" i="15"/>
  <c r="R1737" i="15"/>
  <c r="R273" i="15"/>
  <c r="R63" i="15"/>
  <c r="R1545" i="15"/>
  <c r="R521" i="15"/>
  <c r="R982" i="15"/>
  <c r="R199" i="15"/>
  <c r="R23" i="15"/>
  <c r="R134" i="15"/>
  <c r="R454" i="15"/>
  <c r="R1375" i="15"/>
  <c r="R416" i="15"/>
  <c r="R919" i="15"/>
  <c r="R1312" i="15"/>
  <c r="R1553" i="15"/>
  <c r="R21" i="15"/>
  <c r="R910" i="15"/>
  <c r="R1850" i="15"/>
  <c r="R1048" i="15"/>
  <c r="R448" i="15"/>
  <c r="R1024" i="15"/>
  <c r="R1176" i="15"/>
  <c r="R192" i="15"/>
  <c r="R688" i="15"/>
  <c r="R1690" i="15"/>
  <c r="R1914" i="15"/>
  <c r="R1368" i="15"/>
  <c r="R1639" i="15"/>
  <c r="R220" i="15"/>
  <c r="R1434" i="15"/>
  <c r="R744" i="15"/>
  <c r="R1756" i="15"/>
  <c r="R1538" i="15"/>
  <c r="R1354" i="15"/>
  <c r="R955" i="15"/>
  <c r="R1896" i="15"/>
  <c r="R757" i="15"/>
  <c r="R1903" i="15"/>
  <c r="R1253" i="15"/>
  <c r="R813" i="15"/>
  <c r="R1997" i="15"/>
  <c r="R1721" i="15"/>
  <c r="R1795" i="15"/>
  <c r="R1620" i="15"/>
  <c r="R1703" i="15"/>
  <c r="R1954" i="15"/>
  <c r="R1723" i="15"/>
  <c r="R1321" i="15"/>
  <c r="R1919" i="15"/>
  <c r="R732" i="15"/>
  <c r="R1492" i="15"/>
  <c r="R1409" i="15"/>
  <c r="R1483" i="15"/>
  <c r="R1272" i="15"/>
  <c r="R1075" i="15"/>
  <c r="R856" i="15"/>
  <c r="R691" i="15"/>
  <c r="R367" i="15"/>
  <c r="R1612" i="15"/>
  <c r="R1358" i="15"/>
  <c r="R1147" i="15"/>
  <c r="R959" i="15"/>
  <c r="R756" i="15"/>
  <c r="R475" i="15"/>
  <c r="R350" i="15"/>
  <c r="R19" i="15"/>
  <c r="R29" i="15"/>
  <c r="R295" i="15"/>
  <c r="R1648" i="15"/>
  <c r="R580" i="15"/>
  <c r="R1254" i="15"/>
  <c r="R627" i="15"/>
  <c r="R1102" i="15"/>
  <c r="R256" i="15"/>
  <c r="R1120" i="15"/>
  <c r="R1897" i="15"/>
  <c r="R1720" i="15"/>
  <c r="R389" i="15"/>
  <c r="R505" i="15"/>
  <c r="R382" i="15"/>
  <c r="R541" i="15"/>
  <c r="R1421" i="15"/>
  <c r="R1310" i="15"/>
  <c r="R1707" i="15"/>
  <c r="R1222" i="15"/>
  <c r="R806" i="15"/>
  <c r="R662" i="15"/>
  <c r="R364" i="15"/>
  <c r="R562" i="15"/>
  <c r="R1439" i="15"/>
  <c r="R468" i="15"/>
  <c r="R979" i="15"/>
  <c r="R414" i="15"/>
  <c r="R906" i="15"/>
  <c r="R640" i="15"/>
  <c r="R1050" i="15"/>
  <c r="R1679" i="15"/>
  <c r="R644" i="15"/>
  <c r="R392" i="15"/>
  <c r="R792" i="15"/>
  <c r="R853" i="15"/>
  <c r="R1591" i="15"/>
  <c r="R504" i="15"/>
  <c r="R1396" i="15"/>
  <c r="R297" i="15"/>
  <c r="R57" i="15"/>
  <c r="R1324" i="15"/>
  <c r="R160" i="15"/>
  <c r="R943" i="15"/>
  <c r="R1072" i="15"/>
  <c r="R1742" i="15"/>
  <c r="R1525" i="15"/>
  <c r="R1348" i="15"/>
  <c r="R936" i="15"/>
  <c r="R1826" i="15"/>
  <c r="R621" i="15"/>
  <c r="R1888" i="15"/>
  <c r="R653" i="15"/>
  <c r="R1049" i="15"/>
  <c r="R1965" i="15"/>
  <c r="R1389" i="15"/>
  <c r="R1650" i="15"/>
  <c r="R1041" i="15"/>
  <c r="R1662" i="15"/>
  <c r="R1884" i="15"/>
  <c r="R1716" i="15"/>
  <c r="R1745" i="15"/>
  <c r="R1891" i="15"/>
  <c r="R720" i="15"/>
  <c r="R1486" i="15"/>
  <c r="R1600" i="15"/>
  <c r="R1477" i="15"/>
  <c r="R1266" i="15"/>
  <c r="R1011" i="15"/>
  <c r="R850" i="15"/>
  <c r="R678" i="15"/>
  <c r="R330" i="15"/>
  <c r="R1584" i="15"/>
  <c r="R1313" i="15"/>
  <c r="R1140" i="15"/>
  <c r="R952" i="15"/>
  <c r="R666" i="15"/>
  <c r="R469" i="15"/>
  <c r="R344" i="15"/>
  <c r="R12" i="15"/>
  <c r="R1578" i="15"/>
  <c r="R921" i="15"/>
  <c r="R463" i="15"/>
  <c r="R1996" i="15"/>
  <c r="R1913" i="15"/>
  <c r="R1528" i="15"/>
  <c r="R838" i="15"/>
  <c r="R1294" i="15"/>
  <c r="R647" i="15"/>
  <c r="R991" i="15"/>
  <c r="R868" i="15"/>
  <c r="R1986" i="15"/>
  <c r="R1920" i="15"/>
  <c r="R926" i="15"/>
  <c r="R693" i="15"/>
  <c r="R696" i="15"/>
  <c r="R278" i="15"/>
  <c r="R1174" i="15"/>
  <c r="R659" i="15"/>
  <c r="R682" i="15"/>
  <c r="R1667" i="15"/>
  <c r="R379" i="15"/>
  <c r="R1345" i="15"/>
  <c r="R1646" i="15"/>
  <c r="R1144" i="15"/>
  <c r="R1195" i="15"/>
  <c r="R474" i="15"/>
  <c r="R986" i="15"/>
  <c r="R1912" i="15"/>
  <c r="R1114" i="15"/>
  <c r="R276" i="15"/>
  <c r="R560" i="15"/>
  <c r="R324" i="15"/>
  <c r="R628" i="15"/>
  <c r="R1564" i="15"/>
  <c r="R1499" i="15"/>
  <c r="R569" i="15"/>
  <c r="R1248" i="15"/>
  <c r="R1516" i="15"/>
  <c r="R1084" i="15"/>
  <c r="R1053" i="15"/>
  <c r="R88" i="15"/>
  <c r="R1015" i="15"/>
  <c r="R705" i="15"/>
  <c r="R1735" i="15"/>
  <c r="R1519" i="15"/>
  <c r="R1342" i="15"/>
  <c r="R898" i="15"/>
  <c r="R1819" i="15"/>
  <c r="R1869" i="15"/>
  <c r="R1874" i="15"/>
  <c r="R1705" i="15"/>
  <c r="R1425" i="15"/>
  <c r="R1573" i="15"/>
  <c r="R793" i="15"/>
  <c r="R1081" i="15"/>
  <c r="R1637" i="15"/>
  <c r="R1655" i="15"/>
  <c r="R1870" i="15"/>
  <c r="R1675" i="15"/>
  <c r="R1609" i="15"/>
  <c r="R1876" i="15"/>
  <c r="R708" i="15"/>
  <c r="R1480" i="15"/>
  <c r="R1572" i="15"/>
  <c r="R1471" i="15"/>
  <c r="R1260" i="15"/>
  <c r="R1005" i="15"/>
  <c r="R844" i="15"/>
  <c r="R639" i="15"/>
  <c r="R318" i="15"/>
  <c r="R1307" i="15"/>
  <c r="R1108" i="15"/>
  <c r="R660" i="15"/>
  <c r="R66" i="15"/>
  <c r="R1863" i="15"/>
  <c r="R1392" i="15"/>
  <c r="R978" i="15"/>
  <c r="R1571" i="15"/>
  <c r="R444" i="15"/>
  <c r="R791" i="15"/>
  <c r="R1995" i="15"/>
  <c r="R1958" i="15"/>
  <c r="R1785" i="15"/>
  <c r="R117" i="15"/>
  <c r="R443" i="15"/>
  <c r="R291" i="15"/>
  <c r="R1777" i="15"/>
  <c r="R1202" i="15"/>
  <c r="R713" i="15"/>
  <c r="R104" i="15"/>
  <c r="R309" i="15"/>
  <c r="R1783" i="15"/>
  <c r="R54" i="15"/>
  <c r="R1500" i="15"/>
  <c r="R127" i="15"/>
  <c r="R642" i="15"/>
  <c r="R427" i="15"/>
  <c r="R179" i="15"/>
  <c r="R509" i="15"/>
  <c r="R618" i="15"/>
  <c r="R103" i="15"/>
  <c r="R290" i="15"/>
  <c r="R1210" i="15"/>
  <c r="R398" i="15"/>
  <c r="R1241" i="15"/>
  <c r="R1229" i="15"/>
  <c r="R583" i="15"/>
  <c r="R1098" i="15"/>
  <c r="R1395" i="15"/>
  <c r="R34" i="15"/>
  <c r="R729" i="15"/>
  <c r="R438" i="15"/>
  <c r="R1118" i="15"/>
  <c r="R219" i="15"/>
  <c r="R606" i="15"/>
  <c r="R1351" i="15"/>
  <c r="R115" i="15"/>
  <c r="R1182" i="15"/>
  <c r="R605" i="15"/>
  <c r="R1122" i="15"/>
  <c r="R381" i="15"/>
  <c r="R754" i="15"/>
  <c r="R14" i="15"/>
  <c r="R515" i="15"/>
  <c r="R636" i="15"/>
  <c r="R187" i="15"/>
  <c r="R945" i="15"/>
  <c r="R483" i="15"/>
  <c r="R158" i="15"/>
  <c r="R271" i="15"/>
  <c r="R257" i="15"/>
  <c r="R601" i="15"/>
  <c r="R685" i="15"/>
  <c r="R1037" i="15"/>
  <c r="R885" i="15"/>
  <c r="R993" i="15"/>
  <c r="R1181" i="15"/>
  <c r="R1281" i="15"/>
  <c r="R1761" i="15"/>
  <c r="R1597" i="15"/>
  <c r="R1381" i="15"/>
  <c r="R5" i="15"/>
  <c r="R1065" i="15"/>
  <c r="R858" i="15"/>
  <c r="R405" i="15"/>
  <c r="R1861" i="15"/>
  <c r="R1325" i="15"/>
  <c r="R822" i="15"/>
  <c r="R1988" i="15"/>
  <c r="R1976" i="15"/>
  <c r="R1964" i="15"/>
  <c r="R1952" i="15"/>
  <c r="R1940" i="15"/>
  <c r="R1928" i="15"/>
  <c r="R1916" i="15"/>
  <c r="R1904" i="15"/>
  <c r="R1892" i="15"/>
  <c r="R1880" i="15"/>
  <c r="R1868" i="15"/>
  <c r="R1856" i="15"/>
  <c r="R1844" i="15"/>
  <c r="R1832" i="15"/>
  <c r="R1820" i="15"/>
  <c r="R1808" i="15"/>
  <c r="R1796" i="15"/>
  <c r="R1784" i="15"/>
  <c r="R1772" i="15"/>
  <c r="R1760" i="15"/>
  <c r="R1748" i="15"/>
  <c r="R1736" i="15"/>
  <c r="R1712" i="15"/>
  <c r="R1700" i="15"/>
  <c r="R1688" i="15"/>
  <c r="R1664" i="15"/>
  <c r="R1652" i="15"/>
  <c r="R1640" i="15"/>
  <c r="R1628" i="15"/>
  <c r="R1616" i="15"/>
  <c r="R1604" i="15"/>
  <c r="R1592" i="15"/>
  <c r="R1580" i="15"/>
  <c r="R1568" i="15"/>
  <c r="R1556" i="15"/>
  <c r="R1544" i="15"/>
  <c r="R1532" i="15"/>
  <c r="R1520" i="15"/>
  <c r="R1508" i="15"/>
  <c r="R1496" i="15"/>
  <c r="R1484" i="15"/>
  <c r="R1472" i="15"/>
  <c r="R1460" i="15"/>
  <c r="R1448" i="15"/>
  <c r="R1436" i="15"/>
  <c r="R1424" i="15"/>
  <c r="R1412" i="15"/>
  <c r="R1400" i="15"/>
  <c r="R1388" i="15"/>
  <c r="R1364" i="15"/>
  <c r="R1352" i="15"/>
  <c r="R1340" i="15"/>
  <c r="R1328" i="15"/>
  <c r="R1316" i="15"/>
  <c r="R1304" i="15"/>
  <c r="R1292" i="15"/>
  <c r="R1268" i="15"/>
  <c r="R810" i="15"/>
  <c r="R167" i="15"/>
  <c r="R839" i="15"/>
  <c r="R471" i="15"/>
  <c r="R306" i="15"/>
  <c r="R1722" i="15"/>
  <c r="R51" i="15"/>
  <c r="R1277" i="15"/>
  <c r="R35" i="15"/>
  <c r="R676" i="15"/>
  <c r="R410" i="15"/>
  <c r="R383" i="15"/>
  <c r="R947" i="15"/>
  <c r="R46" i="15"/>
  <c r="R10" i="15"/>
  <c r="R1149" i="15"/>
  <c r="R544" i="15"/>
  <c r="R321" i="15"/>
  <c r="R1030" i="15"/>
  <c r="R1490" i="15"/>
  <c r="R1533" i="15"/>
  <c r="R702" i="15"/>
  <c r="R1322" i="15"/>
  <c r="R923" i="15"/>
  <c r="R49" i="15"/>
  <c r="R259" i="15"/>
  <c r="R173" i="15"/>
  <c r="R786" i="15"/>
  <c r="R284" i="15"/>
  <c r="R423" i="15"/>
  <c r="R1105" i="15"/>
  <c r="R609" i="15"/>
  <c r="R516" i="15"/>
  <c r="R751" i="15"/>
  <c r="R1406" i="15"/>
  <c r="R190" i="15"/>
  <c r="R835" i="15"/>
  <c r="R266" i="15"/>
  <c r="R1550" i="15"/>
  <c r="R201" i="15"/>
  <c r="R695" i="15"/>
  <c r="R1799" i="15"/>
  <c r="R347" i="15"/>
  <c r="R466" i="15"/>
  <c r="R42" i="15"/>
  <c r="R513" i="15"/>
  <c r="R365" i="15"/>
  <c r="R245" i="15"/>
  <c r="R769" i="15"/>
  <c r="R1429" i="15"/>
  <c r="R741" i="15"/>
  <c r="R1957" i="15"/>
  <c r="R1493" i="15"/>
  <c r="R1681" i="15"/>
  <c r="R1717" i="15"/>
  <c r="R1701" i="15"/>
  <c r="R1357" i="15"/>
  <c r="R1007" i="15"/>
  <c r="R750" i="15"/>
  <c r="R283" i="15"/>
  <c r="R446" i="15"/>
  <c r="R453" i="15"/>
  <c r="R1946" i="15"/>
  <c r="R138" i="15"/>
  <c r="R1387" i="15"/>
  <c r="R302" i="15"/>
  <c r="R1150" i="15"/>
  <c r="R869" i="15"/>
  <c r="R84" i="15"/>
  <c r="R1157" i="15"/>
  <c r="R121" i="15"/>
  <c r="R139" i="15"/>
  <c r="R502" i="15"/>
  <c r="R205" i="15"/>
  <c r="R6" i="15"/>
  <c r="R1082" i="15"/>
  <c r="R1770" i="15"/>
  <c r="R890" i="15"/>
  <c r="R762" i="15"/>
  <c r="R1055" i="15"/>
  <c r="R161" i="15"/>
  <c r="R327" i="15"/>
  <c r="R265" i="15"/>
  <c r="R914" i="15"/>
  <c r="R988" i="15"/>
  <c r="R547" i="15"/>
  <c r="R1239" i="15"/>
  <c r="R335" i="15"/>
  <c r="R650" i="15"/>
  <c r="R630" i="15"/>
  <c r="R1279" i="15"/>
  <c r="R102" i="15"/>
  <c r="R1070" i="15"/>
  <c r="R186" i="15"/>
  <c r="R827" i="15"/>
  <c r="R45" i="15"/>
  <c r="R1017" i="15"/>
  <c r="R1036" i="15"/>
  <c r="R378" i="15"/>
  <c r="R491" i="15"/>
  <c r="R1337" i="15"/>
  <c r="R393" i="15"/>
  <c r="R413" i="15"/>
  <c r="R553" i="15"/>
  <c r="R925" i="15"/>
  <c r="R1137" i="15"/>
  <c r="R773" i="15"/>
  <c r="R1225" i="15"/>
  <c r="R1417" i="15"/>
  <c r="R1713" i="15"/>
  <c r="R1333" i="15"/>
  <c r="R1817" i="15"/>
  <c r="R1373" i="15"/>
  <c r="R2" i="15"/>
  <c r="R680" i="15"/>
  <c r="R473" i="15"/>
  <c r="R462" i="15"/>
  <c r="R395" i="15"/>
  <c r="R236" i="15"/>
  <c r="R435" i="15"/>
  <c r="R47" i="15"/>
  <c r="R1298" i="15"/>
  <c r="R933" i="15"/>
  <c r="R333" i="15"/>
  <c r="R1488" i="15"/>
  <c r="R58" i="15"/>
  <c r="R1618" i="15"/>
  <c r="R130" i="15"/>
  <c r="R1330" i="15"/>
  <c r="R243" i="15"/>
  <c r="R272" i="15"/>
  <c r="R611" i="15"/>
  <c r="R140" i="15"/>
  <c r="R109" i="15"/>
  <c r="R558" i="15"/>
  <c r="R354" i="15"/>
  <c r="R182" i="15"/>
  <c r="R1146" i="15"/>
  <c r="R849" i="15"/>
  <c r="R958" i="15"/>
  <c r="R507" i="15"/>
  <c r="R1401" i="15"/>
  <c r="R1199" i="15"/>
  <c r="R461" i="15"/>
  <c r="R633" i="15"/>
  <c r="R465" i="15"/>
  <c r="R998" i="15"/>
  <c r="R31" i="15"/>
  <c r="R1449" i="15"/>
  <c r="R1806" i="15"/>
  <c r="R223" i="15"/>
  <c r="R1022" i="15"/>
  <c r="R825" i="15"/>
  <c r="R875" i="15"/>
  <c r="R18" i="15"/>
  <c r="R1453" i="15"/>
  <c r="R98" i="15"/>
  <c r="R1062" i="15"/>
  <c r="R75" i="15"/>
  <c r="R279" i="15"/>
  <c r="R717" i="15"/>
  <c r="R1987" i="15"/>
  <c r="R522" i="15"/>
  <c r="R1151" i="15"/>
  <c r="R449" i="15"/>
  <c r="R585" i="15"/>
  <c r="R485" i="15"/>
  <c r="R973" i="15"/>
  <c r="R1153" i="15"/>
  <c r="R977" i="15"/>
  <c r="R1085" i="15"/>
  <c r="R1509" i="15"/>
  <c r="R1729" i="15"/>
  <c r="R1849" i="15"/>
  <c r="R1941" i="15"/>
  <c r="R9" i="15"/>
  <c r="R1205" i="15"/>
  <c r="R1111" i="15"/>
  <c r="R563" i="15"/>
  <c r="R686" i="15"/>
  <c r="R248" i="15"/>
  <c r="R472" i="15"/>
  <c r="R1214" i="15"/>
  <c r="R830" i="15"/>
  <c r="R150" i="15"/>
  <c r="R794" i="15"/>
  <c r="R25" i="15"/>
  <c r="R1169" i="15"/>
  <c r="R1549" i="15"/>
  <c r="R1121" i="15"/>
  <c r="R667" i="15"/>
  <c r="R1983" i="15"/>
  <c r="R1971" i="15"/>
  <c r="R1959" i="15"/>
  <c r="R1947" i="15"/>
  <c r="R1935" i="15"/>
  <c r="R1923" i="15"/>
  <c r="R1911" i="15"/>
  <c r="R1899" i="15"/>
  <c r="R1887" i="15"/>
  <c r="R1875" i="15"/>
  <c r="R1851" i="15"/>
  <c r="R1839" i="15"/>
  <c r="R1827" i="15"/>
  <c r="R1815" i="15"/>
  <c r="R1803" i="15"/>
  <c r="R1791" i="15"/>
  <c r="R1779" i="15"/>
  <c r="R1767" i="15"/>
  <c r="R1755" i="15"/>
  <c r="R1731" i="15"/>
  <c r="R1719" i="15"/>
  <c r="R1695" i="15"/>
  <c r="R1683" i="15"/>
  <c r="R1671" i="15"/>
  <c r="R1659" i="15"/>
  <c r="R1635" i="15"/>
  <c r="R1623" i="15"/>
  <c r="R1611" i="15"/>
  <c r="R1587" i="15"/>
  <c r="R1575" i="15"/>
  <c r="R1563" i="15"/>
  <c r="R1551" i="15"/>
  <c r="R1539" i="15"/>
  <c r="R1527" i="15"/>
  <c r="R1515" i="15"/>
  <c r="R1503" i="15"/>
  <c r="R1491" i="15"/>
  <c r="R1479" i="15"/>
  <c r="R1467" i="15"/>
  <c r="R1455" i="15"/>
  <c r="R1443" i="15"/>
  <c r="R1431" i="15"/>
  <c r="R1419" i="15"/>
  <c r="R1407" i="15"/>
  <c r="R1371" i="15"/>
  <c r="R1359" i="15"/>
  <c r="R1347" i="15"/>
  <c r="R1335" i="15"/>
  <c r="R1311" i="15"/>
  <c r="R1299" i="15"/>
  <c r="R1287" i="15"/>
  <c r="R1275" i="15"/>
  <c r="R1263" i="15"/>
  <c r="R1251" i="15"/>
  <c r="R1227" i="15"/>
  <c r="R1215" i="15"/>
  <c r="R1203" i="15"/>
  <c r="R1179" i="15"/>
  <c r="R1167" i="15"/>
  <c r="R1155" i="15"/>
  <c r="R1143" i="15"/>
  <c r="R1131" i="15"/>
  <c r="R1119" i="15"/>
  <c r="R1107" i="15"/>
  <c r="R1074" i="15"/>
  <c r="R267" i="15"/>
  <c r="R91" i="15"/>
  <c r="R1269" i="15"/>
  <c r="R603" i="15"/>
  <c r="R1286" i="15"/>
  <c r="R145" i="15"/>
  <c r="R1939" i="15"/>
  <c r="R429" i="15"/>
  <c r="R976" i="15"/>
  <c r="R402" i="15"/>
  <c r="R540" i="15"/>
  <c r="R286" i="15"/>
  <c r="R742" i="15"/>
  <c r="R684" i="15"/>
  <c r="R567" i="15"/>
  <c r="R1458" i="15"/>
  <c r="R634" i="15"/>
  <c r="R1462" i="15"/>
  <c r="R775" i="15"/>
  <c r="R1042" i="15"/>
  <c r="R60" i="15"/>
  <c r="R146" i="15"/>
  <c r="R1029" i="15"/>
  <c r="R3" i="15"/>
  <c r="R1362" i="15"/>
  <c r="R817" i="15"/>
  <c r="R930" i="15"/>
  <c r="R779" i="15"/>
  <c r="R110" i="15"/>
  <c r="R1444" i="15"/>
  <c r="R22" i="15"/>
  <c r="R539" i="15"/>
  <c r="R548" i="15"/>
  <c r="R1089" i="15"/>
  <c r="R73" i="15"/>
  <c r="R1021" i="15"/>
  <c r="R1507" i="15"/>
  <c r="R342" i="15"/>
  <c r="R391" i="15"/>
  <c r="R1430" i="15"/>
  <c r="R328" i="15"/>
  <c r="R581" i="15"/>
  <c r="R893" i="15"/>
  <c r="R905" i="15"/>
  <c r="R69" i="15"/>
  <c r="R293" i="15"/>
  <c r="R801" i="15"/>
  <c r="R1821" i="15"/>
  <c r="R809" i="15"/>
  <c r="R1873" i="15"/>
  <c r="R13" i="15"/>
  <c r="R89" i="15"/>
  <c r="R1621" i="15"/>
  <c r="R967" i="15"/>
  <c r="R873" i="15"/>
  <c r="R746" i="15"/>
  <c r="R421" i="15"/>
  <c r="R268" i="15"/>
  <c r="R288" i="15"/>
  <c r="R374" i="15"/>
  <c r="R591" i="15"/>
  <c r="R690" i="15"/>
  <c r="R846" i="15"/>
  <c r="R1077" i="15"/>
  <c r="R1134" i="15"/>
  <c r="R238" i="15"/>
  <c r="R355" i="15"/>
  <c r="R486" i="15"/>
  <c r="R495" i="15"/>
  <c r="R270" i="15"/>
  <c r="R376" i="15"/>
  <c r="R638" i="15"/>
  <c r="R770" i="15"/>
  <c r="R918" i="15"/>
  <c r="R357" i="15"/>
  <c r="R368" i="15"/>
  <c r="R437" i="15"/>
  <c r="R552" i="15"/>
  <c r="R727" i="15"/>
  <c r="R1173" i="15"/>
  <c r="R232" i="15"/>
  <c r="R251" i="15"/>
  <c r="R262" i="15"/>
  <c r="R407" i="15"/>
  <c r="R418" i="15"/>
  <c r="R458" i="15"/>
  <c r="R479" i="15"/>
  <c r="R489" i="15"/>
  <c r="R498" i="15"/>
  <c r="R629" i="15"/>
  <c r="R739" i="15"/>
  <c r="R294" i="15"/>
  <c r="R370" i="15"/>
  <c r="R450" i="15"/>
  <c r="R641" i="15"/>
  <c r="R785" i="15"/>
  <c r="R1073" i="15"/>
  <c r="R1365" i="15"/>
  <c r="R380" i="15"/>
  <c r="R420" i="15"/>
  <c r="R555" i="15"/>
  <c r="R1437" i="15"/>
  <c r="R244" i="15"/>
  <c r="R275" i="15"/>
  <c r="R401" i="15"/>
  <c r="R431" i="15"/>
  <c r="R492" i="15"/>
  <c r="R546" i="15"/>
  <c r="R623" i="15"/>
  <c r="R654" i="15"/>
  <c r="R709" i="15"/>
  <c r="R798" i="15"/>
  <c r="R1485" i="15"/>
  <c r="R425" i="15"/>
  <c r="R941" i="15"/>
  <c r="R452" i="15"/>
  <c r="R1014" i="15"/>
  <c r="R159" i="15"/>
  <c r="R478" i="15"/>
  <c r="R467" i="15"/>
  <c r="R142" i="15"/>
  <c r="R1189" i="15"/>
  <c r="R488" i="15"/>
  <c r="R1278" i="15"/>
  <c r="R133" i="15"/>
  <c r="R1130" i="15"/>
  <c r="R339" i="15"/>
  <c r="R198" i="15"/>
  <c r="R39" i="15"/>
  <c r="R559" i="15"/>
  <c r="R261" i="15"/>
  <c r="R643" i="15"/>
  <c r="R847" i="15"/>
  <c r="R758" i="15"/>
  <c r="R851" i="15"/>
  <c r="R1233" i="15"/>
  <c r="R1106" i="15"/>
  <c r="R588" i="15"/>
  <c r="R202" i="15"/>
  <c r="R334" i="15"/>
  <c r="R71" i="15"/>
  <c r="R823" i="15"/>
  <c r="R929" i="15"/>
  <c r="R1006" i="15"/>
  <c r="R587" i="15"/>
  <c r="R579" i="15"/>
  <c r="R1674" i="15"/>
  <c r="R81" i="15"/>
  <c r="R766" i="15"/>
  <c r="R1067" i="15"/>
  <c r="R777" i="15"/>
  <c r="R323" i="15"/>
  <c r="R725" i="15"/>
  <c r="R1862" i="15"/>
  <c r="R197" i="15"/>
  <c r="R326" i="15"/>
  <c r="R59" i="15"/>
  <c r="R477" i="15"/>
  <c r="R697" i="15"/>
  <c r="R1097" i="15"/>
  <c r="R953" i="15"/>
  <c r="R501" i="15"/>
  <c r="R125" i="15"/>
  <c r="R1069" i="15"/>
  <c r="R1689" i="15"/>
  <c r="R1061" i="15"/>
  <c r="R1933" i="15"/>
  <c r="R1569" i="15"/>
  <c r="R1661" i="15"/>
  <c r="R1890" i="15"/>
  <c r="R570" i="15"/>
  <c r="R526" i="15"/>
  <c r="R345" i="15"/>
  <c r="R300" i="15"/>
  <c r="R242" i="15"/>
  <c r="R1142" i="15"/>
  <c r="R837" i="15"/>
  <c r="R396" i="15"/>
  <c r="R874" i="15"/>
  <c r="R55" i="15"/>
  <c r="R619" i="15"/>
  <c r="R426" i="15"/>
  <c r="R240" i="15"/>
  <c r="R451" i="15"/>
  <c r="R599" i="15"/>
  <c r="R866" i="15"/>
  <c r="R144" i="15"/>
  <c r="R1252" i="15"/>
  <c r="R239" i="15"/>
  <c r="R30" i="15"/>
  <c r="R163" i="15"/>
  <c r="R631" i="15"/>
  <c r="R316" i="15"/>
  <c r="R1221" i="15"/>
  <c r="R911" i="15"/>
  <c r="R503" i="15"/>
  <c r="R975" i="15"/>
  <c r="R1541" i="15"/>
  <c r="R1158" i="15"/>
  <c r="R912" i="15"/>
  <c r="R258" i="15"/>
  <c r="R317" i="15"/>
  <c r="R207" i="15"/>
  <c r="R935" i="15"/>
  <c r="R1101" i="15"/>
  <c r="R1066" i="15"/>
  <c r="R415" i="15"/>
  <c r="R247" i="15"/>
  <c r="R1932" i="15"/>
  <c r="R622" i="15"/>
  <c r="R1093" i="15"/>
  <c r="R1194" i="15"/>
  <c r="R549" i="15"/>
  <c r="R442" i="15"/>
  <c r="R299" i="15"/>
  <c r="R348" i="15"/>
  <c r="R33" i="15"/>
  <c r="R329" i="15"/>
  <c r="R191" i="15"/>
  <c r="R78" i="15"/>
  <c r="R745" i="15"/>
  <c r="R1445" i="15"/>
  <c r="R969" i="15"/>
  <c r="R533" i="15"/>
  <c r="R157" i="15"/>
  <c r="R1217" i="15"/>
  <c r="R1369" i="15"/>
  <c r="R1109" i="15"/>
  <c r="R1961" i="15"/>
  <c r="R1601" i="15"/>
  <c r="R1693" i="15"/>
  <c r="R1953" i="15"/>
  <c r="R593" i="15"/>
  <c r="R514" i="15"/>
  <c r="R701" i="15"/>
  <c r="R152" i="15"/>
  <c r="R136" i="15"/>
  <c r="R322" i="15"/>
  <c r="R1034" i="15"/>
  <c r="R901" i="15"/>
  <c r="R353" i="15"/>
  <c r="R674" i="15"/>
  <c r="R105" i="15"/>
  <c r="R1165" i="15"/>
  <c r="R311" i="15"/>
  <c r="R1394" i="15"/>
  <c r="R119" i="15"/>
  <c r="R97" i="15"/>
  <c r="R227" i="15"/>
  <c r="R755" i="15"/>
  <c r="R287" i="15"/>
  <c r="R1349" i="15"/>
  <c r="R1039" i="15"/>
  <c r="R655" i="15"/>
  <c r="R1043" i="15"/>
  <c r="R894" i="15"/>
  <c r="R1326" i="15"/>
  <c r="R1780" i="15"/>
  <c r="R310" i="15"/>
  <c r="R171" i="15"/>
  <c r="R263" i="15"/>
  <c r="R1139" i="15"/>
  <c r="R434" i="15"/>
  <c r="R1190" i="15"/>
  <c r="R646" i="15"/>
  <c r="R215" i="15"/>
  <c r="R748" i="15"/>
  <c r="R772" i="15"/>
  <c r="R797" i="15"/>
  <c r="R1494" i="15"/>
  <c r="R303" i="15"/>
  <c r="R338" i="15"/>
  <c r="R79" i="15"/>
  <c r="R1470" i="15"/>
  <c r="R43" i="15"/>
  <c r="R183" i="15"/>
  <c r="R234" i="15"/>
  <c r="R497" i="15"/>
  <c r="R285" i="15"/>
  <c r="R949" i="15"/>
  <c r="R1145" i="15"/>
  <c r="R1001" i="15"/>
  <c r="R789" i="15"/>
  <c r="R221" i="15"/>
  <c r="R1789" i="15"/>
  <c r="R1197" i="15"/>
  <c r="R1141" i="15"/>
  <c r="R1393" i="15"/>
  <c r="R1617" i="15"/>
  <c r="R1709" i="15"/>
  <c r="R1854" i="15"/>
  <c r="R456" i="15"/>
  <c r="R230" i="15"/>
  <c r="R1758" i="15"/>
  <c r="R24" i="15"/>
  <c r="R154" i="15"/>
  <c r="R1188" i="15"/>
  <c r="R665" i="15"/>
  <c r="R447" i="15"/>
  <c r="R422" i="15"/>
  <c r="R517" i="15"/>
  <c r="R615" i="15"/>
  <c r="R707" i="15"/>
  <c r="R1980" i="15"/>
  <c r="R7" i="15"/>
  <c r="R543" i="15"/>
  <c r="R689" i="15"/>
  <c r="R1193" i="15"/>
  <c r="R652" i="15"/>
  <c r="R814" i="15"/>
  <c r="R1183" i="15"/>
  <c r="R719" i="15"/>
  <c r="R1187" i="15"/>
  <c r="R970" i="15"/>
  <c r="R1402" i="15"/>
  <c r="R28" i="15"/>
  <c r="R67" i="15"/>
  <c r="R356" i="15"/>
  <c r="R637" i="15"/>
  <c r="R8" i="15"/>
  <c r="R490" i="15"/>
  <c r="R72" i="15"/>
  <c r="R510" i="15"/>
  <c r="R233" i="15"/>
  <c r="R1295" i="15"/>
  <c r="R990" i="15"/>
  <c r="R589" i="15"/>
  <c r="R1660" i="15"/>
  <c r="R195" i="15"/>
  <c r="R372" i="15"/>
  <c r="R346" i="15"/>
  <c r="R1159" i="15"/>
  <c r="R53" i="15"/>
  <c r="R164" i="15"/>
  <c r="R298" i="15"/>
  <c r="R528" i="15"/>
  <c r="R193" i="15"/>
  <c r="R965" i="15"/>
  <c r="R1161" i="15"/>
  <c r="R561" i="15"/>
  <c r="R821" i="15"/>
  <c r="R269" i="15"/>
  <c r="R1641" i="15"/>
  <c r="R1577" i="15"/>
  <c r="R1501" i="15"/>
  <c r="R1625" i="15"/>
  <c r="R1249" i="15"/>
  <c r="R1725" i="15"/>
  <c r="R940" i="15"/>
  <c r="R626" i="15"/>
  <c r="R557" i="15"/>
  <c r="R388" i="15"/>
  <c r="R331" i="15"/>
  <c r="R1582" i="15"/>
  <c r="R1091" i="15"/>
  <c r="R48" i="15"/>
  <c r="R1367" i="15"/>
  <c r="R371" i="15"/>
  <c r="R983" i="15"/>
  <c r="R649" i="15"/>
  <c r="R128" i="15"/>
  <c r="R439" i="15"/>
  <c r="R1531" i="15"/>
  <c r="R210" i="15"/>
  <c r="R111" i="15"/>
  <c r="R829" i="15"/>
  <c r="R1341" i="15"/>
  <c r="R113" i="15"/>
  <c r="R886" i="15"/>
  <c r="R1319" i="15"/>
  <c r="R1255" i="15"/>
  <c r="R803" i="15"/>
  <c r="R99" i="15"/>
  <c r="R135" i="15"/>
  <c r="R765" i="15"/>
  <c r="R1686" i="15"/>
  <c r="R228" i="15"/>
  <c r="R390" i="15"/>
  <c r="R229" i="15"/>
  <c r="R899" i="15"/>
  <c r="R1099" i="15"/>
  <c r="R211" i="15"/>
  <c r="R1855" i="15"/>
  <c r="R83" i="15"/>
  <c r="R535" i="15"/>
  <c r="R246" i="15"/>
  <c r="R1010" i="15"/>
  <c r="R1054" i="15"/>
  <c r="R166" i="15"/>
  <c r="R359" i="15"/>
  <c r="R683" i="15"/>
  <c r="R981" i="15"/>
  <c r="R1237" i="15"/>
  <c r="R737" i="15"/>
  <c r="R537" i="15"/>
  <c r="R1245" i="15"/>
  <c r="R1593" i="15"/>
  <c r="R1805" i="15"/>
  <c r="R1653" i="15"/>
  <c r="R1741" i="15"/>
  <c r="R834" i="15"/>
  <c r="R590" i="15"/>
  <c r="R319" i="15"/>
  <c r="R1256" i="15"/>
  <c r="R1244" i="15"/>
  <c r="R1232" i="15"/>
  <c r="R1220" i="15"/>
  <c r="R1208" i="15"/>
  <c r="R1196" i="15"/>
  <c r="R1184" i="15"/>
  <c r="R1160" i="15"/>
  <c r="R1148" i="15"/>
  <c r="R1136" i="15"/>
  <c r="R1124" i="15"/>
  <c r="R1112" i="15"/>
  <c r="R1100" i="15"/>
  <c r="R1088" i="15"/>
  <c r="R1076" i="15"/>
  <c r="R1064" i="15"/>
  <c r="R1052" i="15"/>
  <c r="R1040" i="15"/>
  <c r="R1028" i="15"/>
  <c r="R1016" i="15"/>
  <c r="R1004" i="15"/>
  <c r="R992" i="15"/>
  <c r="R980" i="15"/>
  <c r="R968" i="15"/>
  <c r="R956" i="15"/>
  <c r="R932" i="15"/>
  <c r="R920" i="15"/>
  <c r="R896" i="15"/>
  <c r="R884" i="15"/>
  <c r="R872" i="15"/>
  <c r="R848" i="15"/>
  <c r="R836" i="15"/>
  <c r="R824" i="15"/>
  <c r="R812" i="15"/>
  <c r="R800" i="15"/>
  <c r="R788" i="15"/>
  <c r="R776" i="15"/>
  <c r="R764" i="15"/>
  <c r="R752" i="15"/>
  <c r="R740" i="15"/>
  <c r="R728" i="15"/>
  <c r="R716" i="15"/>
  <c r="R692" i="15"/>
  <c r="R668" i="15"/>
  <c r="R656" i="15"/>
  <c r="R632" i="15"/>
  <c r="R620" i="15"/>
  <c r="R608" i="15"/>
  <c r="R596" i="15"/>
  <c r="R578" i="15"/>
  <c r="R566" i="15"/>
  <c r="R554" i="15"/>
  <c r="R542" i="15"/>
  <c r="R518" i="15"/>
  <c r="R506" i="15"/>
  <c r="R494" i="15"/>
  <c r="R482" i="15"/>
  <c r="R470" i="15"/>
  <c r="R457" i="15"/>
  <c r="R445" i="15"/>
  <c r="R433" i="15"/>
  <c r="R409" i="15"/>
  <c r="R397" i="15"/>
  <c r="R385" i="15"/>
  <c r="R373" i="15"/>
  <c r="R361" i="15"/>
  <c r="R349" i="15"/>
  <c r="R337" i="15"/>
  <c r="R325" i="15"/>
  <c r="R313" i="15"/>
  <c r="R301" i="15"/>
  <c r="R289" i="15"/>
  <c r="R277" i="15"/>
  <c r="R253" i="15"/>
  <c r="R241" i="15"/>
  <c r="R93" i="15"/>
  <c r="R189" i="15"/>
  <c r="R176" i="15"/>
  <c r="R170" i="15"/>
  <c r="R126" i="15"/>
  <c r="R82" i="15"/>
  <c r="R76" i="15"/>
  <c r="R70" i="15"/>
  <c r="R27" i="15"/>
  <c r="R20" i="15"/>
  <c r="R1963" i="15"/>
  <c r="R1915" i="15"/>
  <c r="R1879" i="15"/>
  <c r="R1831" i="15"/>
  <c r="R1747" i="15"/>
  <c r="R1711" i="15"/>
  <c r="R1699" i="15"/>
  <c r="R1663" i="15"/>
  <c r="R1615" i="15"/>
  <c r="R1567" i="15"/>
  <c r="R1555" i="15"/>
  <c r="R1435" i="15"/>
  <c r="R1411" i="15"/>
  <c r="R1399" i="15"/>
  <c r="R1327" i="15"/>
  <c r="R1315" i="15"/>
  <c r="R1243" i="15"/>
  <c r="R1219" i="15"/>
  <c r="R1123" i="15"/>
  <c r="R1003" i="15"/>
  <c r="R883" i="15"/>
  <c r="R871" i="15"/>
  <c r="R763" i="15"/>
  <c r="R715" i="15"/>
  <c r="R703" i="15"/>
  <c r="R607" i="15"/>
  <c r="R1998" i="15"/>
  <c r="R1962" i="15"/>
  <c r="R1950" i="15"/>
  <c r="R1902" i="15"/>
  <c r="R1866" i="15"/>
  <c r="R1830" i="15"/>
  <c r="R1782" i="15"/>
  <c r="R1746" i="15"/>
  <c r="R1698" i="15"/>
  <c r="R1614" i="15"/>
  <c r="R1602" i="15"/>
  <c r="R1566" i="15"/>
  <c r="R1542" i="15"/>
  <c r="R1530" i="15"/>
  <c r="R1422" i="15"/>
  <c r="R1410" i="15"/>
  <c r="R1398" i="15"/>
  <c r="R1386" i="15"/>
  <c r="R1314" i="15"/>
  <c r="R1230" i="15"/>
  <c r="R1218" i="15"/>
  <c r="R1086" i="15"/>
  <c r="R1038" i="15"/>
  <c r="R1026" i="15"/>
  <c r="R942" i="15"/>
  <c r="R1925" i="15"/>
  <c r="R1853" i="15"/>
  <c r="R1841" i="15"/>
  <c r="R1697" i="15"/>
  <c r="R1673" i="15"/>
  <c r="R1529" i="15"/>
  <c r="R1517" i="15"/>
  <c r="R1385" i="15"/>
  <c r="R1301" i="15"/>
  <c r="R218" i="15"/>
  <c r="R212" i="15"/>
  <c r="R206" i="15"/>
  <c r="R200" i="15"/>
  <c r="R194" i="15"/>
  <c r="R181" i="15"/>
  <c r="R162" i="15"/>
  <c r="R149" i="15"/>
  <c r="R143" i="15"/>
  <c r="R137" i="15"/>
  <c r="R131" i="15"/>
  <c r="R124" i="15"/>
  <c r="R118" i="15"/>
  <c r="R112" i="15"/>
  <c r="R106" i="15"/>
  <c r="R100" i="15"/>
  <c r="R94" i="15"/>
  <c r="R87" i="15"/>
  <c r="R68" i="15"/>
  <c r="R62" i="15"/>
  <c r="R56" i="15"/>
  <c r="R50" i="15"/>
  <c r="R44" i="15"/>
  <c r="R38" i="15"/>
  <c r="R32" i="15"/>
  <c r="R1984" i="15"/>
  <c r="R1936" i="15"/>
  <c r="R1852" i="15"/>
  <c r="R1816" i="15"/>
  <c r="R1768" i="15"/>
  <c r="R1732" i="15"/>
  <c r="R1708" i="15"/>
  <c r="R1684" i="15"/>
  <c r="R1636" i="15"/>
  <c r="R1588" i="15"/>
  <c r="R1504" i="15"/>
  <c r="R1360" i="15"/>
  <c r="R1288" i="15"/>
  <c r="R1276" i="15"/>
  <c r="R1192" i="15"/>
  <c r="R1156" i="15"/>
  <c r="R1096" i="15"/>
  <c r="R1060" i="15"/>
  <c r="R928" i="15"/>
  <c r="R796" i="15"/>
  <c r="R736" i="15"/>
  <c r="R724" i="15"/>
  <c r="R712" i="15"/>
  <c r="R616" i="15"/>
  <c r="R604" i="15"/>
  <c r="R550" i="15"/>
  <c r="R538" i="15"/>
  <c r="R224" i="15"/>
  <c r="R174" i="15"/>
  <c r="R168" i="15"/>
  <c r="R80" i="15"/>
  <c r="R74" i="15"/>
  <c r="R11" i="15"/>
  <c r="R4" i="15"/>
  <c r="R1095" i="15"/>
  <c r="R1071" i="15"/>
  <c r="R1059" i="15"/>
  <c r="R1047" i="15"/>
  <c r="R1023" i="15"/>
  <c r="R999" i="15"/>
  <c r="R987" i="15"/>
  <c r="R963" i="15"/>
  <c r="R951" i="15"/>
  <c r="R939" i="15"/>
  <c r="R927" i="15"/>
  <c r="R915" i="15"/>
  <c r="R903" i="15"/>
  <c r="R891" i="15"/>
  <c r="R879" i="15"/>
  <c r="R867" i="15"/>
  <c r="R855" i="15"/>
  <c r="R843" i="15"/>
  <c r="R831" i="15"/>
  <c r="R819" i="15"/>
  <c r="R807" i="15"/>
  <c r="R795" i="15"/>
  <c r="R783" i="15"/>
  <c r="R771" i="15"/>
  <c r="R759" i="15"/>
  <c r="R747" i="15"/>
  <c r="R723" i="15"/>
  <c r="R711" i="15"/>
  <c r="R699" i="15"/>
  <c r="R687" i="15"/>
  <c r="R675" i="15"/>
  <c r="R663" i="15"/>
  <c r="R651" i="15"/>
  <c r="R1970" i="15"/>
  <c r="R1922" i="15"/>
  <c r="R1886" i="15"/>
  <c r="R1838" i="15"/>
  <c r="R1814" i="15"/>
  <c r="R1802" i="15"/>
  <c r="R1754" i="15"/>
  <c r="R1718" i="15"/>
  <c r="R1706" i="15"/>
  <c r="R1670" i="15"/>
  <c r="R1658" i="15"/>
  <c r="R1622" i="15"/>
  <c r="R1574" i="15"/>
  <c r="R1454" i="15"/>
  <c r="R1442" i="15"/>
  <c r="R1346" i="15"/>
  <c r="R1334" i="15"/>
  <c r="R1262" i="15"/>
  <c r="R1238" i="15"/>
  <c r="R1154" i="15"/>
  <c r="R1058" i="15"/>
  <c r="R974" i="15"/>
  <c r="R962" i="15"/>
  <c r="R902" i="15"/>
  <c r="R818" i="15"/>
  <c r="R512" i="15"/>
  <c r="R476" i="15"/>
  <c r="R464" i="15"/>
  <c r="R307" i="15"/>
  <c r="R584" i="15"/>
  <c r="R1993" i="15"/>
  <c r="R1981" i="15"/>
  <c r="R1945" i="15"/>
  <c r="R1813" i="15"/>
  <c r="R1561" i="15"/>
  <c r="R1441" i="15"/>
  <c r="R1405" i="15"/>
  <c r="R1309" i="15"/>
  <c r="R1117" i="15"/>
  <c r="R1009" i="15"/>
  <c r="R889" i="15"/>
  <c r="R865" i="15"/>
  <c r="R721" i="15"/>
  <c r="R661" i="15"/>
  <c r="R613" i="15"/>
  <c r="R499" i="15"/>
  <c r="R487" i="15"/>
  <c r="R594" i="15"/>
  <c r="R1992" i="15"/>
  <c r="R1956" i="15"/>
  <c r="R1908" i="15"/>
  <c r="R1872" i="15"/>
  <c r="R1824" i="15"/>
  <c r="R1788" i="15"/>
  <c r="R1740" i="15"/>
  <c r="R1704" i="15"/>
  <c r="R1692" i="15"/>
  <c r="R1656" i="15"/>
  <c r="R1608" i="15"/>
  <c r="R1560" i="15"/>
  <c r="R1548" i="15"/>
  <c r="R1536" i="15"/>
  <c r="R1416" i="15"/>
  <c r="R1404" i="15"/>
  <c r="R1320" i="15"/>
  <c r="R1308" i="15"/>
  <c r="R1296" i="15"/>
  <c r="R1236" i="15"/>
  <c r="R1224" i="15"/>
  <c r="R1200" i="15"/>
  <c r="R1092" i="15"/>
  <c r="R1032" i="15"/>
  <c r="R1020" i="15"/>
  <c r="R960" i="15"/>
  <c r="R948" i="15"/>
  <c r="R924" i="15"/>
  <c r="R852" i="15"/>
  <c r="R840" i="15"/>
  <c r="R828" i="15"/>
  <c r="R816" i="15"/>
  <c r="R1991" i="15"/>
  <c r="R1979" i="15"/>
  <c r="R1967" i="15"/>
  <c r="R1955" i="15"/>
  <c r="R1943" i="15"/>
  <c r="R1895" i="15"/>
  <c r="R1883" i="15"/>
  <c r="R1859" i="15"/>
  <c r="R1823" i="15"/>
  <c r="R1775" i="15"/>
  <c r="R1739" i="15"/>
  <c r="R1715" i="15"/>
  <c r="R1691" i="15"/>
  <c r="R1643" i="15"/>
  <c r="R1619" i="15"/>
  <c r="R1607" i="15"/>
  <c r="R1595" i="15"/>
  <c r="R1583" i="15"/>
  <c r="R1535" i="15"/>
  <c r="R1523" i="15"/>
  <c r="R1511" i="15"/>
  <c r="R1391" i="15"/>
  <c r="R1211" i="15"/>
  <c r="R1175" i="15"/>
  <c r="R1127" i="15"/>
  <c r="R1115" i="15"/>
  <c r="R1103" i="15"/>
  <c r="R1079" i="15"/>
  <c r="R743" i="15"/>
  <c r="R635" i="15"/>
  <c r="R1990" i="15"/>
  <c r="R1978" i="15"/>
  <c r="R1966" i="15"/>
  <c r="R1942" i="15"/>
  <c r="R1930" i="15"/>
  <c r="R1918" i="15"/>
  <c r="R1906" i="15"/>
  <c r="R1894" i="15"/>
  <c r="R1882" i="15"/>
  <c r="R1858" i="15"/>
  <c r="R1846" i="15"/>
  <c r="R1834" i="15"/>
  <c r="R1810" i="15"/>
  <c r="R1798" i="15"/>
  <c r="R1774" i="15"/>
  <c r="R1762" i="15"/>
  <c r="R1750" i="15"/>
  <c r="R1726" i="15"/>
  <c r="R1714" i="15"/>
  <c r="R1678" i="15"/>
  <c r="R1522" i="15"/>
  <c r="R1498" i="15"/>
  <c r="R1474" i="15"/>
  <c r="R1438" i="15"/>
  <c r="R1426" i="15"/>
  <c r="R1378" i="15"/>
  <c r="R1366" i="15"/>
  <c r="R1198" i="15"/>
  <c r="R1186" i="15"/>
  <c r="R1126" i="15"/>
  <c r="R1090" i="15"/>
  <c r="R994" i="15"/>
  <c r="R946" i="15"/>
  <c r="R934" i="15"/>
  <c r="R922" i="15"/>
  <c r="R802" i="15"/>
  <c r="R730" i="15"/>
  <c r="R718" i="15"/>
  <c r="R706" i="15"/>
  <c r="R694" i="15"/>
  <c r="R670" i="15"/>
  <c r="R610" i="15"/>
  <c r="R598" i="15"/>
  <c r="R520" i="15"/>
  <c r="R411" i="15"/>
  <c r="R363" i="15"/>
  <c r="R351" i="15"/>
  <c r="R255" i="15"/>
  <c r="R1977" i="15"/>
  <c r="R1917" i="15"/>
  <c r="R1905" i="15"/>
  <c r="R1857" i="15"/>
  <c r="R1845" i="15"/>
  <c r="R1833" i="15"/>
  <c r="R1809" i="15"/>
  <c r="R1581" i="15"/>
  <c r="R1497" i="15"/>
  <c r="R1473" i="15"/>
  <c r="R493" i="15"/>
  <c r="R399" i="15"/>
  <c r="R250" i="15"/>
  <c r="R249" i="15"/>
  <c r="B29" i="16"/>
  <c r="E6" i="16"/>
  <c r="D33" i="16"/>
  <c r="D10" i="16"/>
  <c r="R459" i="15"/>
  <c r="C4" i="16"/>
  <c r="C46" i="16"/>
  <c r="B20" i="16"/>
  <c r="B8" i="16"/>
  <c r="R343" i="15"/>
  <c r="Y355" i="15"/>
  <c r="Z355" i="15" s="1"/>
  <c r="V15" i="5"/>
  <c r="E15" i="5" s="1"/>
  <c r="C26" i="16"/>
  <c r="R23" i="5"/>
  <c r="C23" i="5" s="1"/>
  <c r="E34" i="16"/>
  <c r="D35" i="16"/>
  <c r="D37" i="16"/>
  <c r="E14" i="16"/>
  <c r="T36" i="5"/>
  <c r="D36" i="5" s="1"/>
  <c r="D29" i="16"/>
  <c r="E8" i="16"/>
  <c r="T51" i="5"/>
  <c r="D51" i="5" s="1"/>
  <c r="E32" i="16"/>
  <c r="D46" i="16"/>
  <c r="Y258" i="15"/>
  <c r="Z258" i="15" s="1"/>
  <c r="V50" i="5"/>
  <c r="E50" i="5" s="1"/>
  <c r="R52" i="5"/>
  <c r="C52" i="5" s="1"/>
  <c r="V45" i="5"/>
  <c r="E45" i="5" s="1"/>
  <c r="C24" i="16"/>
  <c r="R32" i="5"/>
  <c r="C32" i="5" s="1"/>
  <c r="D24" i="16"/>
  <c r="T32" i="5"/>
  <c r="D32" i="5" s="1"/>
  <c r="Y236" i="15"/>
  <c r="Z236" i="15" s="1"/>
  <c r="R226" i="15"/>
  <c r="Y717" i="15"/>
  <c r="Z717" i="15" s="1"/>
  <c r="Y414" i="15"/>
  <c r="Z414" i="15" s="1"/>
  <c r="Y46" i="15"/>
  <c r="Z46" i="15" s="1"/>
  <c r="B19" i="16"/>
  <c r="Y1233" i="15"/>
  <c r="Z1233" i="15" s="1"/>
  <c r="Y509" i="15"/>
  <c r="Z509" i="15" s="1"/>
  <c r="Y562" i="15"/>
  <c r="Z562" i="15" s="1"/>
  <c r="E23" i="16"/>
  <c r="V31" i="5"/>
  <c r="E31" i="5" s="1"/>
  <c r="D23" i="16"/>
  <c r="T31" i="5"/>
  <c r="D31" i="5" s="1"/>
  <c r="R18" i="5"/>
  <c r="C18" i="5" s="1"/>
  <c r="C35" i="16"/>
  <c r="R22" i="5"/>
  <c r="C22" i="5" s="1"/>
  <c r="C30" i="16"/>
  <c r="V20" i="5"/>
  <c r="E20" i="5" s="1"/>
  <c r="R47" i="5"/>
  <c r="C47" i="5" s="1"/>
  <c r="R37" i="5"/>
  <c r="C37" i="5" s="1"/>
  <c r="C33" i="16"/>
  <c r="R48" i="5"/>
  <c r="C48" i="5" s="1"/>
  <c r="E44" i="16"/>
  <c r="V18" i="5"/>
  <c r="E18" i="5" s="1"/>
  <c r="C32" i="16"/>
  <c r="R51" i="5"/>
  <c r="C51" i="5" s="1"/>
  <c r="T20" i="5"/>
  <c r="D20" i="5" s="1"/>
  <c r="C41" i="16"/>
  <c r="T52" i="5"/>
  <c r="D52" i="5" s="1"/>
  <c r="T35" i="5"/>
  <c r="D35" i="5" s="1"/>
  <c r="C42" i="16"/>
  <c r="V19" i="5"/>
  <c r="E19" i="5" s="1"/>
  <c r="E3" i="16"/>
  <c r="C23" i="16"/>
  <c r="T49" i="5"/>
  <c r="D49" i="5" s="1"/>
  <c r="Y850" i="15"/>
  <c r="Z850" i="15" s="1"/>
  <c r="Y155" i="15"/>
  <c r="Z155" i="15" s="1"/>
  <c r="C13" i="16"/>
  <c r="T46" i="5"/>
  <c r="D46" i="5" s="1"/>
  <c r="T40" i="5"/>
  <c r="D40" i="5" s="1"/>
  <c r="Y583" i="15"/>
  <c r="Z583" i="15" s="1"/>
  <c r="E13" i="16"/>
  <c r="V43" i="5"/>
  <c r="E43" i="5" s="1"/>
  <c r="E29" i="16"/>
  <c r="T33" i="5"/>
  <c r="D33" i="5" s="1"/>
  <c r="D34" i="16"/>
  <c r="V34" i="5"/>
  <c r="E34" i="5" s="1"/>
  <c r="Y292" i="15"/>
  <c r="Z292" i="15" s="1"/>
  <c r="E41" i="16"/>
  <c r="T16" i="5"/>
  <c r="D16" i="5" s="1"/>
  <c r="Y208" i="15"/>
  <c r="Z208" i="15" s="1"/>
  <c r="Y1497" i="15"/>
  <c r="Z1497" i="15" s="1"/>
  <c r="Y1506" i="15"/>
  <c r="Z1506" i="15" s="1"/>
  <c r="Y450" i="15"/>
  <c r="Z450" i="15" s="1"/>
  <c r="Y656" i="15"/>
  <c r="Z656" i="15" s="1"/>
  <c r="Y141" i="15"/>
  <c r="Z141" i="15" s="1"/>
  <c r="Y1086" i="15"/>
  <c r="Z1086" i="15" s="1"/>
  <c r="Y131" i="15"/>
  <c r="Z131" i="15" s="1"/>
  <c r="Y91" i="15"/>
  <c r="Z91" i="15" s="1"/>
  <c r="Y606" i="15"/>
  <c r="Z606" i="15" s="1"/>
  <c r="Y195" i="15"/>
  <c r="Z195" i="15" s="1"/>
  <c r="Y1026" i="15"/>
  <c r="Z1026" i="15" s="1"/>
  <c r="Y133" i="15"/>
  <c r="Z133" i="15" s="1"/>
  <c r="Y1582" i="15"/>
  <c r="Z1582" i="15" s="1"/>
  <c r="Y441" i="15"/>
  <c r="Z441" i="15" s="1"/>
  <c r="Y227" i="15"/>
  <c r="Z227" i="15" s="1"/>
  <c r="Y1196" i="15"/>
  <c r="Z1196" i="15" s="1"/>
  <c r="Y1194" i="15"/>
  <c r="Z1194" i="15" s="1"/>
  <c r="Y1088" i="15"/>
  <c r="Z1088" i="15" s="1"/>
  <c r="Y375" i="15"/>
  <c r="Z375" i="15" s="1"/>
  <c r="Y382" i="15"/>
  <c r="Z382" i="15" s="1"/>
  <c r="Y693" i="15"/>
  <c r="Z693" i="15" s="1"/>
  <c r="Y76" i="15"/>
  <c r="Z76" i="15" s="1"/>
  <c r="Y295" i="15"/>
  <c r="Z295" i="15" s="1"/>
  <c r="Y149" i="15"/>
  <c r="Z149" i="15" s="1"/>
  <c r="Y644" i="15"/>
  <c r="Z644" i="15" s="1"/>
  <c r="Y703" i="15"/>
  <c r="Z703" i="15" s="1"/>
  <c r="Y1162" i="15"/>
  <c r="Z1162" i="15" s="1"/>
  <c r="Y1515" i="15"/>
  <c r="Z1515" i="15" s="1"/>
  <c r="Y1330" i="15"/>
  <c r="Z1330" i="15" s="1"/>
  <c r="Y1198" i="15"/>
  <c r="Z1198" i="15" s="1"/>
  <c r="Y1238" i="15"/>
  <c r="Z1238" i="15" s="1"/>
  <c r="Y73" i="15"/>
  <c r="Z73" i="15" s="1"/>
  <c r="Y1239" i="15"/>
  <c r="Z1239" i="15" s="1"/>
  <c r="Y1165" i="15"/>
  <c r="Z1165" i="15" s="1"/>
  <c r="Y768" i="15"/>
  <c r="Z768" i="15" s="1"/>
  <c r="Y1556" i="15"/>
  <c r="Z1556" i="15" s="1"/>
  <c r="Y926" i="15"/>
  <c r="Z926" i="15" s="1"/>
  <c r="Y808" i="15"/>
  <c r="Z808" i="15" s="1"/>
  <c r="Y166" i="15"/>
  <c r="Z166" i="15" s="1"/>
  <c r="Y482" i="15"/>
  <c r="Z482" i="15" s="1"/>
  <c r="Y1323" i="15"/>
  <c r="Z1323" i="15" s="1"/>
  <c r="Y1342" i="15"/>
  <c r="Z1342" i="15" s="1"/>
  <c r="Y531" i="15"/>
  <c r="Z531" i="15" s="1"/>
  <c r="Y819" i="15"/>
  <c r="Z819" i="15" s="1"/>
  <c r="Y380" i="15"/>
  <c r="Z380" i="15" s="1"/>
  <c r="Y139" i="15"/>
  <c r="Z139" i="15" s="1"/>
  <c r="Y489" i="15"/>
  <c r="Z489" i="15" s="1"/>
  <c r="Y1344" i="15"/>
  <c r="Z1344" i="15" s="1"/>
  <c r="Y1277" i="15"/>
  <c r="Z1277" i="15" s="1"/>
  <c r="Y261" i="15"/>
  <c r="Z261" i="15" s="1"/>
  <c r="Y1460" i="15"/>
  <c r="Z1460" i="15" s="1"/>
  <c r="Y1558" i="15"/>
  <c r="Z1558" i="15" s="1"/>
  <c r="R27" i="5"/>
  <c r="C27" i="5" s="1"/>
  <c r="C19" i="16"/>
  <c r="Y112" i="15"/>
  <c r="Z112" i="15" s="1"/>
  <c r="E21" i="16"/>
  <c r="V29" i="5"/>
  <c r="E29" i="5" s="1"/>
  <c r="Y249" i="15"/>
  <c r="Z249" i="15" s="1"/>
  <c r="Y1251" i="15"/>
  <c r="Z1251" i="15" s="1"/>
  <c r="Y749" i="15"/>
  <c r="Z749" i="15" s="1"/>
  <c r="Y9" i="15"/>
  <c r="Z9" i="15" s="1"/>
  <c r="Y105" i="15"/>
  <c r="Z105" i="15" s="1"/>
  <c r="Y1476" i="15"/>
  <c r="Z1476" i="15" s="1"/>
  <c r="Y1350" i="15"/>
  <c r="Z1350" i="15" s="1"/>
  <c r="Y889" i="15"/>
  <c r="Z889" i="15" s="1"/>
  <c r="Y712" i="15"/>
  <c r="Z712" i="15" s="1"/>
  <c r="Y1583" i="15"/>
  <c r="Z1583" i="15" s="1"/>
  <c r="Y134" i="15"/>
  <c r="Z134" i="15" s="1"/>
  <c r="Y613" i="15"/>
  <c r="Z613" i="15" s="1"/>
  <c r="Y1482" i="15"/>
  <c r="Z1482" i="15" s="1"/>
  <c r="Y286" i="15"/>
  <c r="Z286" i="15" s="1"/>
  <c r="Y87" i="15"/>
  <c r="Z87" i="15" s="1"/>
  <c r="Y356" i="15"/>
  <c r="Z356" i="15" s="1"/>
  <c r="Y119" i="15"/>
  <c r="Z119" i="15" s="1"/>
  <c r="Y3" i="15"/>
  <c r="Z3" i="15" s="1"/>
  <c r="Y71" i="15"/>
  <c r="Z71" i="15" s="1"/>
  <c r="Y317" i="15"/>
  <c r="Z317" i="15" s="1"/>
  <c r="Y535" i="15"/>
  <c r="Z535" i="15" s="1"/>
  <c r="Y102" i="15"/>
  <c r="Z102" i="15" s="1"/>
  <c r="Y587" i="15"/>
  <c r="Z587" i="15" s="1"/>
  <c r="Y41" i="15"/>
  <c r="Z41" i="15" s="1"/>
  <c r="Y31" i="15"/>
  <c r="Z31" i="15" s="1"/>
  <c r="Y1159" i="15"/>
  <c r="Z1159" i="15" s="1"/>
  <c r="Y544" i="15"/>
  <c r="Z544" i="15" s="1"/>
  <c r="Y100" i="15"/>
  <c r="Z100" i="15" s="1"/>
  <c r="Y716" i="15"/>
  <c r="Z716" i="15" s="1"/>
  <c r="Y410" i="15"/>
  <c r="Z410" i="15" s="1"/>
  <c r="Y949" i="15"/>
  <c r="Z949" i="15" s="1"/>
  <c r="Y223" i="15"/>
  <c r="Z223" i="15" s="1"/>
  <c r="Y197" i="15"/>
  <c r="Z197" i="15" s="1"/>
  <c r="Y1182" i="15"/>
  <c r="Z1182" i="15" s="1"/>
  <c r="Y935" i="15"/>
  <c r="Z935" i="15" s="1"/>
  <c r="Y397" i="15"/>
  <c r="Z397" i="15" s="1"/>
  <c r="Y914" i="15"/>
  <c r="Z914" i="15" s="1"/>
  <c r="Y1543" i="15"/>
  <c r="Z1543" i="15" s="1"/>
  <c r="Y447" i="15"/>
  <c r="Z447" i="15" s="1"/>
  <c r="Y89" i="15"/>
  <c r="Z89" i="15" s="1"/>
  <c r="Y607" i="15"/>
  <c r="Z607" i="15" s="1"/>
  <c r="Y185" i="15"/>
  <c r="Z185" i="15" s="1"/>
  <c r="Y967" i="15"/>
  <c r="Z967" i="15" s="1"/>
  <c r="Y1444" i="15"/>
  <c r="Z1444" i="15" s="1"/>
  <c r="Y1292" i="15"/>
  <c r="Z1292" i="15" s="1"/>
  <c r="Y1044" i="15"/>
  <c r="Z1044" i="15" s="1"/>
  <c r="Y438" i="15"/>
  <c r="Z438" i="15" s="1"/>
  <c r="Y116" i="15"/>
  <c r="Z116" i="15" s="1"/>
  <c r="Y615" i="15"/>
  <c r="Z615" i="15" s="1"/>
  <c r="Y879" i="15"/>
  <c r="Z879" i="15" s="1"/>
  <c r="Y366" i="15"/>
  <c r="Z366" i="15" s="1"/>
  <c r="Y427" i="15"/>
  <c r="Z427" i="15" s="1"/>
  <c r="Y1085" i="15"/>
  <c r="Z1085" i="15" s="1"/>
  <c r="Y68" i="15"/>
  <c r="Z68" i="15" s="1"/>
  <c r="Y82" i="15"/>
  <c r="Z82" i="15" s="1"/>
  <c r="Y645" i="15"/>
  <c r="Z645" i="15" s="1"/>
  <c r="Y539" i="15"/>
  <c r="Z539" i="15" s="1"/>
  <c r="Y290" i="15"/>
  <c r="Z290" i="15" s="1"/>
  <c r="Y1221" i="15"/>
  <c r="Z1221" i="15" s="1"/>
  <c r="Y214" i="15"/>
  <c r="Z214" i="15" s="1"/>
  <c r="Y216" i="15"/>
  <c r="Z216" i="15" s="1"/>
  <c r="Y487" i="15"/>
  <c r="Z487" i="15" s="1"/>
  <c r="Y322" i="15"/>
  <c r="Z322" i="15" s="1"/>
  <c r="Y37" i="15"/>
  <c r="Z37" i="15" s="1"/>
  <c r="Y1289" i="15"/>
  <c r="Z1289" i="15" s="1"/>
  <c r="Y212" i="15"/>
  <c r="Z212" i="15" s="1"/>
  <c r="Y488" i="15"/>
  <c r="Z488" i="15" s="1"/>
  <c r="Y365" i="15"/>
  <c r="Z365" i="15" s="1"/>
  <c r="Y186" i="15"/>
  <c r="Z186" i="15" s="1"/>
  <c r="Y1155" i="15"/>
  <c r="Z1155" i="15" s="1"/>
  <c r="Y1024" i="15"/>
  <c r="Z1024" i="15" s="1"/>
  <c r="Y1572" i="15"/>
  <c r="Z1572" i="15" s="1"/>
  <c r="Y1373" i="15"/>
  <c r="Z1373" i="15" s="1"/>
  <c r="Y117" i="15"/>
  <c r="Z117" i="15" s="1"/>
  <c r="Y25" i="15"/>
  <c r="Z25" i="15" s="1"/>
  <c r="Y1035" i="15"/>
  <c r="Z1035" i="15" s="1"/>
  <c r="Y1382" i="15"/>
  <c r="Z1382" i="15" s="1"/>
  <c r="Y1006" i="15"/>
  <c r="Z1006" i="15" s="1"/>
  <c r="Y1501" i="15"/>
  <c r="Z1501" i="15" s="1"/>
  <c r="Y1115" i="15"/>
  <c r="Z1115" i="15" s="1"/>
  <c r="Y734" i="15"/>
  <c r="Z734" i="15" s="1"/>
  <c r="Y769" i="15"/>
  <c r="Z769" i="15" s="1"/>
  <c r="Y1431" i="15"/>
  <c r="Z1431" i="15" s="1"/>
  <c r="Y795" i="15"/>
  <c r="Z795" i="15" s="1"/>
  <c r="Y820" i="15"/>
  <c r="Z820" i="15" s="1"/>
  <c r="Y772" i="15"/>
  <c r="Z772" i="15" s="1"/>
  <c r="Y593" i="15"/>
  <c r="Z593" i="15" s="1"/>
  <c r="Y300" i="15"/>
  <c r="Z300" i="15" s="1"/>
  <c r="Y537" i="15"/>
  <c r="Z537" i="15" s="1"/>
  <c r="Y528" i="15"/>
  <c r="Z528" i="15" s="1"/>
  <c r="Y1011" i="15"/>
  <c r="Z1011" i="15" s="1"/>
  <c r="Y237" i="15"/>
  <c r="Z237" i="15" s="1"/>
  <c r="Y876" i="15"/>
  <c r="Z876" i="15" s="1"/>
  <c r="Y1266" i="15"/>
  <c r="Z1266" i="15" s="1"/>
  <c r="Y1496" i="15"/>
  <c r="Z1496" i="15" s="1"/>
  <c r="Y75" i="15"/>
  <c r="Z75" i="15" s="1"/>
  <c r="Y500" i="15"/>
  <c r="Z500" i="15" s="1"/>
  <c r="Y847" i="15"/>
  <c r="Z847" i="15" s="1"/>
  <c r="Y1480" i="15"/>
  <c r="Z1480" i="15" s="1"/>
  <c r="Y682" i="15"/>
  <c r="Z682" i="15" s="1"/>
  <c r="Y1402" i="15"/>
  <c r="Z1402" i="15" s="1"/>
  <c r="Y553" i="15"/>
  <c r="Z553" i="15" s="1"/>
  <c r="Y1224" i="15"/>
  <c r="Z1224" i="15" s="1"/>
  <c r="Y570" i="15"/>
  <c r="Z570" i="15" s="1"/>
  <c r="Y264" i="15"/>
  <c r="Z264" i="15" s="1"/>
  <c r="Y8" i="15"/>
  <c r="Z8" i="15" s="1"/>
  <c r="Y276" i="15"/>
  <c r="Z276" i="15" s="1"/>
  <c r="Y456" i="15"/>
  <c r="Z456" i="15" s="1"/>
  <c r="Y65" i="15"/>
  <c r="Z65" i="15" s="1"/>
  <c r="Y804" i="15"/>
  <c r="Z804" i="15" s="1"/>
  <c r="Y402" i="15"/>
  <c r="Z402" i="15" s="1"/>
  <c r="Y1430" i="15"/>
  <c r="Z1430" i="15" s="1"/>
  <c r="Y343" i="15"/>
  <c r="Z343" i="15" s="1"/>
  <c r="Y824" i="15"/>
  <c r="Z824" i="15" s="1"/>
  <c r="Y1154" i="15"/>
  <c r="Z1154" i="15" s="1"/>
  <c r="Y140" i="15"/>
  <c r="Z140" i="15" s="1"/>
  <c r="Y1472" i="15"/>
  <c r="Z1472" i="15" s="1"/>
  <c r="Y1150" i="15"/>
  <c r="Z1150" i="15" s="1"/>
  <c r="Y405" i="15"/>
  <c r="Z405" i="15" s="1"/>
  <c r="Y594" i="15"/>
  <c r="Z594" i="15" s="1"/>
  <c r="Y332" i="15"/>
  <c r="Z332" i="15" s="1"/>
  <c r="Y416" i="15"/>
  <c r="Z416" i="15" s="1"/>
  <c r="Y853" i="15"/>
  <c r="Z853" i="15" s="1"/>
  <c r="Y98" i="15"/>
  <c r="Z98" i="15" s="1"/>
  <c r="Y93" i="15"/>
  <c r="Z93" i="15" s="1"/>
  <c r="Y521" i="15"/>
  <c r="Z521" i="15" s="1"/>
  <c r="Y1523" i="15"/>
  <c r="Z1523" i="15" s="1"/>
  <c r="Y132" i="15"/>
  <c r="Z132" i="15" s="1"/>
  <c r="Y839" i="15"/>
  <c r="Z839" i="15" s="1"/>
  <c r="Y574" i="15"/>
  <c r="Z574" i="15" s="1"/>
  <c r="Y1067" i="15"/>
  <c r="Z1067" i="15" s="1"/>
  <c r="Y349" i="15"/>
  <c r="Z349" i="15" s="1"/>
  <c r="Y238" i="15"/>
  <c r="Z238" i="15" s="1"/>
  <c r="Y990" i="15"/>
  <c r="Z990" i="15" s="1"/>
  <c r="Y551" i="15"/>
  <c r="Z551" i="15" s="1"/>
  <c r="Y812" i="15"/>
  <c r="Z812" i="15" s="1"/>
  <c r="Y315" i="15"/>
  <c r="Z315" i="15" s="1"/>
  <c r="Y372" i="15"/>
  <c r="Z372" i="15" s="1"/>
  <c r="Y989" i="15"/>
  <c r="Z989" i="15" s="1"/>
  <c r="Y964" i="15"/>
  <c r="Z964" i="15" s="1"/>
  <c r="Y1371" i="15"/>
  <c r="Z1371" i="15" s="1"/>
  <c r="Y801" i="15"/>
  <c r="Z801" i="15" s="1"/>
  <c r="Y1370" i="15"/>
  <c r="Z1370" i="15" s="1"/>
  <c r="Y620" i="15"/>
  <c r="Z620" i="15" s="1"/>
  <c r="Y1068" i="15"/>
  <c r="Z1068" i="15" s="1"/>
  <c r="Y1385" i="15"/>
  <c r="Z1385" i="15" s="1"/>
  <c r="Y63" i="15"/>
  <c r="Z63" i="15" s="1"/>
  <c r="Y591" i="15"/>
  <c r="Z591" i="15" s="1"/>
  <c r="Y445" i="15"/>
  <c r="Z445" i="15" s="1"/>
  <c r="Y1399" i="15"/>
  <c r="Z1399" i="15" s="1"/>
  <c r="Y1424" i="15"/>
  <c r="Z1424" i="15" s="1"/>
  <c r="Y895" i="15"/>
  <c r="Z895" i="15" s="1"/>
  <c r="Y468" i="15"/>
  <c r="Z468" i="15" s="1"/>
  <c r="Y458" i="15"/>
  <c r="Z458" i="15" s="1"/>
  <c r="Y1401" i="15"/>
  <c r="Z1401" i="15" s="1"/>
  <c r="Y1507" i="15"/>
  <c r="Z1507" i="15" s="1"/>
  <c r="Y161" i="15"/>
  <c r="Z161" i="15" s="1"/>
  <c r="Y476" i="15"/>
  <c r="Z476" i="15" s="1"/>
  <c r="Y1477" i="15"/>
  <c r="Z1477" i="15" s="1"/>
  <c r="Y283" i="15"/>
  <c r="Z283" i="15" s="1"/>
  <c r="Y1489" i="15"/>
  <c r="Z1489" i="15" s="1"/>
  <c r="Y20" i="15"/>
  <c r="Z20" i="15" s="1"/>
  <c r="Y1535" i="15"/>
  <c r="Z1535" i="15" s="1"/>
  <c r="Y887" i="15"/>
  <c r="Z887" i="15" s="1"/>
  <c r="Y167" i="15"/>
  <c r="Z167" i="15" s="1"/>
  <c r="Y538" i="15"/>
  <c r="Z538" i="15" s="1"/>
  <c r="Y376" i="15"/>
  <c r="Z376" i="15" s="1"/>
  <c r="Y686" i="15"/>
  <c r="Z686" i="15" s="1"/>
  <c r="Y180" i="15"/>
  <c r="Z180" i="15" s="1"/>
  <c r="Y1050" i="15"/>
  <c r="Z1050" i="15" s="1"/>
  <c r="Y1434" i="15"/>
  <c r="Z1434" i="15" s="1"/>
  <c r="Y1483" i="15"/>
  <c r="Z1483" i="15" s="1"/>
  <c r="Y1308" i="15"/>
  <c r="Z1308" i="15" s="1"/>
  <c r="Y652" i="15"/>
  <c r="Z652" i="15" s="1"/>
  <c r="Y11" i="15"/>
  <c r="Z11" i="15" s="1"/>
  <c r="Y1542" i="15"/>
  <c r="Z1542" i="15" s="1"/>
  <c r="Y938" i="15"/>
  <c r="Z938" i="15" s="1"/>
  <c r="Y338" i="15"/>
  <c r="Z338" i="15" s="1"/>
  <c r="Y1508" i="15"/>
  <c r="Z1508" i="15" s="1"/>
  <c r="Y148" i="15"/>
  <c r="Z148" i="15" s="1"/>
  <c r="Y852" i="15"/>
  <c r="Z852" i="15" s="1"/>
  <c r="Y922" i="15"/>
  <c r="Z922" i="15" s="1"/>
  <c r="Y605" i="15"/>
  <c r="Z605" i="15" s="1"/>
  <c r="Y1147" i="15"/>
  <c r="Z1147" i="15" s="1"/>
  <c r="Y138" i="15"/>
  <c r="Z138" i="15" s="1"/>
  <c r="Y385" i="15"/>
  <c r="Z385" i="15" s="1"/>
  <c r="Y499" i="15"/>
  <c r="Z499" i="15" s="1"/>
  <c r="Y745" i="15"/>
  <c r="Z745" i="15" s="1"/>
  <c r="Y47" i="15"/>
  <c r="Z47" i="15" s="1"/>
  <c r="Y221" i="15"/>
  <c r="Z221" i="15" s="1"/>
  <c r="Y62" i="15"/>
  <c r="Z62" i="15" s="1"/>
  <c r="Y900" i="15"/>
  <c r="Z900" i="15" s="1"/>
  <c r="Y1066" i="15"/>
  <c r="Z1066" i="15" s="1"/>
  <c r="Y800" i="15"/>
  <c r="Z800" i="15" s="1"/>
  <c r="Y5" i="15"/>
  <c r="Z5" i="15" s="1"/>
  <c r="Y1527" i="15"/>
  <c r="Z1527" i="15" s="1"/>
  <c r="Y906" i="15"/>
  <c r="Z906" i="15" s="1"/>
  <c r="Y1518" i="15"/>
  <c r="Z1518" i="15" s="1"/>
  <c r="Y684" i="15"/>
  <c r="Z684" i="15" s="1"/>
  <c r="Y979" i="15"/>
  <c r="Z979" i="15" s="1"/>
  <c r="Y1337" i="15"/>
  <c r="Z1337" i="15" s="1"/>
  <c r="Y1213" i="15"/>
  <c r="Z1213" i="15" s="1"/>
  <c r="Y1023" i="15"/>
  <c r="Z1023" i="15" s="1"/>
  <c r="Y626" i="15"/>
  <c r="Z626" i="15" s="1"/>
  <c r="Y628" i="15"/>
  <c r="Z628" i="15" s="1"/>
  <c r="Y1037" i="15"/>
  <c r="Z1037" i="15" s="1"/>
  <c r="Y1047" i="15"/>
  <c r="Z1047" i="15" s="1"/>
  <c r="Y64" i="15"/>
  <c r="Z64" i="15" s="1"/>
  <c r="Y888" i="15"/>
  <c r="Z888" i="15" s="1"/>
  <c r="Y1190" i="15"/>
  <c r="Z1190" i="15" s="1"/>
  <c r="Y675" i="15"/>
  <c r="Z675" i="15" s="1"/>
  <c r="Y1349" i="15"/>
  <c r="Z1349" i="15" s="1"/>
  <c r="Y1396" i="15"/>
  <c r="Z1396" i="15" s="1"/>
  <c r="Y1268" i="15"/>
  <c r="Z1268" i="15" s="1"/>
  <c r="Y735" i="15"/>
  <c r="Z735" i="15" s="1"/>
  <c r="Y330" i="15"/>
  <c r="Z330" i="15" s="1"/>
  <c r="Y163" i="15"/>
  <c r="Z163" i="15" s="1"/>
  <c r="Y1475" i="15"/>
  <c r="Z1475" i="15" s="1"/>
  <c r="Y1494" i="15"/>
  <c r="Z1494" i="15" s="1"/>
  <c r="Y543" i="15"/>
  <c r="Z543" i="15" s="1"/>
  <c r="Y884" i="15"/>
  <c r="Z884" i="15" s="1"/>
  <c r="Y728" i="15"/>
  <c r="Z728" i="15" s="1"/>
  <c r="Y1539" i="15"/>
  <c r="Z1539" i="15" s="1"/>
  <c r="Y516" i="15"/>
  <c r="Z516" i="15" s="1"/>
  <c r="Y1457" i="15"/>
  <c r="Z1457" i="15" s="1"/>
  <c r="Y348" i="15"/>
  <c r="Z348" i="15" s="1"/>
  <c r="Y123" i="15"/>
  <c r="Z123" i="15" s="1"/>
  <c r="Y39" i="15"/>
  <c r="Z39" i="15" s="1"/>
  <c r="Y1118" i="15"/>
  <c r="Z1118" i="15" s="1"/>
  <c r="Y934" i="15"/>
  <c r="Z934" i="15" s="1"/>
  <c r="Y1034" i="15"/>
  <c r="Z1034" i="15" s="1"/>
  <c r="Y23" i="15"/>
  <c r="Z23" i="15" s="1"/>
  <c r="Y101" i="15"/>
  <c r="Z101" i="15" s="1"/>
  <c r="Y1010" i="15"/>
  <c r="Z1010" i="15" s="1"/>
  <c r="Y369" i="15"/>
  <c r="Z369" i="15" s="1"/>
  <c r="Y1212" i="15"/>
  <c r="Z1212" i="15" s="1"/>
  <c r="Y1454" i="15"/>
  <c r="Z1454" i="15" s="1"/>
  <c r="Y49" i="15"/>
  <c r="Z49" i="15" s="1"/>
  <c r="Y262" i="15"/>
  <c r="Z262" i="15" s="1"/>
  <c r="Y56" i="15"/>
  <c r="Z56" i="15" s="1"/>
  <c r="Y169" i="15"/>
  <c r="Z169" i="15" s="1"/>
  <c r="Y1234" i="15"/>
  <c r="Z1234" i="15" s="1"/>
  <c r="Y378" i="15"/>
  <c r="Z378" i="15" s="1"/>
  <c r="Y393" i="15"/>
  <c r="Z393" i="15" s="1"/>
  <c r="Y975" i="15"/>
  <c r="Z975" i="15" s="1"/>
  <c r="Y50" i="15"/>
  <c r="Z50" i="15" s="1"/>
  <c r="Y429" i="15"/>
  <c r="Z429" i="15" s="1"/>
  <c r="Y1091" i="15"/>
  <c r="Z1091" i="15" s="1"/>
  <c r="Y303" i="15"/>
  <c r="Z303" i="15" s="1"/>
  <c r="Y566" i="15"/>
  <c r="Z566" i="15" s="1"/>
  <c r="Y1468" i="15"/>
  <c r="Z1468" i="15" s="1"/>
  <c r="Y610" i="15"/>
  <c r="Z610" i="15" s="1"/>
  <c r="Y110" i="15"/>
  <c r="Z110" i="15" s="1"/>
  <c r="Y589" i="15"/>
  <c r="Z589" i="15" s="1"/>
  <c r="Y189" i="15"/>
  <c r="Z189" i="15" s="1"/>
  <c r="Y963" i="15"/>
  <c r="Z963" i="15" s="1"/>
  <c r="Y1032" i="15"/>
  <c r="Z1032" i="15" s="1"/>
  <c r="Y907" i="15"/>
  <c r="Z907" i="15" s="1"/>
  <c r="Y556" i="15"/>
  <c r="Z556" i="15" s="1"/>
  <c r="Y373" i="15"/>
  <c r="Z373" i="15" s="1"/>
  <c r="Y129" i="15"/>
  <c r="Z129" i="15" s="1"/>
  <c r="Y1207" i="15"/>
  <c r="Z1207" i="15" s="1"/>
  <c r="Y1076" i="15"/>
  <c r="Z1076" i="15" s="1"/>
  <c r="Y1347" i="15"/>
  <c r="Z1347" i="15" s="1"/>
  <c r="Y454" i="15"/>
  <c r="Z454" i="15" s="1"/>
  <c r="Y174" i="15"/>
  <c r="Z174" i="15" s="1"/>
  <c r="Y1164" i="15"/>
  <c r="Z1164" i="15" s="1"/>
  <c r="Y802" i="15"/>
  <c r="Z802" i="15" s="1"/>
  <c r="Y1225" i="15"/>
  <c r="Z1225" i="15" s="1"/>
  <c r="Y1436" i="15"/>
  <c r="Z1436" i="15" s="1"/>
  <c r="Y1016" i="15"/>
  <c r="Z1016" i="15" s="1"/>
  <c r="Y1039" i="15"/>
  <c r="Z1039" i="15" s="1"/>
  <c r="Y1557" i="15"/>
  <c r="Z1557" i="15" s="1"/>
  <c r="Y1348" i="15"/>
  <c r="Z1348" i="15" s="1"/>
  <c r="Y896" i="15"/>
  <c r="Z896" i="15" s="1"/>
  <c r="Y765" i="15"/>
  <c r="Z765" i="15" s="1"/>
  <c r="Y452" i="15"/>
  <c r="Z452" i="15" s="1"/>
  <c r="Y220" i="15"/>
  <c r="Z220" i="15" s="1"/>
  <c r="Y24" i="15"/>
  <c r="Z24" i="15" s="1"/>
  <c r="Y351" i="15"/>
  <c r="Z351" i="15" s="1"/>
  <c r="Y548" i="15"/>
  <c r="Z548" i="15" s="1"/>
  <c r="Y442" i="15"/>
  <c r="Z442" i="15" s="1"/>
  <c r="Y88" i="15"/>
  <c r="Z88" i="15" s="1"/>
  <c r="Y32" i="15"/>
  <c r="Z32" i="15" s="1"/>
  <c r="Y1126" i="15"/>
  <c r="Z1126" i="15" s="1"/>
  <c r="Y128" i="15"/>
  <c r="Z128" i="15" s="1"/>
  <c r="Y94" i="15"/>
  <c r="Z94" i="15" s="1"/>
  <c r="Y306" i="15"/>
  <c r="Z306" i="15" s="1"/>
  <c r="Y26" i="15"/>
  <c r="Z26" i="15" s="1"/>
  <c r="Y234" i="15"/>
  <c r="Z234" i="15" s="1"/>
  <c r="Y232" i="15"/>
  <c r="Z232" i="15" s="1"/>
  <c r="Y962" i="15"/>
  <c r="Z962" i="15" s="1"/>
  <c r="Y1362" i="15"/>
  <c r="Z1362" i="15" s="1"/>
  <c r="Y634" i="15"/>
  <c r="Z634" i="15" s="1"/>
  <c r="Y1554" i="15"/>
  <c r="Z1554" i="15" s="1"/>
  <c r="Y419" i="15"/>
  <c r="Z419" i="15" s="1"/>
  <c r="Y903" i="15"/>
  <c r="Z903" i="15" s="1"/>
  <c r="Y813" i="15"/>
  <c r="Z813" i="15" s="1"/>
  <c r="Y245" i="15"/>
  <c r="Z245" i="15" s="1"/>
  <c r="Y268" i="15"/>
  <c r="Z268" i="15" s="1"/>
  <c r="Y1464" i="15"/>
  <c r="Z1464" i="15" s="1"/>
  <c r="Y285" i="15"/>
  <c r="Z285" i="15" s="1"/>
  <c r="Y777" i="15"/>
  <c r="Z777" i="15" s="1"/>
  <c r="Y572" i="15"/>
  <c r="Z572" i="15" s="1"/>
  <c r="Y649" i="15"/>
  <c r="Z649" i="15" s="1"/>
  <c r="Y997" i="15"/>
  <c r="Z997" i="15" s="1"/>
  <c r="Y1001" i="15"/>
  <c r="Z1001" i="15" s="1"/>
  <c r="Y1404" i="15"/>
  <c r="Z1404" i="15" s="1"/>
  <c r="Y207" i="15"/>
  <c r="Z207" i="15" s="1"/>
  <c r="Y549" i="15"/>
  <c r="Z549" i="15" s="1"/>
  <c r="Y472" i="15"/>
  <c r="Z472" i="15" s="1"/>
  <c r="Y1045" i="15"/>
  <c r="Z1045" i="15" s="1"/>
  <c r="Y1205" i="15"/>
  <c r="Z1205" i="15" s="1"/>
  <c r="Y1306" i="15"/>
  <c r="Z1306" i="15" s="1"/>
  <c r="Y483" i="15"/>
  <c r="Z483" i="15" s="1"/>
  <c r="Y1372" i="15"/>
  <c r="Z1372" i="15" s="1"/>
  <c r="Y1376" i="15"/>
  <c r="Z1376" i="15" s="1"/>
  <c r="Y440" i="15"/>
  <c r="Z440" i="15" s="1"/>
  <c r="Y806" i="15"/>
  <c r="Z806" i="15" s="1"/>
  <c r="Y1422" i="15"/>
  <c r="Z1422" i="15" s="1"/>
  <c r="Y1257" i="15"/>
  <c r="Z1257" i="15" s="1"/>
  <c r="Y629" i="15"/>
  <c r="Z629" i="15" s="1"/>
  <c r="Y496" i="15"/>
  <c r="Z496" i="15" s="1"/>
  <c r="Y1435" i="15"/>
  <c r="Z1435" i="15" s="1"/>
  <c r="Y199" i="15"/>
  <c r="Z199" i="15" s="1"/>
  <c r="Y280" i="15"/>
  <c r="Z280" i="15" s="1"/>
  <c r="Y575" i="15"/>
  <c r="Z575" i="15" s="1"/>
  <c r="Y662" i="15"/>
  <c r="Z662" i="15" s="1"/>
  <c r="Y760" i="15"/>
  <c r="Z760" i="15" s="1"/>
  <c r="Y540" i="15"/>
  <c r="Z540" i="15" s="1"/>
  <c r="Y323" i="15"/>
  <c r="Z323" i="15" s="1"/>
  <c r="Y588" i="15"/>
  <c r="Z588" i="15" s="1"/>
  <c r="Y796" i="15"/>
  <c r="Z796" i="15" s="1"/>
  <c r="Y1098" i="15"/>
  <c r="Z1098" i="15" s="1"/>
  <c r="Y242" i="15"/>
  <c r="Z242" i="15" s="1"/>
  <c r="Y298" i="15"/>
  <c r="Z298" i="15" s="1"/>
  <c r="Y1488" i="15"/>
  <c r="Z1488" i="15" s="1"/>
  <c r="Y187" i="15"/>
  <c r="Z187" i="15" s="1"/>
  <c r="Y740" i="15"/>
  <c r="Z740" i="15" s="1"/>
  <c r="Y823" i="15"/>
  <c r="Z823" i="15" s="1"/>
  <c r="Y28" i="15"/>
  <c r="Z28" i="15" s="1"/>
  <c r="Y1191" i="15"/>
  <c r="Z1191" i="15" s="1"/>
  <c r="Y333" i="15"/>
  <c r="Z333" i="15" s="1"/>
  <c r="Y1514" i="15"/>
  <c r="Z1514" i="15" s="1"/>
  <c r="Y165" i="15"/>
  <c r="Z165" i="15" s="1"/>
  <c r="Y146" i="15"/>
  <c r="Z146" i="15" s="1"/>
  <c r="Y1297" i="15"/>
  <c r="Z1297" i="15" s="1"/>
  <c r="Y379" i="15"/>
  <c r="Z379" i="15" s="1"/>
  <c r="Y279" i="15"/>
  <c r="Z279" i="15" s="1"/>
  <c r="Y687" i="15"/>
  <c r="Z687" i="15" s="1"/>
  <c r="Y1374" i="15"/>
  <c r="Z1374" i="15" s="1"/>
  <c r="Y787" i="15"/>
  <c r="Z787" i="15" s="1"/>
  <c r="Y347" i="15"/>
  <c r="Z347" i="15" s="1"/>
  <c r="Y108" i="15"/>
  <c r="Z108" i="15" s="1"/>
  <c r="Y57" i="15"/>
  <c r="Z57" i="15" s="1"/>
  <c r="Y809" i="15"/>
  <c r="Z809" i="15" s="1"/>
  <c r="Y184" i="15"/>
  <c r="Z184" i="15" s="1"/>
  <c r="Y275" i="15"/>
  <c r="Z275" i="15" s="1"/>
  <c r="Y1074" i="15"/>
  <c r="Z1074" i="15" s="1"/>
  <c r="Y6" i="15"/>
  <c r="Z6" i="15" s="1"/>
  <c r="Y730" i="15"/>
  <c r="Z730" i="15" s="1"/>
  <c r="Y203" i="15"/>
  <c r="Z203" i="15" s="1"/>
  <c r="Y470" i="15"/>
  <c r="Z470" i="15" s="1"/>
  <c r="Y1534" i="15"/>
  <c r="Z1534" i="15" s="1"/>
  <c r="Y421" i="15"/>
  <c r="Z421" i="15" s="1"/>
  <c r="Y919" i="15"/>
  <c r="Z919" i="15" s="1"/>
  <c r="Y774" i="15"/>
  <c r="Z774" i="15" s="1"/>
  <c r="Y1211" i="15"/>
  <c r="Z1211" i="15" s="1"/>
  <c r="Y857" i="15"/>
  <c r="Z857" i="15" s="1"/>
  <c r="Y1158" i="15"/>
  <c r="Z1158" i="15" s="1"/>
  <c r="Y1516" i="15"/>
  <c r="Z1516" i="15" s="1"/>
  <c r="Y1070" i="15"/>
  <c r="Z1070" i="15" s="1"/>
  <c r="Y514" i="15"/>
  <c r="Z514" i="15" s="1"/>
  <c r="Y1015" i="15"/>
  <c r="Z1015" i="15" s="1"/>
  <c r="Y457" i="15"/>
  <c r="Z457" i="15" s="1"/>
  <c r="Y1261" i="15"/>
  <c r="Z1261" i="15" s="1"/>
  <c r="Y580" i="15"/>
  <c r="Z580" i="15" s="1"/>
  <c r="Y517" i="15"/>
  <c r="Z517" i="15" s="1"/>
  <c r="Y904" i="15"/>
  <c r="Z904" i="15" s="1"/>
  <c r="Y1197" i="15"/>
  <c r="Z1197" i="15" s="1"/>
  <c r="Y27" i="15"/>
  <c r="Z27" i="15" s="1"/>
  <c r="Y52" i="15"/>
  <c r="Z52" i="15" s="1"/>
  <c r="Y1561" i="15"/>
  <c r="Z1561" i="15" s="1"/>
  <c r="Y1143" i="15"/>
  <c r="Z1143" i="15" s="1"/>
  <c r="Y142" i="15"/>
  <c r="Z142" i="15" s="1"/>
  <c r="Y1258" i="15"/>
  <c r="Z1258" i="15" s="1"/>
  <c r="Y451" i="15"/>
  <c r="Z451" i="15" s="1"/>
  <c r="Y1394" i="15"/>
  <c r="Z1394" i="15" s="1"/>
  <c r="Y1272" i="15"/>
  <c r="Z1272" i="15" s="1"/>
  <c r="Y1525" i="15"/>
  <c r="Z1525" i="15" s="1"/>
  <c r="Y954" i="15"/>
  <c r="Z954" i="15" s="1"/>
  <c r="Y526" i="15"/>
  <c r="Z526" i="15" s="1"/>
  <c r="Y426" i="15"/>
  <c r="Z426" i="15" s="1"/>
  <c r="Y577" i="15"/>
  <c r="Z577" i="15" s="1"/>
  <c r="Y121" i="15"/>
  <c r="Z121" i="15" s="1"/>
  <c r="Y84" i="15"/>
  <c r="Z84" i="15" s="1"/>
  <c r="Y1252" i="15"/>
  <c r="Z1252" i="15" s="1"/>
  <c r="Y1487" i="15"/>
  <c r="Z1487" i="15" s="1"/>
  <c r="Y948" i="15"/>
  <c r="Z948" i="15" s="1"/>
  <c r="Y328" i="15"/>
  <c r="Z328" i="15" s="1"/>
  <c r="Y1511" i="15"/>
  <c r="Z1511" i="15" s="1"/>
  <c r="Y474" i="15"/>
  <c r="Z474" i="15" s="1"/>
  <c r="Y763" i="15"/>
  <c r="Z763" i="15" s="1"/>
  <c r="Y793" i="15"/>
  <c r="Z793" i="15" s="1"/>
  <c r="Y533" i="15"/>
  <c r="Z533" i="15" s="1"/>
  <c r="Y1406" i="15"/>
  <c r="Z1406" i="15" s="1"/>
  <c r="Y507" i="15"/>
  <c r="Z507" i="15" s="1"/>
  <c r="Y696" i="15"/>
  <c r="Z696" i="15" s="1"/>
  <c r="Y339" i="15"/>
  <c r="Z339" i="15" s="1"/>
  <c r="Y72" i="15"/>
  <c r="Z72" i="15" s="1"/>
  <c r="Y176" i="15"/>
  <c r="Z176" i="15" s="1"/>
  <c r="Y1420" i="15"/>
  <c r="Z1420" i="15" s="1"/>
  <c r="Y1262" i="15"/>
  <c r="Z1262" i="15" s="1"/>
  <c r="Y244" i="15"/>
  <c r="Z244" i="15" s="1"/>
  <c r="Y92" i="15"/>
  <c r="Z92" i="15" s="1"/>
  <c r="Y1386" i="15"/>
  <c r="Z1386" i="15" s="1"/>
  <c r="Y532" i="15"/>
  <c r="Z532" i="15" s="1"/>
  <c r="Y1490" i="15"/>
  <c r="Z1490" i="15" s="1"/>
  <c r="Y460" i="15"/>
  <c r="Z460" i="15" s="1"/>
  <c r="Y109" i="15"/>
  <c r="Z109" i="15" s="1"/>
  <c r="Y325" i="15"/>
  <c r="Z325" i="15" s="1"/>
  <c r="Y1569" i="15"/>
  <c r="Z1569" i="15" s="1"/>
  <c r="Y1283" i="15"/>
  <c r="Z1283" i="15" s="1"/>
  <c r="Y1240" i="15"/>
  <c r="Z1240" i="15" s="1"/>
  <c r="Y1327" i="15"/>
  <c r="Z1327" i="15" s="1"/>
  <c r="Y1084" i="15"/>
  <c r="Z1084" i="15" s="1"/>
  <c r="Y617" i="15"/>
  <c r="Z617" i="15" s="1"/>
  <c r="Y201" i="15"/>
  <c r="Z201" i="15" s="1"/>
  <c r="Y248" i="15"/>
  <c r="Z248" i="15" s="1"/>
  <c r="Y741" i="15"/>
  <c r="Z741" i="15" s="1"/>
  <c r="Y1439" i="15"/>
  <c r="Z1439" i="15" s="1"/>
  <c r="Y786" i="15"/>
  <c r="Z786" i="15" s="1"/>
  <c r="Y265" i="15"/>
  <c r="Z265" i="15" s="1"/>
  <c r="Y1545" i="15"/>
  <c r="Z1545" i="15" s="1"/>
  <c r="Y1124" i="15"/>
  <c r="Z1124" i="15" s="1"/>
  <c r="Y1301" i="15"/>
  <c r="Z1301" i="15" s="1"/>
  <c r="Y1407" i="15"/>
  <c r="Z1407" i="15" s="1"/>
  <c r="Y902" i="15"/>
  <c r="Z902" i="15" s="1"/>
  <c r="Y619" i="15"/>
  <c r="Z619" i="15" s="1"/>
  <c r="Y1200" i="15"/>
  <c r="Z1200" i="15" s="1"/>
  <c r="Y190" i="15"/>
  <c r="Z190" i="15" s="1"/>
  <c r="Y601" i="15"/>
  <c r="Z601" i="15" s="1"/>
  <c r="Y289" i="15"/>
  <c r="Z289" i="15" s="1"/>
  <c r="Y1314" i="15"/>
  <c r="Z1314" i="15" s="1"/>
  <c r="Y744" i="15"/>
  <c r="Z744" i="15" s="1"/>
  <c r="Y213" i="15"/>
  <c r="Z213" i="15" s="1"/>
  <c r="Y250" i="15"/>
  <c r="Z250" i="15" s="1"/>
  <c r="Y446" i="15"/>
  <c r="Z446" i="15" s="1"/>
  <c r="Y590" i="15"/>
  <c r="Z590" i="15" s="1"/>
  <c r="Y272" i="15"/>
  <c r="Z272" i="15" s="1"/>
  <c r="Y471" i="15"/>
  <c r="Z471" i="15" s="1"/>
  <c r="Y475" i="15"/>
  <c r="Z475" i="15" s="1"/>
  <c r="Y1426" i="15"/>
  <c r="Z1426" i="15" s="1"/>
  <c r="Y1579" i="15"/>
  <c r="Z1579" i="15" s="1"/>
  <c r="Y1018" i="15"/>
  <c r="Z1018" i="15" s="1"/>
  <c r="Y585" i="15"/>
  <c r="Z585" i="15" s="1"/>
  <c r="Y536" i="15"/>
  <c r="Z536" i="15" s="1"/>
  <c r="Y388" i="15"/>
  <c r="Z388" i="15" s="1"/>
  <c r="Y96" i="15"/>
  <c r="Z96" i="15" s="1"/>
  <c r="Y205" i="15"/>
  <c r="Z205" i="15" s="1"/>
  <c r="Y1202" i="15"/>
  <c r="Z1202" i="15" s="1"/>
  <c r="Y358" i="15"/>
  <c r="Z358" i="15" s="1"/>
  <c r="Y513" i="15"/>
  <c r="Z513" i="15" s="1"/>
  <c r="Y33" i="15"/>
  <c r="Z33" i="15" s="1"/>
  <c r="Y710" i="15"/>
  <c r="Z710" i="15" s="1"/>
  <c r="Y209" i="15"/>
  <c r="Z209" i="15" s="1"/>
  <c r="Y1255" i="15"/>
  <c r="Z1255" i="15" s="1"/>
  <c r="Y418" i="15"/>
  <c r="Z418" i="15" s="1"/>
  <c r="Y301" i="15"/>
  <c r="Z301" i="15" s="1"/>
  <c r="Y727" i="15"/>
  <c r="Z727" i="15" s="1"/>
  <c r="Y571" i="15"/>
  <c r="Z571" i="15" s="1"/>
  <c r="Y1144" i="15"/>
  <c r="Z1144" i="15" s="1"/>
  <c r="Y206" i="15"/>
  <c r="Z206" i="15" s="1"/>
  <c r="Y345" i="15"/>
  <c r="Z345" i="15" s="1"/>
  <c r="Y1114" i="15"/>
  <c r="Z1114" i="15" s="1"/>
  <c r="Y791" i="15"/>
  <c r="Z791" i="15" s="1"/>
  <c r="Y646" i="15"/>
  <c r="Z646" i="15" s="1"/>
  <c r="Y875" i="15"/>
  <c r="Z875" i="15" s="1"/>
  <c r="Y147" i="15"/>
  <c r="Z147" i="15" s="1"/>
  <c r="Y34" i="15"/>
  <c r="Z34" i="15" s="1"/>
  <c r="Y636" i="15"/>
  <c r="Z636" i="15" s="1"/>
  <c r="Y1109" i="15"/>
  <c r="Z1109" i="15" s="1"/>
  <c r="Y1450" i="15"/>
  <c r="Z1450" i="15" s="1"/>
  <c r="Y181" i="15"/>
  <c r="Z181" i="15" s="1"/>
  <c r="Y1058" i="15"/>
  <c r="Z1058" i="15" s="1"/>
  <c r="Y901" i="15"/>
  <c r="Z901" i="15" s="1"/>
  <c r="Y1418" i="15"/>
  <c r="Z1418" i="15" s="1"/>
  <c r="Y256" i="15"/>
  <c r="Z256" i="15" s="1"/>
  <c r="Y246" i="15"/>
  <c r="Z246" i="15" s="1"/>
  <c r="Y486" i="15"/>
  <c r="Z486" i="15" s="1"/>
  <c r="Y204" i="15"/>
  <c r="Z204" i="15" s="1"/>
  <c r="Y1575" i="15"/>
  <c r="Z1575" i="15" s="1"/>
  <c r="Y1122" i="15"/>
  <c r="Z1122" i="15" s="1"/>
  <c r="Y198" i="15"/>
  <c r="Z198" i="15" s="1"/>
  <c r="Y431" i="15"/>
  <c r="Z431" i="15" s="1"/>
  <c r="Y302" i="15"/>
  <c r="Z302" i="15" s="1"/>
  <c r="Y233" i="15"/>
  <c r="Z233" i="15" s="1"/>
  <c r="Y761" i="15"/>
  <c r="Z761" i="15" s="1"/>
  <c r="Y1320" i="15"/>
  <c r="Z1320" i="15" s="1"/>
  <c r="Y1393" i="15"/>
  <c r="Z1393" i="15" s="1"/>
  <c r="Y1317" i="15"/>
  <c r="Z1317" i="15" s="1"/>
  <c r="Y106" i="15"/>
  <c r="Z106" i="15" s="1"/>
  <c r="Y1166" i="15"/>
  <c r="Z1166" i="15" s="1"/>
  <c r="Y1287" i="15"/>
  <c r="Z1287" i="15" s="1"/>
  <c r="Y631" i="15"/>
  <c r="Z631" i="15" s="1"/>
  <c r="Y991" i="15"/>
  <c r="Z991" i="15" s="1"/>
  <c r="Y832" i="15"/>
  <c r="Z832" i="15" s="1"/>
  <c r="Y558" i="15"/>
  <c r="Z558" i="15" s="1"/>
  <c r="Y1425" i="15"/>
  <c r="Z1425" i="15" s="1"/>
  <c r="Y1121" i="15"/>
  <c r="Z1121" i="15" s="1"/>
  <c r="Y1256" i="15"/>
  <c r="Z1256" i="15" s="1"/>
  <c r="Y654" i="15"/>
  <c r="Z654" i="15" s="1"/>
  <c r="Y782" i="15"/>
  <c r="Z782" i="15" s="1"/>
  <c r="Y484" i="15"/>
  <c r="Z484" i="15" s="1"/>
  <c r="Y1387" i="15"/>
  <c r="Z1387" i="15" s="1"/>
  <c r="Y523" i="15"/>
  <c r="Z523" i="15" s="1"/>
  <c r="Y1346" i="15"/>
  <c r="Z1346" i="15" s="1"/>
  <c r="Y192" i="15"/>
  <c r="Z192" i="15" s="1"/>
  <c r="Y1134" i="15"/>
  <c r="Z1134" i="15" s="1"/>
  <c r="Y77" i="15"/>
  <c r="Z77" i="15" s="1"/>
  <c r="Y941" i="15"/>
  <c r="Z941" i="15" s="1"/>
  <c r="Y1310" i="15"/>
  <c r="Z1310" i="15" s="1"/>
  <c r="Y1100" i="15"/>
  <c r="Z1100" i="15" s="1"/>
  <c r="Y905" i="15"/>
  <c r="Z905" i="15" s="1"/>
  <c r="Y511" i="15"/>
  <c r="Z511" i="15" s="1"/>
  <c r="Y239" i="15"/>
  <c r="Z239" i="15" s="1"/>
  <c r="Y776" i="15"/>
  <c r="Z776" i="15" s="1"/>
  <c r="Y104" i="15"/>
  <c r="Z104" i="15" s="1"/>
  <c r="Y1495" i="15"/>
  <c r="Z1495" i="15" s="1"/>
  <c r="Y560" i="15"/>
  <c r="Z560" i="15" s="1"/>
  <c r="Y310" i="15"/>
  <c r="Z310" i="15" s="1"/>
  <c r="Y394" i="15"/>
  <c r="Z394" i="15" s="1"/>
  <c r="Y1502" i="15"/>
  <c r="Z1502" i="15" s="1"/>
  <c r="Y327" i="15"/>
  <c r="Z327" i="15" s="1"/>
  <c r="Y1573" i="15"/>
  <c r="Z1573" i="15" s="1"/>
  <c r="Y936" i="15"/>
  <c r="Z936" i="15" s="1"/>
  <c r="Y520" i="15"/>
  <c r="Z520" i="15" s="1"/>
  <c r="Y1322" i="15"/>
  <c r="Z1322" i="15" s="1"/>
  <c r="Y229" i="15"/>
  <c r="Z229" i="15" s="1"/>
  <c r="Y546" i="15"/>
  <c r="Z546" i="15" s="1"/>
  <c r="Y988" i="15"/>
  <c r="Z988" i="15" s="1"/>
  <c r="Y66" i="15"/>
  <c r="Z66" i="15" s="1"/>
  <c r="Y219" i="15"/>
  <c r="Z219" i="15" s="1"/>
  <c r="Y54" i="15"/>
  <c r="Z54" i="15" s="1"/>
  <c r="Y95" i="15"/>
  <c r="Z95" i="15" s="1"/>
  <c r="Y1103" i="15"/>
  <c r="Z1103" i="15" s="1"/>
  <c r="Y1170" i="15"/>
  <c r="Z1170" i="15" s="1"/>
  <c r="Y554" i="15"/>
  <c r="Z554" i="15" s="1"/>
  <c r="Y443" i="15"/>
  <c r="Z443" i="15" s="1"/>
  <c r="Y479" i="15"/>
  <c r="Z479" i="15" s="1"/>
  <c r="Y449" i="15"/>
  <c r="Z449" i="15" s="1"/>
  <c r="Y1079" i="15"/>
  <c r="Z1079" i="15" s="1"/>
  <c r="Y994" i="15"/>
  <c r="Z994" i="15" s="1"/>
  <c r="Y266" i="15"/>
  <c r="Z266" i="15" s="1"/>
  <c r="Y524" i="15"/>
  <c r="Z524" i="15" s="1"/>
  <c r="Y874" i="15"/>
  <c r="Z874" i="15" s="1"/>
  <c r="Y579" i="15"/>
  <c r="Z579" i="15" s="1"/>
  <c r="Y1559" i="15"/>
  <c r="Z1559" i="15" s="1"/>
  <c r="Y17" i="15"/>
  <c r="Z17" i="15" s="1"/>
  <c r="Y921" i="15"/>
  <c r="Z921" i="15" s="1"/>
  <c r="Y611" i="15"/>
  <c r="Z611" i="15" s="1"/>
  <c r="Y407" i="15"/>
  <c r="Z407" i="15" s="1"/>
  <c r="Y1298" i="15"/>
  <c r="Z1298" i="15" s="1"/>
  <c r="Y833" i="15"/>
  <c r="Z833" i="15" s="1"/>
  <c r="Y1550" i="15"/>
  <c r="Z1550" i="15" s="1"/>
  <c r="Y316" i="15"/>
  <c r="Z316" i="15" s="1"/>
  <c r="Y158" i="15"/>
  <c r="Z158" i="15" s="1"/>
  <c r="Y1186" i="15"/>
  <c r="Z1186" i="15" s="1"/>
  <c r="Y1002" i="15"/>
  <c r="Z1002" i="15" s="1"/>
  <c r="Y367" i="15"/>
  <c r="Z367" i="15" s="1"/>
  <c r="Y293" i="15"/>
  <c r="Z293" i="15" s="1"/>
  <c r="Y1219" i="15"/>
  <c r="Z1219" i="15" s="1"/>
  <c r="Y1199" i="15"/>
  <c r="Z1199" i="15" s="1"/>
  <c r="Y1203" i="15"/>
  <c r="Z1203" i="15" s="1"/>
  <c r="Y731" i="15"/>
  <c r="Z731" i="15" s="1"/>
  <c r="Y942" i="15"/>
  <c r="Z942" i="15" s="1"/>
  <c r="Y674" i="15"/>
  <c r="Z674" i="15" s="1"/>
  <c r="Y1288" i="15"/>
  <c r="Z1288" i="15" s="1"/>
  <c r="Y1271" i="15"/>
  <c r="Z1271" i="15" s="1"/>
  <c r="Y1057" i="15"/>
  <c r="Z1057" i="15" s="1"/>
  <c r="Y492" i="15"/>
  <c r="Z492" i="15" s="1"/>
  <c r="Y643" i="15"/>
  <c r="Z643" i="15" s="1"/>
  <c r="Y1570" i="15"/>
  <c r="Z1570" i="15" s="1"/>
  <c r="Y1177" i="15"/>
  <c r="Z1177" i="15" s="1"/>
  <c r="Y1189" i="15"/>
  <c r="Z1189" i="15" s="1"/>
  <c r="Y1172" i="15"/>
  <c r="Z1172" i="15" s="1"/>
  <c r="Y1061" i="15"/>
  <c r="Z1061" i="15" s="1"/>
  <c r="Y1226" i="15"/>
  <c r="Z1226" i="15" s="1"/>
  <c r="Y253" i="15"/>
  <c r="Z253" i="15" s="1"/>
  <c r="Y1571" i="15"/>
  <c r="Z1571" i="15" s="1"/>
  <c r="Y759" i="15"/>
  <c r="Z759" i="15" s="1"/>
  <c r="Y748" i="15"/>
  <c r="Z748" i="15" s="1"/>
  <c r="Y13" i="15"/>
  <c r="Z13" i="15" s="1"/>
  <c r="Y1564" i="15"/>
  <c r="Z1564" i="15" s="1"/>
  <c r="Y692" i="15"/>
  <c r="Z692" i="15" s="1"/>
  <c r="Y90" i="15"/>
  <c r="Z90" i="15" s="1"/>
  <c r="Y565" i="15"/>
  <c r="Z565" i="15" s="1"/>
  <c r="Y1173" i="15"/>
  <c r="Z1173" i="15" s="1"/>
  <c r="Y1192" i="15"/>
  <c r="Z1192" i="15" s="1"/>
  <c r="Y432" i="15"/>
  <c r="Z432" i="15" s="1"/>
  <c r="Y1578" i="15"/>
  <c r="Z1578" i="15" s="1"/>
  <c r="Y409" i="15"/>
  <c r="Z409" i="15" s="1"/>
  <c r="Y83" i="15"/>
  <c r="Z83" i="15" s="1"/>
  <c r="Y1351" i="15"/>
  <c r="Z1351" i="15" s="1"/>
  <c r="Y1456" i="15"/>
  <c r="Z1456" i="15" s="1"/>
  <c r="Y860" i="15"/>
  <c r="Z860" i="15" s="1"/>
  <c r="Y1138" i="15"/>
  <c r="Z1138" i="15" s="1"/>
  <c r="Y1565" i="15"/>
  <c r="Z1565" i="15" s="1"/>
  <c r="Y324" i="15"/>
  <c r="Z324" i="15" s="1"/>
  <c r="Y1051" i="15"/>
  <c r="Z1051" i="15" s="1"/>
  <c r="Y1478" i="15"/>
  <c r="Z1478" i="15" s="1"/>
  <c r="Y341" i="15"/>
  <c r="Z341" i="15" s="1"/>
  <c r="Y1567" i="15"/>
  <c r="Z1567" i="15" s="1"/>
  <c r="Y1184" i="15"/>
  <c r="Z1184" i="15" s="1"/>
  <c r="Y978" i="15"/>
  <c r="Z978" i="15" s="1"/>
  <c r="Y113" i="15"/>
  <c r="Z113" i="15" s="1"/>
  <c r="Y1517" i="15"/>
  <c r="Z1517" i="15" s="1"/>
  <c r="Y714" i="15"/>
  <c r="Z714" i="15" s="1"/>
  <c r="Y504" i="15"/>
  <c r="Z504" i="15" s="1"/>
  <c r="Y1555" i="15"/>
  <c r="Z1555" i="15" s="1"/>
  <c r="Y547" i="15"/>
  <c r="Z547" i="15" s="1"/>
  <c r="Y814" i="15"/>
  <c r="Z814" i="15" s="1"/>
  <c r="Y642" i="15"/>
  <c r="Z642" i="15" s="1"/>
  <c r="Y368" i="15"/>
  <c r="Z368" i="15" s="1"/>
  <c r="Y353" i="15"/>
  <c r="Z353" i="15" s="1"/>
  <c r="Y1274" i="15"/>
  <c r="Z1274" i="15" s="1"/>
  <c r="Y462" i="15"/>
  <c r="Z462" i="15" s="1"/>
  <c r="Y69" i="15"/>
  <c r="Z69" i="15" s="1"/>
  <c r="Y362" i="15"/>
  <c r="Z362" i="15" s="1"/>
  <c r="Y1296" i="15"/>
  <c r="Z1296" i="15" s="1"/>
  <c r="Y1232" i="15"/>
  <c r="Z1232" i="15" s="1"/>
  <c r="Y1157" i="15"/>
  <c r="Z1157" i="15" s="1"/>
  <c r="Y961" i="15"/>
  <c r="Z961" i="15" s="1"/>
  <c r="Y162" i="15"/>
  <c r="Z162" i="15" s="1"/>
  <c r="Y818" i="15"/>
  <c r="Z818" i="15" s="1"/>
  <c r="Y1355" i="15"/>
  <c r="Z1355" i="15" s="1"/>
  <c r="Y1280" i="15"/>
  <c r="Z1280" i="15" s="1"/>
  <c r="Y977" i="15"/>
  <c r="Z977" i="15" s="1"/>
  <c r="Y30" i="15"/>
  <c r="Z30" i="15" s="1"/>
  <c r="Y757" i="15"/>
  <c r="Z757" i="15" s="1"/>
  <c r="Y1095" i="15"/>
  <c r="Z1095" i="15" s="1"/>
  <c r="Y1390" i="15"/>
  <c r="Z1390" i="15" s="1"/>
  <c r="Y1113" i="15"/>
  <c r="Z1113" i="15" s="1"/>
  <c r="Y912" i="15"/>
  <c r="Z912" i="15" s="1"/>
  <c r="Y1479" i="15"/>
  <c r="Z1479" i="15" s="1"/>
  <c r="Y193" i="15"/>
  <c r="Z193" i="15" s="1"/>
  <c r="V30" i="5"/>
  <c r="E30" i="5" s="1"/>
  <c r="E22" i="16"/>
  <c r="V27" i="5"/>
  <c r="E27" i="5" s="1"/>
  <c r="E19" i="16"/>
  <c r="T27" i="5"/>
  <c r="D27" i="5" s="1"/>
  <c r="D19" i="16"/>
  <c r="Y241" i="15"/>
  <c r="Z241" i="15" s="1"/>
  <c r="Y386" i="15"/>
  <c r="Z386" i="15" s="1"/>
  <c r="Y36" i="15"/>
  <c r="Z36" i="15" s="1"/>
  <c r="AQ59" i="8"/>
  <c r="E61" i="8" s="1"/>
  <c r="T57" i="5" s="1"/>
  <c r="E57" i="5" s="1"/>
  <c r="V26" i="5"/>
  <c r="E26" i="5" s="1"/>
  <c r="E18" i="16"/>
  <c r="R155" i="15"/>
  <c r="R582" i="15"/>
  <c r="Y1102" i="15"/>
  <c r="Z1102" i="15" s="1"/>
  <c r="Y271" i="15"/>
  <c r="Z271" i="15" s="1"/>
  <c r="Y464" i="15"/>
  <c r="Z464" i="15" s="1"/>
  <c r="Y534" i="15"/>
  <c r="Z534" i="15" s="1"/>
  <c r="Y370" i="15"/>
  <c r="Z370" i="15" s="1"/>
  <c r="Y974" i="15"/>
  <c r="Z974" i="15" s="1"/>
  <c r="Y986" i="15"/>
  <c r="Z986" i="15" s="1"/>
  <c r="Y344" i="15"/>
  <c r="Z344" i="15" s="1"/>
  <c r="Y911" i="15"/>
  <c r="Z911" i="15" s="1"/>
  <c r="Y29" i="15"/>
  <c r="Z29" i="15" s="1"/>
  <c r="Y1082" i="15"/>
  <c r="Z1082" i="15" s="1"/>
  <c r="Y157" i="15"/>
  <c r="Z157" i="15" s="1"/>
  <c r="Y413" i="15"/>
  <c r="Z413" i="15" s="1"/>
  <c r="Y657" i="15"/>
  <c r="Z657" i="15" s="1"/>
  <c r="Y753" i="15"/>
  <c r="Z753" i="15" s="1"/>
  <c r="Y1270" i="15"/>
  <c r="Z1270" i="15" s="1"/>
  <c r="Y1276" i="15"/>
  <c r="Z1276" i="15" s="1"/>
  <c r="Y742" i="15"/>
  <c r="Z742" i="15" s="1"/>
  <c r="Y1384" i="15"/>
  <c r="Z1384" i="15" s="1"/>
  <c r="Y581" i="15"/>
  <c r="Z581" i="15" s="1"/>
  <c r="Y816" i="15"/>
  <c r="Z816" i="15" s="1"/>
  <c r="Y361" i="15"/>
  <c r="Z361" i="15" s="1"/>
  <c r="Y1116" i="15"/>
  <c r="Z1116" i="15" s="1"/>
  <c r="Y1364" i="15"/>
  <c r="Z1364" i="15" s="1"/>
  <c r="Y568" i="15"/>
  <c r="Z568" i="15" s="1"/>
  <c r="Y939" i="15"/>
  <c r="Z939" i="15" s="1"/>
  <c r="Y411" i="15"/>
  <c r="Z411" i="15" s="1"/>
  <c r="Y1562" i="15"/>
  <c r="Z1562" i="15" s="1"/>
  <c r="Y1417" i="15"/>
  <c r="Z1417" i="15" s="1"/>
  <c r="Y1528" i="15"/>
  <c r="Z1528" i="15" s="1"/>
  <c r="Y1013" i="15"/>
  <c r="Z1013" i="15" s="1"/>
  <c r="Y709" i="15"/>
  <c r="Z709" i="15" s="1"/>
  <c r="Y880" i="15"/>
  <c r="Z880" i="15" s="1"/>
  <c r="Y299" i="15"/>
  <c r="Z299" i="15" s="1"/>
  <c r="Y555" i="15"/>
  <c r="Z555" i="15" s="1"/>
  <c r="Y1369" i="15"/>
  <c r="Z1369" i="15" s="1"/>
  <c r="Y1576" i="15"/>
  <c r="Z1576" i="15" s="1"/>
  <c r="Y965" i="15"/>
  <c r="Z965" i="15" s="1"/>
  <c r="Y632" i="15"/>
  <c r="Z632" i="15" s="1"/>
  <c r="Y792" i="15"/>
  <c r="Z792" i="15" s="1"/>
  <c r="Y14" i="15"/>
  <c r="Z14" i="15" s="1"/>
  <c r="Y970" i="15"/>
  <c r="Z970" i="15" s="1"/>
  <c r="Y1446" i="15"/>
  <c r="Z1446" i="15" s="1"/>
  <c r="Y950" i="15"/>
  <c r="Z950" i="15" s="1"/>
  <c r="Y822" i="15"/>
  <c r="Z822" i="15" s="1"/>
  <c r="Y940" i="15"/>
  <c r="Z940" i="15" s="1"/>
  <c r="Y318" i="15"/>
  <c r="Z318" i="15" s="1"/>
  <c r="Y592" i="15"/>
  <c r="Z592" i="15" s="1"/>
  <c r="Y923" i="15"/>
  <c r="Z923" i="15" s="1"/>
  <c r="Y1004" i="15"/>
  <c r="Z1004" i="15" s="1"/>
  <c r="Y835" i="15"/>
  <c r="Z835" i="15" s="1"/>
  <c r="Y707" i="15"/>
  <c r="Z707" i="15" s="1"/>
  <c r="Y304" i="15"/>
  <c r="Z304" i="15" s="1"/>
  <c r="Y944" i="15"/>
  <c r="Z944" i="15" s="1"/>
  <c r="Y1243" i="15"/>
  <c r="Z1243" i="15" s="1"/>
  <c r="Y1443" i="15"/>
  <c r="Z1443" i="15" s="1"/>
  <c r="Y789" i="15"/>
  <c r="Z789" i="15" s="1"/>
  <c r="Y573" i="15"/>
  <c r="Z573" i="15" s="1"/>
  <c r="Y671" i="15"/>
  <c r="Z671" i="15" s="1"/>
  <c r="Y473" i="15"/>
  <c r="Z473" i="15" s="1"/>
  <c r="Y1052" i="15"/>
  <c r="Z1052" i="15" s="1"/>
  <c r="Y971" i="15"/>
  <c r="Z971" i="15" s="1"/>
  <c r="Y1335" i="15"/>
  <c r="Z1335" i="15" s="1"/>
  <c r="Y552" i="15"/>
  <c r="Z552" i="15" s="1"/>
  <c r="Y120" i="15"/>
  <c r="Z120" i="15" s="1"/>
  <c r="Y635" i="15"/>
  <c r="Z635" i="15" s="1"/>
  <c r="Y319" i="15"/>
  <c r="Z319" i="15" s="1"/>
  <c r="Y1469" i="15"/>
  <c r="Z1469" i="15" s="1"/>
  <c r="Y1474" i="15"/>
  <c r="Z1474" i="15" s="1"/>
  <c r="Y640" i="15"/>
  <c r="Z640" i="15" s="1"/>
  <c r="Y1290" i="15"/>
  <c r="Z1290" i="15" s="1"/>
  <c r="Y1449" i="15"/>
  <c r="Z1449" i="15" s="1"/>
  <c r="Y1513" i="15"/>
  <c r="Z1513" i="15" s="1"/>
  <c r="Y1410" i="15"/>
  <c r="Z1410" i="15" s="1"/>
  <c r="Y175" i="15"/>
  <c r="Z175" i="15" s="1"/>
  <c r="Y371" i="15"/>
  <c r="Z371" i="15" s="1"/>
  <c r="Y1106" i="15"/>
  <c r="Z1106" i="15" s="1"/>
  <c r="Y1152" i="15"/>
  <c r="Z1152" i="15" s="1"/>
  <c r="Y51" i="15"/>
  <c r="Z51" i="15" s="1"/>
  <c r="Y4" i="15"/>
  <c r="Z4" i="15" s="1"/>
  <c r="Y191" i="15"/>
  <c r="Z191" i="15" s="1"/>
  <c r="Y12" i="15"/>
  <c r="Z12" i="15" s="1"/>
  <c r="Y1267" i="15"/>
  <c r="Z1267" i="15" s="1"/>
  <c r="Y1415" i="15"/>
  <c r="Z1415" i="15" s="1"/>
  <c r="Y1041" i="15"/>
  <c r="Z1041" i="15" s="1"/>
  <c r="Y873" i="15"/>
  <c r="Z873" i="15" s="1"/>
  <c r="Y713" i="15"/>
  <c r="Z713" i="15" s="1"/>
  <c r="Y1455" i="15"/>
  <c r="Z1455" i="15" s="1"/>
  <c r="Y396" i="15"/>
  <c r="Z396" i="15" s="1"/>
  <c r="Y211" i="15"/>
  <c r="Z211" i="15" s="1"/>
  <c r="Y596" i="15"/>
  <c r="Z596" i="15" s="1"/>
  <c r="Y1094" i="15"/>
  <c r="Z1094" i="15" s="1"/>
  <c r="Y869" i="15"/>
  <c r="Z869" i="15" s="1"/>
  <c r="Y739" i="15"/>
  <c r="Z739" i="15" s="1"/>
  <c r="Y858" i="15"/>
  <c r="Z858" i="15" s="1"/>
  <c r="Y225" i="15"/>
  <c r="Z225" i="15" s="1"/>
  <c r="Y661" i="15"/>
  <c r="Z661" i="15" s="1"/>
  <c r="Y1132" i="15"/>
  <c r="Z1132" i="15" s="1"/>
  <c r="Y1380" i="15"/>
  <c r="Z1380" i="15" s="1"/>
  <c r="Y1008" i="15"/>
  <c r="Z1008" i="15" s="1"/>
  <c r="Y1029" i="15"/>
  <c r="Z1029" i="15" s="1"/>
  <c r="Y453" i="15"/>
  <c r="Z453" i="15" s="1"/>
  <c r="Y80" i="15"/>
  <c r="Z80" i="15" s="1"/>
  <c r="Y164" i="15"/>
  <c r="Z164" i="15" s="1"/>
  <c r="Y1036" i="15"/>
  <c r="Z1036" i="15" s="1"/>
  <c r="Y1284" i="15"/>
  <c r="Z1284" i="15" s="1"/>
  <c r="Y968" i="15"/>
  <c r="Z968" i="15" s="1"/>
  <c r="Y981" i="15"/>
  <c r="Z981" i="15" s="1"/>
  <c r="Y788" i="15"/>
  <c r="Z788" i="15" s="1"/>
  <c r="Y18" i="15"/>
  <c r="Z18" i="15" s="1"/>
  <c r="Y493" i="15"/>
  <c r="Z493" i="15" s="1"/>
  <c r="Y755" i="15"/>
  <c r="Z755" i="15" s="1"/>
  <c r="Y1105" i="15"/>
  <c r="Z1105" i="15" s="1"/>
  <c r="Y1005" i="15"/>
  <c r="Z1005" i="15" s="1"/>
  <c r="Y412" i="15"/>
  <c r="Z412" i="15" s="1"/>
  <c r="Y251" i="15"/>
  <c r="Z251" i="15" s="1"/>
  <c r="Y1217" i="15"/>
  <c r="Z1217" i="15" s="1"/>
  <c r="Y1341" i="15"/>
  <c r="Z1341" i="15" s="1"/>
  <c r="Y681" i="15"/>
  <c r="Z681" i="15" s="1"/>
  <c r="Y863" i="15"/>
  <c r="Z863" i="15" s="1"/>
  <c r="Y931" i="15"/>
  <c r="Z931" i="15" s="1"/>
  <c r="Y1179" i="15"/>
  <c r="Z1179" i="15" s="1"/>
  <c r="Y1206" i="15"/>
  <c r="Z1206" i="15" s="1"/>
  <c r="Y1405" i="15"/>
  <c r="Z1405" i="15" s="1"/>
  <c r="Y1540" i="15"/>
  <c r="Z1540" i="15" s="1"/>
  <c r="Y1216" i="15"/>
  <c r="Z1216" i="15" s="1"/>
  <c r="Y1171" i="15"/>
  <c r="Z1171" i="15" s="1"/>
  <c r="Y44" i="15"/>
  <c r="Z44" i="15" s="1"/>
  <c r="Y559" i="15"/>
  <c r="Z559" i="15" s="1"/>
  <c r="Y1151" i="15"/>
  <c r="Z1151" i="15" s="1"/>
  <c r="Y1357" i="15"/>
  <c r="Z1357" i="15" s="1"/>
  <c r="Y1481" i="15"/>
  <c r="Z1481" i="15" s="1"/>
  <c r="Y1168" i="15"/>
  <c r="Z1168" i="15" s="1"/>
  <c r="Y1119" i="15"/>
  <c r="Z1119" i="15" s="1"/>
  <c r="Y495" i="15"/>
  <c r="Z495" i="15" s="1"/>
  <c r="Y505" i="15"/>
  <c r="Z505" i="15" s="1"/>
  <c r="Y1236" i="15"/>
  <c r="Z1236" i="15" s="1"/>
  <c r="Y655" i="15"/>
  <c r="Z655" i="15" s="1"/>
  <c r="Y985" i="15"/>
  <c r="Z985" i="15" s="1"/>
  <c r="Y1112" i="15"/>
  <c r="Z1112" i="15" s="1"/>
  <c r="Y1259" i="15"/>
  <c r="Z1259" i="15" s="1"/>
  <c r="Y126" i="15"/>
  <c r="Z126" i="15" s="1"/>
  <c r="Y512" i="15"/>
  <c r="Z512" i="15" s="1"/>
  <c r="Y255" i="15"/>
  <c r="Z255" i="15" s="1"/>
  <c r="Y828" i="15"/>
  <c r="Z828" i="15" s="1"/>
  <c r="Y1581" i="15"/>
  <c r="Z1581" i="15" s="1"/>
  <c r="Y314" i="15"/>
  <c r="Z314" i="15" s="1"/>
  <c r="Y1022" i="15"/>
  <c r="Z1022" i="15" s="1"/>
  <c r="Y1365" i="15"/>
  <c r="Z1365" i="15" s="1"/>
  <c r="Y1580" i="15"/>
  <c r="Z1580" i="15" s="1"/>
  <c r="Y1519" i="15"/>
  <c r="Z1519" i="15" s="1"/>
  <c r="Y984" i="15"/>
  <c r="Z984" i="15" s="1"/>
  <c r="Y85" i="15"/>
  <c r="Z85" i="15" s="1"/>
  <c r="Y309" i="15"/>
  <c r="Z309" i="15" s="1"/>
  <c r="Y530" i="15"/>
  <c r="Z530" i="15" s="1"/>
  <c r="Y1210" i="15"/>
  <c r="Z1210" i="15" s="1"/>
  <c r="Y550" i="15"/>
  <c r="Z550" i="15" s="1"/>
  <c r="Y210" i="15"/>
  <c r="Z210" i="15" s="1"/>
  <c r="Y952" i="15"/>
  <c r="Z952" i="15" s="1"/>
  <c r="Y699" i="15"/>
  <c r="Z699" i="15" s="1"/>
  <c r="Y346" i="15"/>
  <c r="Z346" i="15" s="1"/>
  <c r="Y1491" i="15"/>
  <c r="Z1491" i="15" s="1"/>
  <c r="Y1462" i="15"/>
  <c r="Z1462" i="15" s="1"/>
  <c r="Y625" i="15"/>
  <c r="Z625" i="15" s="1"/>
  <c r="Y1073" i="15"/>
  <c r="Z1073" i="15" s="1"/>
  <c r="Y1111" i="15"/>
  <c r="Z1111" i="15" s="1"/>
  <c r="Y1245" i="15"/>
  <c r="Z1245" i="15" s="1"/>
  <c r="Y1264" i="15"/>
  <c r="Z1264" i="15" s="1"/>
  <c r="Y689" i="15"/>
  <c r="Z689" i="15" s="1"/>
  <c r="Y883" i="15"/>
  <c r="Z883" i="15" s="1"/>
  <c r="Y178" i="15"/>
  <c r="Z178" i="15" s="1"/>
  <c r="Y851" i="15"/>
  <c r="Z851" i="15" s="1"/>
  <c r="Y1033" i="15"/>
  <c r="Z1033" i="15" s="1"/>
  <c r="Y1193" i="15"/>
  <c r="Z1193" i="15" s="1"/>
  <c r="Y908" i="15"/>
  <c r="Z908" i="15" s="1"/>
  <c r="Y648" i="15"/>
  <c r="Z648" i="15" s="1"/>
  <c r="Y864" i="15"/>
  <c r="Z864" i="15" s="1"/>
  <c r="Y466" i="15"/>
  <c r="Z466" i="15" s="1"/>
  <c r="Y1062" i="15"/>
  <c r="Z1062" i="15" s="1"/>
  <c r="Y252" i="15"/>
  <c r="Z252" i="15" s="1"/>
  <c r="Y747" i="15"/>
  <c r="Z747" i="15" s="1"/>
  <c r="Y1020" i="15"/>
  <c r="Z1020" i="15" s="1"/>
  <c r="Y352" i="15"/>
  <c r="Z352" i="15" s="1"/>
  <c r="Y1246" i="15"/>
  <c r="Z1246" i="15" s="1"/>
  <c r="Y2" i="15"/>
  <c r="Z2" i="15" s="1"/>
  <c r="Y1254" i="15"/>
  <c r="Z1254" i="15" s="1"/>
  <c r="Y469" i="15"/>
  <c r="Z469" i="15" s="1"/>
  <c r="Y886" i="15"/>
  <c r="Z886" i="15" s="1"/>
  <c r="Y980" i="15"/>
  <c r="Z980" i="15" s="1"/>
  <c r="Y60" i="15"/>
  <c r="Z60" i="15" s="1"/>
  <c r="Y1546" i="15"/>
  <c r="Z1546" i="15" s="1"/>
  <c r="Y59" i="15"/>
  <c r="Z59" i="15" s="1"/>
  <c r="Y798" i="15"/>
  <c r="Z798" i="15" s="1"/>
  <c r="Y1059" i="15"/>
  <c r="Z1059" i="15" s="1"/>
  <c r="Y1040" i="15"/>
  <c r="Z1040" i="15" s="1"/>
  <c r="Y925" i="15"/>
  <c r="Z925" i="15" s="1"/>
  <c r="Y719" i="15"/>
  <c r="Z719" i="15" s="1"/>
  <c r="Y1383" i="15"/>
  <c r="Z1383" i="15" s="1"/>
  <c r="Y972" i="15"/>
  <c r="Z972" i="15" s="1"/>
  <c r="Y845" i="15"/>
  <c r="Z845" i="15" s="1"/>
  <c r="Y766" i="15"/>
  <c r="Z766" i="15" s="1"/>
  <c r="Y700" i="15"/>
  <c r="Z700" i="15" s="1"/>
  <c r="Y624" i="15"/>
  <c r="Z624" i="15" s="1"/>
  <c r="Y1340" i="15"/>
  <c r="Z1340" i="15" s="1"/>
  <c r="Y1108" i="15"/>
  <c r="Z1108" i="15" s="1"/>
  <c r="Y1356" i="15"/>
  <c r="Z1356" i="15" s="1"/>
  <c r="Y1247" i="15"/>
  <c r="Z1247" i="15" s="1"/>
  <c r="Y861" i="15"/>
  <c r="Z861" i="15" s="1"/>
  <c r="Y15" i="15"/>
  <c r="Z15" i="15" s="1"/>
  <c r="Y97" i="15"/>
  <c r="Z97" i="15" s="1"/>
  <c r="Y672" i="15"/>
  <c r="Z672" i="15" s="1"/>
  <c r="Y1012" i="15"/>
  <c r="Z1012" i="15" s="1"/>
  <c r="Y1260" i="15"/>
  <c r="Z1260" i="15" s="1"/>
  <c r="Y1183" i="15"/>
  <c r="Z1183" i="15" s="1"/>
  <c r="Y825" i="15"/>
  <c r="Z825" i="15" s="1"/>
  <c r="Y1242" i="15"/>
  <c r="Z1242" i="15" s="1"/>
  <c r="Y296" i="15"/>
  <c r="Z296" i="15" s="1"/>
  <c r="Y743" i="15"/>
  <c r="Z743" i="15" s="1"/>
  <c r="Y758" i="15"/>
  <c r="Z758" i="15" s="1"/>
  <c r="Y859" i="15"/>
  <c r="Z859" i="15" s="1"/>
  <c r="Y1099" i="15"/>
  <c r="Z1099" i="15" s="1"/>
  <c r="Y680" i="15"/>
  <c r="Z680" i="15" s="1"/>
  <c r="Y630" i="15"/>
  <c r="Z630" i="15" s="1"/>
  <c r="Y115" i="15"/>
  <c r="Z115" i="15" s="1"/>
  <c r="Y1505" i="15"/>
  <c r="Z1505" i="15" s="1"/>
  <c r="Y1541" i="15"/>
  <c r="Z1541" i="15" s="1"/>
  <c r="Y305" i="15"/>
  <c r="Z305" i="15" s="1"/>
  <c r="Y350" i="15"/>
  <c r="Z350" i="15" s="1"/>
  <c r="Y1509" i="15"/>
  <c r="Z1509" i="15" s="1"/>
  <c r="Y1028" i="15"/>
  <c r="Z1028" i="15" s="1"/>
  <c r="Y1180" i="15"/>
  <c r="Z1180" i="15" s="1"/>
  <c r="Y1416" i="15"/>
  <c r="Z1416" i="15" s="1"/>
  <c r="Y821" i="15"/>
  <c r="Z821" i="15" s="1"/>
  <c r="Y503" i="15"/>
  <c r="Z503" i="15" s="1"/>
  <c r="Y837" i="15"/>
  <c r="Z837" i="15" s="1"/>
  <c r="Y434" i="15"/>
  <c r="Z434" i="15" s="1"/>
  <c r="Y519" i="15"/>
  <c r="Z519" i="15" s="1"/>
  <c r="Y433" i="15"/>
  <c r="Z433" i="15" s="1"/>
  <c r="Y718" i="15"/>
  <c r="Z718" i="15" s="1"/>
  <c r="Y1148" i="15"/>
  <c r="Z1148" i="15" s="1"/>
  <c r="Y320" i="15"/>
  <c r="Z320" i="15" s="1"/>
  <c r="Y600" i="15"/>
  <c r="Z600" i="15" s="1"/>
  <c r="Y783" i="15"/>
  <c r="Z783" i="15" s="1"/>
  <c r="Y797" i="15"/>
  <c r="Z797" i="15" s="1"/>
  <c r="Y154" i="15"/>
  <c r="Z154" i="15" s="1"/>
  <c r="Y501" i="15"/>
  <c r="Z501" i="15" s="1"/>
  <c r="Y1278" i="15"/>
  <c r="Z1278" i="15" s="1"/>
  <c r="Y390" i="15"/>
  <c r="Z390" i="15" s="1"/>
  <c r="Y1473" i="15"/>
  <c r="Z1473" i="15" s="1"/>
  <c r="Y1453" i="15"/>
  <c r="Z1453" i="15" s="1"/>
  <c r="Y815" i="15"/>
  <c r="Z815" i="15" s="1"/>
  <c r="Y1375" i="15"/>
  <c r="Z1375" i="15" s="1"/>
  <c r="Y1279" i="15"/>
  <c r="Z1279" i="15" s="1"/>
  <c r="Y729" i="15"/>
  <c r="Z729" i="15" s="1"/>
  <c r="Y1223" i="15"/>
  <c r="Z1223" i="15" s="1"/>
  <c r="Y1329" i="15"/>
  <c r="Z1329" i="15" s="1"/>
  <c r="Y955" i="15"/>
  <c r="Z955" i="15" s="1"/>
  <c r="Y1319" i="15"/>
  <c r="Z1319" i="15" s="1"/>
  <c r="Y870" i="15"/>
  <c r="Z870" i="15" s="1"/>
  <c r="Y639" i="15"/>
  <c r="Z639" i="15" s="1"/>
  <c r="Y491" i="15"/>
  <c r="Z491" i="15" s="1"/>
  <c r="Y228" i="15"/>
  <c r="Z228" i="15" s="1"/>
  <c r="Y1049" i="15"/>
  <c r="Z1049" i="15" s="1"/>
  <c r="Y1201" i="15"/>
  <c r="Z1201" i="15" s="1"/>
  <c r="Y1101" i="15"/>
  <c r="Z1101" i="15" s="1"/>
  <c r="Y951" i="15"/>
  <c r="Z951" i="15" s="1"/>
  <c r="Y99" i="15"/>
  <c r="Z99" i="15" s="1"/>
  <c r="Y282" i="15"/>
  <c r="Z282" i="15" s="1"/>
  <c r="Y422" i="15"/>
  <c r="Z422" i="15" s="1"/>
  <c r="Y953" i="15"/>
  <c r="Z953" i="15" s="1"/>
  <c r="Y1153" i="15"/>
  <c r="Z1153" i="15" s="1"/>
  <c r="Y1053" i="15"/>
  <c r="Z1053" i="15" s="1"/>
  <c r="Y843" i="15"/>
  <c r="Z843" i="15" s="1"/>
  <c r="Y569" i="15"/>
  <c r="Z569" i="15" s="1"/>
  <c r="Y598" i="15"/>
  <c r="Z598" i="15" s="1"/>
  <c r="Y683" i="15"/>
  <c r="Z683" i="15" s="1"/>
  <c r="Y1265" i="15"/>
  <c r="Z1265" i="15" s="1"/>
  <c r="Y1389" i="15"/>
  <c r="Z1389" i="15" s="1"/>
  <c r="Y915" i="15"/>
  <c r="Z915" i="15" s="1"/>
  <c r="Y932" i="15"/>
  <c r="Z932" i="15" s="1"/>
  <c r="Y1295" i="15"/>
  <c r="Z1295" i="15" s="1"/>
  <c r="Y1568" i="15"/>
  <c r="Z1568" i="15" s="1"/>
  <c r="Y1492" i="15"/>
  <c r="Z1492" i="15" s="1"/>
  <c r="Y1312" i="15"/>
  <c r="Z1312" i="15" s="1"/>
  <c r="Y1227" i="15"/>
  <c r="Z1227" i="15" s="1"/>
  <c r="Y278" i="15"/>
  <c r="Z278" i="15" s="1"/>
  <c r="Y599" i="15"/>
  <c r="Z599" i="15" s="1"/>
  <c r="Y1504" i="15"/>
  <c r="Z1504" i="15" s="1"/>
  <c r="Y1110" i="15"/>
  <c r="Z1110" i="15" s="1"/>
  <c r="Y270" i="15"/>
  <c r="Z270" i="15" s="1"/>
  <c r="Y704" i="15"/>
  <c r="Z704" i="15" s="1"/>
  <c r="Y143" i="15"/>
  <c r="Z143" i="15" s="1"/>
  <c r="Y612" i="15"/>
  <c r="Z612" i="15" s="1"/>
  <c r="Y518" i="15"/>
  <c r="Z518" i="15" s="1"/>
  <c r="Y1552" i="15"/>
  <c r="Z1552" i="15" s="1"/>
  <c r="Y1302" i="15"/>
  <c r="Z1302" i="15" s="1"/>
  <c r="Y998" i="15"/>
  <c r="Z998" i="15" s="1"/>
  <c r="Y502" i="15"/>
  <c r="Z502" i="15" s="1"/>
  <c r="Y103" i="15"/>
  <c r="Z103" i="15" s="1"/>
  <c r="Y567" i="15"/>
  <c r="Z567" i="15" s="1"/>
  <c r="Y404" i="15"/>
  <c r="Z404" i="15" s="1"/>
  <c r="Y1129" i="15"/>
  <c r="Z1129" i="15" s="1"/>
  <c r="Y1253" i="15"/>
  <c r="Z1253" i="15" s="1"/>
  <c r="Y1328" i="15"/>
  <c r="Z1328" i="15" s="1"/>
  <c r="Y420" i="15"/>
  <c r="Z420" i="15" s="1"/>
  <c r="Y676" i="15"/>
  <c r="Z676" i="15" s="1"/>
  <c r="Y10" i="15"/>
  <c r="Z10" i="15" s="1"/>
  <c r="Y263" i="15"/>
  <c r="Z263" i="15" s="1"/>
  <c r="Y1521" i="15"/>
  <c r="Z1521" i="15" s="1"/>
  <c r="Y159" i="15"/>
  <c r="Z159" i="15" s="1"/>
  <c r="Y541" i="15"/>
  <c r="Z541" i="15" s="1"/>
  <c r="Y959" i="15"/>
  <c r="Z959" i="15" s="1"/>
  <c r="Y1538" i="15"/>
  <c r="Z1538" i="15" s="1"/>
  <c r="Y1458" i="15"/>
  <c r="Z1458" i="15" s="1"/>
  <c r="Y966" i="15"/>
  <c r="Z966" i="15" s="1"/>
  <c r="Y691" i="15"/>
  <c r="Z691" i="15" s="1"/>
  <c r="Y1325" i="15"/>
  <c r="Z1325" i="15" s="1"/>
  <c r="Y545" i="15"/>
  <c r="Z545" i="15" s="1"/>
  <c r="Y1499" i="15"/>
  <c r="Z1499" i="15" s="1"/>
  <c r="Y881" i="15"/>
  <c r="Z881" i="15" s="1"/>
  <c r="Y1438" i="15"/>
  <c r="Z1438" i="15" s="1"/>
  <c r="Y254" i="15"/>
  <c r="Z254" i="15" s="1"/>
  <c r="Y1345" i="15"/>
  <c r="Z1345" i="15" s="1"/>
  <c r="Y215" i="15"/>
  <c r="Z215" i="15" s="1"/>
  <c r="Y1486" i="15"/>
  <c r="Z1486" i="15" s="1"/>
  <c r="Y515" i="15"/>
  <c r="Z515" i="15" s="1"/>
  <c r="Y145" i="15"/>
  <c r="Z145" i="15" s="1"/>
  <c r="Y685" i="15"/>
  <c r="Z685" i="15" s="1"/>
  <c r="Y1222" i="15"/>
  <c r="Z1222" i="15" s="1"/>
  <c r="Y1300" i="15"/>
  <c r="Z1300" i="15" s="1"/>
  <c r="Y1366" i="15"/>
  <c r="Z1366" i="15" s="1"/>
  <c r="Y650" i="15"/>
  <c r="Z650" i="15" s="1"/>
  <c r="Y701" i="15"/>
  <c r="Z701" i="15" s="1"/>
  <c r="Y463" i="15"/>
  <c r="Z463" i="15" s="1"/>
  <c r="Y762" i="15"/>
  <c r="Z762" i="15" s="1"/>
  <c r="Y1229" i="15"/>
  <c r="Z1229" i="15" s="1"/>
  <c r="Y1353" i="15"/>
  <c r="Z1353" i="15" s="1"/>
  <c r="Y1429" i="15"/>
  <c r="Z1429" i="15" s="1"/>
  <c r="Y706" i="15"/>
  <c r="Z706" i="15" s="1"/>
  <c r="Y947" i="15"/>
  <c r="Z947" i="15" s="1"/>
  <c r="Y1553" i="15"/>
  <c r="Z1553" i="15" s="1"/>
  <c r="Y595" i="15"/>
  <c r="Z595" i="15" s="1"/>
  <c r="Y983" i="15"/>
  <c r="Z983" i="15" s="1"/>
  <c r="Y1339" i="15"/>
  <c r="Z1339" i="15" s="1"/>
  <c r="Y1128" i="15"/>
  <c r="Z1128" i="15" s="1"/>
  <c r="Y1021" i="15"/>
  <c r="Z1021" i="15" s="1"/>
  <c r="Y844" i="15"/>
  <c r="Z844" i="15" s="1"/>
  <c r="Y946" i="15"/>
  <c r="Z946" i="15" s="1"/>
  <c r="Y337" i="15"/>
  <c r="Z337" i="15" s="1"/>
  <c r="Y665" i="15"/>
  <c r="Z665" i="15" s="1"/>
  <c r="Y1195" i="15"/>
  <c r="Z1195" i="15" s="1"/>
  <c r="Y1080" i="15"/>
  <c r="Z1080" i="15" s="1"/>
  <c r="Y973" i="15"/>
  <c r="Z973" i="15" s="1"/>
  <c r="Y688" i="15"/>
  <c r="Z688" i="15" s="1"/>
  <c r="Y114" i="15"/>
  <c r="Z114" i="15" s="1"/>
  <c r="Y527" i="15"/>
  <c r="Z527" i="15" s="1"/>
  <c r="Y494" i="15"/>
  <c r="Z494" i="15" s="1"/>
  <c r="Y1072" i="15"/>
  <c r="Z1072" i="15" s="1"/>
  <c r="Y424" i="15"/>
  <c r="Z424" i="15" s="1"/>
  <c r="Y830" i="15"/>
  <c r="Z830" i="15" s="1"/>
  <c r="Y834" i="15"/>
  <c r="Z834" i="15" s="1"/>
  <c r="Y1204" i="15"/>
  <c r="Z1204" i="15" s="1"/>
  <c r="Y1452" i="15"/>
  <c r="Z1452" i="15" s="1"/>
  <c r="Y1315" i="15"/>
  <c r="Z1315" i="15" s="1"/>
  <c r="Y522" i="15"/>
  <c r="Z522" i="15" s="1"/>
  <c r="Y78" i="15"/>
  <c r="Z78" i="15" s="1"/>
  <c r="Y183" i="15"/>
  <c r="Z183" i="15" s="1"/>
  <c r="Y1428" i="15"/>
  <c r="Z1428" i="15" s="1"/>
  <c r="Y1025" i="15"/>
  <c r="Z1025" i="15" s="1"/>
  <c r="Y1141" i="15"/>
  <c r="Z1141" i="15" s="1"/>
  <c r="Y1208" i="15"/>
  <c r="Z1208" i="15" s="1"/>
  <c r="Y1363" i="15"/>
  <c r="Z1363" i="15" s="1"/>
  <c r="Y284" i="15"/>
  <c r="Z284" i="15" s="1"/>
  <c r="Y391" i="15"/>
  <c r="Z391" i="15" s="1"/>
  <c r="Y1332" i="15"/>
  <c r="Z1332" i="15" s="1"/>
  <c r="Y929" i="15"/>
  <c r="Z929" i="15" s="1"/>
  <c r="Y1081" i="15"/>
  <c r="Z1081" i="15" s="1"/>
  <c r="Y1160" i="15"/>
  <c r="Z1160" i="15" s="1"/>
  <c r="Y1311" i="15"/>
  <c r="Z1311" i="15" s="1"/>
  <c r="Y217" i="15"/>
  <c r="Z217" i="15" s="1"/>
  <c r="Y247" i="15"/>
  <c r="Z247" i="15" s="1"/>
  <c r="Y1131" i="15"/>
  <c r="Z1131" i="15" s="1"/>
  <c r="Y1459" i="15"/>
  <c r="Z1459" i="15" s="1"/>
  <c r="Y1391" i="15"/>
  <c r="Z1391" i="15" s="1"/>
  <c r="Y1392" i="15"/>
  <c r="Z1392" i="15" s="1"/>
  <c r="Y43" i="15"/>
  <c r="Z43" i="15" s="1"/>
  <c r="Y240" i="15"/>
  <c r="Z240" i="15" s="1"/>
  <c r="Y177" i="15"/>
  <c r="Z177" i="15" s="1"/>
  <c r="Y1577" i="15"/>
  <c r="Z1577" i="15" s="1"/>
  <c r="Y307" i="15"/>
  <c r="Z307" i="15" s="1"/>
  <c r="Y383" i="15"/>
  <c r="Z383" i="15" s="1"/>
  <c r="Y395" i="15"/>
  <c r="Z395" i="15" s="1"/>
  <c r="Y273" i="15"/>
  <c r="Z273" i="15" s="1"/>
  <c r="Y723" i="15"/>
  <c r="Z723" i="15" s="1"/>
  <c r="Y1097" i="15"/>
  <c r="Z1097" i="15" s="1"/>
  <c r="Y1547" i="15"/>
  <c r="Z1547" i="15" s="1"/>
  <c r="Y603" i="15"/>
  <c r="Z603" i="15" s="1"/>
  <c r="Y118" i="15"/>
  <c r="Z118" i="15" s="1"/>
  <c r="Y497" i="15"/>
  <c r="Z497" i="15" s="1"/>
  <c r="Y1358" i="15"/>
  <c r="Z1358" i="15" s="1"/>
  <c r="Y200" i="15"/>
  <c r="Z200" i="15" s="1"/>
  <c r="Y152" i="15"/>
  <c r="Z152" i="15" s="1"/>
  <c r="Y274" i="15"/>
  <c r="Z274" i="15" s="1"/>
  <c r="Y1231" i="15"/>
  <c r="Z1231" i="15" s="1"/>
  <c r="Y331" i="15"/>
  <c r="Z331" i="15" s="1"/>
  <c r="Y1090" i="15"/>
  <c r="Z1090" i="15" s="1"/>
  <c r="Y313" i="15"/>
  <c r="Z313" i="15" s="1"/>
  <c r="Y150" i="15"/>
  <c r="Z150" i="15" s="1"/>
  <c r="Y708" i="15"/>
  <c r="Z708" i="15" s="1"/>
  <c r="Y1065" i="15"/>
  <c r="Z1065" i="15" s="1"/>
  <c r="Y490" i="15"/>
  <c r="Z490" i="15" s="1"/>
  <c r="Y993" i="15"/>
  <c r="Z993" i="15" s="1"/>
  <c r="Y1400" i="15"/>
  <c r="Z1400" i="15" s="1"/>
  <c r="Y678" i="15"/>
  <c r="Z678" i="15" s="1"/>
  <c r="Y38" i="15"/>
  <c r="Z38" i="15" s="1"/>
  <c r="Y666" i="15"/>
  <c r="Z666" i="15" s="1"/>
  <c r="Y1403" i="15"/>
  <c r="Z1403" i="15" s="1"/>
  <c r="Y1000" i="15"/>
  <c r="Z1000" i="15" s="1"/>
  <c r="Y1060" i="15"/>
  <c r="Z1060" i="15" s="1"/>
  <c r="Y899" i="15"/>
  <c r="Z899" i="15" s="1"/>
  <c r="Y627" i="15"/>
  <c r="Z627" i="15" s="1"/>
  <c r="Y127" i="15"/>
  <c r="Z127" i="15" s="1"/>
  <c r="Y277" i="15"/>
  <c r="Z277" i="15" s="1"/>
  <c r="Y1361" i="15"/>
  <c r="Z1361" i="15" s="1"/>
  <c r="Y1584" i="15"/>
  <c r="Z1584" i="15" s="1"/>
  <c r="Y1055" i="15"/>
  <c r="Z1055" i="15" s="1"/>
  <c r="Y1056" i="15"/>
  <c r="Z1056" i="15" s="1"/>
  <c r="Y1063" i="15"/>
  <c r="Z1063" i="15" s="1"/>
  <c r="Y846" i="15"/>
  <c r="Z846" i="15" s="1"/>
  <c r="Y840" i="15"/>
  <c r="Z840" i="15" s="1"/>
  <c r="Y1313" i="15"/>
  <c r="Z1313" i="15" s="1"/>
  <c r="Y1437" i="15"/>
  <c r="Z1437" i="15" s="1"/>
  <c r="Y987" i="15"/>
  <c r="Z987" i="15" s="1"/>
  <c r="Y976" i="15"/>
  <c r="Z976" i="15" s="1"/>
  <c r="Y1019" i="15"/>
  <c r="Z1019" i="15" s="1"/>
  <c r="Y1307" i="15"/>
  <c r="Z1307" i="15" s="1"/>
  <c r="Y1137" i="15"/>
  <c r="Z1137" i="15" s="1"/>
  <c r="Y1520" i="15"/>
  <c r="Z1520" i="15" s="1"/>
  <c r="Y1174" i="15"/>
  <c r="Z1174" i="15" s="1"/>
  <c r="Y1360" i="15"/>
  <c r="Z1360" i="15" s="1"/>
  <c r="Y1331" i="15"/>
  <c r="Z1331" i="15" s="1"/>
  <c r="Y1414" i="15"/>
  <c r="Z1414" i="15" s="1"/>
  <c r="Y918" i="15"/>
  <c r="Z918" i="15" s="1"/>
  <c r="Y705" i="15"/>
  <c r="Z705" i="15" s="1"/>
  <c r="Y785" i="15"/>
  <c r="Z785" i="15" s="1"/>
  <c r="Y437" i="15"/>
  <c r="Z437" i="15" s="1"/>
  <c r="Y384" i="15"/>
  <c r="Z384" i="15" s="1"/>
  <c r="Y623" i="15"/>
  <c r="Z623" i="15" s="1"/>
  <c r="Y664" i="15"/>
  <c r="Z664" i="15" s="1"/>
  <c r="Y943" i="15"/>
  <c r="Z943" i="15" s="1"/>
  <c r="Y1163" i="15"/>
  <c r="Z1163" i="15" s="1"/>
  <c r="Y1235" i="15"/>
  <c r="Z1235" i="15" s="1"/>
  <c r="Y790" i="15"/>
  <c r="Z790" i="15" s="1"/>
  <c r="Y1218" i="15"/>
  <c r="Z1218" i="15" s="1"/>
  <c r="Y222" i="15"/>
  <c r="Z222" i="15" s="1"/>
  <c r="Y773" i="15"/>
  <c r="Z773" i="15" s="1"/>
  <c r="Y336" i="15"/>
  <c r="Z336" i="15" s="1"/>
  <c r="Y1031" i="15"/>
  <c r="Z1031" i="15" s="1"/>
  <c r="Y1167" i="15"/>
  <c r="Z1167" i="15" s="1"/>
  <c r="Y738" i="15"/>
  <c r="Z738" i="15" s="1"/>
  <c r="Y670" i="15"/>
  <c r="Z670" i="15" s="1"/>
  <c r="Y168" i="15"/>
  <c r="Z168" i="15" s="1"/>
  <c r="Y1413" i="15"/>
  <c r="Z1413" i="15" s="1"/>
  <c r="Y1532" i="15"/>
  <c r="Z1532" i="15" s="1"/>
  <c r="Y733" i="15"/>
  <c r="Z733" i="15" s="1"/>
  <c r="Y1411" i="15"/>
  <c r="Z1411" i="15" s="1"/>
  <c r="Y756" i="15"/>
  <c r="Z756" i="15" s="1"/>
  <c r="Y780" i="15"/>
  <c r="Z780" i="15" s="1"/>
  <c r="Y224" i="15"/>
  <c r="Z224" i="15" s="1"/>
  <c r="Y1042" i="15"/>
  <c r="Z1042" i="15" s="1"/>
  <c r="Y48" i="15"/>
  <c r="Z48" i="15" s="1"/>
  <c r="Y1250" i="15"/>
  <c r="Z1250" i="15" s="1"/>
  <c r="Y848" i="15"/>
  <c r="Z848" i="15" s="1"/>
  <c r="Y1563" i="15"/>
  <c r="Z1563" i="15" s="1"/>
  <c r="Y144" i="15"/>
  <c r="Z144" i="15" s="1"/>
  <c r="Y1574" i="15"/>
  <c r="Z1574" i="15" s="1"/>
  <c r="Y1087" i="15"/>
  <c r="Z1087" i="15" s="1"/>
  <c r="Y576" i="15"/>
  <c r="Z576" i="15" s="1"/>
  <c r="Y1503" i="15"/>
  <c r="Z1503" i="15" s="1"/>
  <c r="Y79" i="15"/>
  <c r="Z79" i="15" s="1"/>
  <c r="Y827" i="15"/>
  <c r="Z827" i="15" s="1"/>
  <c r="Y1377" i="15"/>
  <c r="Z1377" i="15" s="1"/>
  <c r="Y243" i="15"/>
  <c r="Z243" i="15" s="1"/>
  <c r="Y294" i="15"/>
  <c r="Z294" i="15" s="1"/>
  <c r="Y856" i="15"/>
  <c r="Z856" i="15" s="1"/>
  <c r="Y1470" i="15"/>
  <c r="Z1470" i="15" s="1"/>
  <c r="Y996" i="15"/>
  <c r="Z996" i="15" s="1"/>
  <c r="Y1465" i="15"/>
  <c r="Z1465" i="15" s="1"/>
  <c r="Y893" i="15"/>
  <c r="Z893" i="15" s="1"/>
  <c r="Y1381" i="15"/>
  <c r="Z1381" i="15" s="1"/>
  <c r="Y854" i="15"/>
  <c r="Z854" i="15" s="1"/>
  <c r="Y999" i="15"/>
  <c r="Z999" i="15" s="1"/>
  <c r="Y557" i="15"/>
  <c r="Z557" i="15" s="1"/>
  <c r="Y1326" i="15"/>
  <c r="Z1326" i="15" s="1"/>
  <c r="Y1228" i="15"/>
  <c r="Z1228" i="15" s="1"/>
  <c r="Y621" i="15"/>
  <c r="Z621" i="15" s="1"/>
  <c r="Y1048" i="15"/>
  <c r="Z1048" i="15" s="1"/>
  <c r="Y1077" i="15"/>
  <c r="Z1077" i="15" s="1"/>
  <c r="Y400" i="15"/>
  <c r="Z400" i="15" s="1"/>
  <c r="Y448" i="15"/>
  <c r="Z448" i="15" s="1"/>
  <c r="Y1185" i="15"/>
  <c r="Z1185" i="15" s="1"/>
  <c r="Y1286" i="15"/>
  <c r="Z1286" i="15" s="1"/>
  <c r="Y720" i="15"/>
  <c r="Z720" i="15" s="1"/>
  <c r="Y202" i="15"/>
  <c r="Z202" i="15" s="1"/>
  <c r="Y1423" i="15"/>
  <c r="Z1423" i="15" s="1"/>
  <c r="Y81" i="15"/>
  <c r="Z81" i="15" s="1"/>
  <c r="Y172" i="15"/>
  <c r="Z172" i="15" s="1"/>
  <c r="Y1014" i="15"/>
  <c r="Z1014" i="15" s="1"/>
  <c r="Y1466" i="15"/>
  <c r="Z1466" i="15" s="1"/>
  <c r="Y982" i="15"/>
  <c r="Z982" i="15" s="1"/>
  <c r="Y1408" i="15"/>
  <c r="Z1408" i="15" s="1"/>
  <c r="Y1379" i="15"/>
  <c r="Z1379" i="15" s="1"/>
  <c r="Y542" i="15"/>
  <c r="Z542" i="15" s="1"/>
  <c r="Y498" i="15"/>
  <c r="Z498" i="15" s="1"/>
  <c r="Y1030" i="15"/>
  <c r="Z1030" i="15" s="1"/>
  <c r="Y653" i="15"/>
  <c r="Z653" i="15" s="1"/>
  <c r="Y866" i="15"/>
  <c r="Z866" i="15" s="1"/>
  <c r="Y841" i="15"/>
  <c r="Z841" i="15" s="1"/>
  <c r="Y467" i="15"/>
  <c r="Z467" i="15" s="1"/>
  <c r="Y826" i="15"/>
  <c r="Z826" i="15" s="1"/>
  <c r="Y1083" i="15"/>
  <c r="Z1083" i="15" s="1"/>
  <c r="Y1303" i="15"/>
  <c r="Z1303" i="15" s="1"/>
  <c r="Y1299" i="15"/>
  <c r="Z1299" i="15" s="1"/>
  <c r="Y838" i="15"/>
  <c r="Z838" i="15" s="1"/>
  <c r="Y1378" i="15"/>
  <c r="Z1378" i="15" s="1"/>
  <c r="Y281" i="15"/>
  <c r="Z281" i="15" s="1"/>
  <c r="Y1395" i="15"/>
  <c r="Z1395" i="15" s="1"/>
  <c r="Y992" i="15"/>
  <c r="Z992" i="15" s="1"/>
  <c r="Y633" i="15"/>
  <c r="Z633" i="15" s="1"/>
  <c r="Y673" i="15"/>
  <c r="Z673" i="15" s="1"/>
  <c r="Y311" i="15"/>
  <c r="Z311" i="15" s="1"/>
  <c r="Y22" i="15"/>
  <c r="Z22" i="15" s="1"/>
  <c r="Y584" i="15"/>
  <c r="Z584" i="15" s="1"/>
  <c r="Y1263" i="15"/>
  <c r="Z1263" i="15" s="1"/>
  <c r="Y877" i="15"/>
  <c r="Z877" i="15" s="1"/>
  <c r="Y1447" i="15"/>
  <c r="Z1447" i="15" s="1"/>
  <c r="Y1440" i="15"/>
  <c r="Z1440" i="15" s="1"/>
  <c r="Y173" i="15"/>
  <c r="Z173" i="15" s="1"/>
  <c r="Y308" i="15"/>
  <c r="Z308" i="15" s="1"/>
  <c r="Y508" i="15"/>
  <c r="Z508" i="15" s="1"/>
  <c r="Y1078" i="15"/>
  <c r="Z1078" i="15" s="1"/>
  <c r="Y868" i="15"/>
  <c r="Z868" i="15" s="1"/>
  <c r="Y799" i="15"/>
  <c r="Z799" i="15" s="1"/>
  <c r="Y1336" i="15"/>
  <c r="Z1336" i="15" s="1"/>
  <c r="Y659" i="15"/>
  <c r="Z659" i="15" s="1"/>
  <c r="Y694" i="15"/>
  <c r="Z694" i="15" s="1"/>
  <c r="Y111" i="15"/>
  <c r="Z111" i="15" s="1"/>
  <c r="Y230" i="15"/>
  <c r="Z230" i="15" s="1"/>
  <c r="Y1529" i="15"/>
  <c r="Z1529" i="15" s="1"/>
  <c r="Y340" i="15"/>
  <c r="Z340" i="15" s="1"/>
  <c r="Y597" i="15"/>
  <c r="Z597" i="15" s="1"/>
  <c r="Y1244" i="15"/>
  <c r="Z1244" i="15" s="1"/>
  <c r="Y363" i="15"/>
  <c r="Z363" i="15" s="1"/>
  <c r="Y1064" i="15"/>
  <c r="Z1064" i="15" s="1"/>
  <c r="Y1043" i="15"/>
  <c r="Z1043" i="15" s="1"/>
  <c r="Y721" i="15"/>
  <c r="Z721" i="15" s="1"/>
  <c r="Y403" i="15"/>
  <c r="Z403" i="15" s="1"/>
  <c r="Y1130" i="15"/>
  <c r="Z1130" i="15" s="1"/>
  <c r="Y1544" i="15"/>
  <c r="Z1544" i="15" s="1"/>
  <c r="Y1549" i="15"/>
  <c r="Z1549" i="15" s="1"/>
  <c r="Y958" i="15"/>
  <c r="Z958" i="15" s="1"/>
  <c r="Y1500" i="15"/>
  <c r="Z1500" i="15" s="1"/>
  <c r="Y342" i="15"/>
  <c r="Z342" i="15" s="1"/>
  <c r="Y1230" i="15"/>
  <c r="Z1230" i="15" s="1"/>
  <c r="Y1354" i="15"/>
  <c r="Z1354" i="15" s="1"/>
  <c r="Y1551" i="15"/>
  <c r="Z1551" i="15" s="1"/>
  <c r="Y1485" i="15"/>
  <c r="Z1485" i="15" s="1"/>
  <c r="Y1533" i="15"/>
  <c r="Z1533" i="15" s="1"/>
  <c r="Y430" i="15"/>
  <c r="Z430" i="15" s="1"/>
  <c r="Y259" i="15"/>
  <c r="Z259" i="15" s="1"/>
  <c r="Y995" i="15"/>
  <c r="Z995" i="15" s="1"/>
  <c r="Y1324" i="15"/>
  <c r="Z1324" i="15" s="1"/>
  <c r="Y1318" i="15"/>
  <c r="Z1318" i="15" s="1"/>
  <c r="Y1156" i="15"/>
  <c r="Z1156" i="15" s="1"/>
  <c r="Y667" i="15"/>
  <c r="Z667" i="15" s="1"/>
  <c r="Y781" i="15"/>
  <c r="Z781" i="15" s="1"/>
  <c r="Y7" i="15"/>
  <c r="Z7" i="15" s="1"/>
  <c r="Y736" i="15"/>
  <c r="Z736" i="15" s="1"/>
  <c r="Y807" i="15"/>
  <c r="Z807" i="15" s="1"/>
  <c r="Y746" i="15"/>
  <c r="Z746" i="15" s="1"/>
  <c r="Y927" i="15"/>
  <c r="Z927" i="15" s="1"/>
  <c r="Y1104" i="15"/>
  <c r="Z1104" i="15" s="1"/>
  <c r="Y616" i="15"/>
  <c r="Z616" i="15" s="1"/>
  <c r="Y663" i="15"/>
  <c r="Z663" i="15" s="1"/>
  <c r="Y811" i="15"/>
  <c r="Z811" i="15" s="1"/>
  <c r="Y937" i="15"/>
  <c r="Z937" i="15" s="1"/>
  <c r="Y1145" i="15"/>
  <c r="Z1145" i="15" s="1"/>
  <c r="Y767" i="15"/>
  <c r="Z767" i="15" s="1"/>
  <c r="Y810" i="15"/>
  <c r="Z810" i="15" s="1"/>
  <c r="Y130" i="15"/>
  <c r="Z130" i="15" s="1"/>
  <c r="Y381" i="15"/>
  <c r="Z381" i="15" s="1"/>
  <c r="Y1548" i="15"/>
  <c r="Z1548" i="15" s="1"/>
  <c r="Y690" i="15"/>
  <c r="Z690" i="15" s="1"/>
  <c r="Y1089" i="15"/>
  <c r="Z1089" i="15" s="1"/>
  <c r="Y428" i="15"/>
  <c r="Z428" i="15" s="1"/>
  <c r="Y754" i="15"/>
  <c r="Z754" i="15" s="1"/>
  <c r="Y312" i="15"/>
  <c r="Z312" i="15" s="1"/>
  <c r="Y67" i="15"/>
  <c r="Z67" i="15" s="1"/>
  <c r="Y969" i="15"/>
  <c r="Z969" i="15" s="1"/>
  <c r="Y1161" i="15"/>
  <c r="Z1161" i="15" s="1"/>
  <c r="Y1237" i="15"/>
  <c r="Z1237" i="15" s="1"/>
  <c r="Y1304" i="15"/>
  <c r="Z1304" i="15" s="1"/>
  <c r="Y481" i="15"/>
  <c r="Z481" i="15" s="1"/>
  <c r="Y1273" i="15"/>
  <c r="Z1273" i="15" s="1"/>
  <c r="Y1397" i="15"/>
  <c r="Z1397" i="15" s="1"/>
  <c r="Y803" i="15"/>
  <c r="Z803" i="15" s="1"/>
  <c r="Y829" i="15"/>
  <c r="Z829" i="15" s="1"/>
  <c r="Y423" i="15"/>
  <c r="Z423" i="15" s="1"/>
  <c r="Y459" i="15"/>
  <c r="Z459" i="15" s="1"/>
  <c r="Y775" i="15"/>
  <c r="Z775" i="15" s="1"/>
  <c r="Y1560" i="15"/>
  <c r="Z1560" i="15" s="1"/>
  <c r="Y1334" i="15"/>
  <c r="Z1334" i="15" s="1"/>
  <c r="Y668" i="15"/>
  <c r="Z668" i="15" s="1"/>
  <c r="Y702" i="15"/>
  <c r="Z702" i="15" s="1"/>
  <c r="Y1537" i="15"/>
  <c r="Z1537" i="15" s="1"/>
  <c r="Y1282" i="15"/>
  <c r="Z1282" i="15" s="1"/>
  <c r="Y179" i="15"/>
  <c r="Z179" i="15" s="1"/>
  <c r="Y1461" i="15"/>
  <c r="Z1461" i="15" s="1"/>
  <c r="Y1484" i="15"/>
  <c r="Z1484" i="15" s="1"/>
  <c r="Y506" i="15"/>
  <c r="Z506" i="15" s="1"/>
  <c r="Y1463" i="15"/>
  <c r="Z1463" i="15" s="1"/>
  <c r="Y586" i="15"/>
  <c r="Z586" i="15" s="1"/>
  <c r="Y439" i="15"/>
  <c r="Z439" i="15" s="1"/>
  <c r="Y288" i="15"/>
  <c r="Z288" i="15" s="1"/>
  <c r="Y945" i="15"/>
  <c r="Z945" i="15" s="1"/>
  <c r="Y1149" i="15"/>
  <c r="Z1149" i="15" s="1"/>
  <c r="Y658" i="15"/>
  <c r="Z658" i="15" s="1"/>
  <c r="Y1343" i="15"/>
  <c r="Z1343" i="15" s="1"/>
  <c r="Y862" i="15"/>
  <c r="Z862" i="15" s="1"/>
  <c r="Y1003" i="15"/>
  <c r="Z1003" i="15" s="1"/>
  <c r="Y1493" i="15"/>
  <c r="Z1493" i="15" s="1"/>
  <c r="Y260" i="15"/>
  <c r="Z260" i="15" s="1"/>
  <c r="Y171" i="15"/>
  <c r="Z171" i="15" s="1"/>
  <c r="Y711" i="15"/>
  <c r="Z711" i="15" s="1"/>
  <c r="Y485" i="15"/>
  <c r="Z485" i="15" s="1"/>
  <c r="Y1421" i="15"/>
  <c r="Z1421" i="15" s="1"/>
  <c r="Y1524" i="15"/>
  <c r="Z1524" i="15" s="1"/>
  <c r="Y1178" i="15"/>
  <c r="Z1178" i="15" s="1"/>
  <c r="Y930" i="15"/>
  <c r="Z930" i="15" s="1"/>
  <c r="Y74" i="15"/>
  <c r="Z74" i="15" s="1"/>
  <c r="Y42" i="15"/>
  <c r="Z42" i="15" s="1"/>
  <c r="Y608" i="15"/>
  <c r="Z608" i="15" s="1"/>
  <c r="Y1566" i="15"/>
  <c r="Z1566" i="15" s="1"/>
  <c r="Y1038" i="15"/>
  <c r="Z1038" i="15" s="1"/>
  <c r="Y124" i="15"/>
  <c r="Z124" i="15" s="1"/>
  <c r="Y1338" i="15"/>
  <c r="Z1338" i="15" s="1"/>
  <c r="Y1294" i="15"/>
  <c r="Z1294" i="15" s="1"/>
  <c r="Y855" i="15"/>
  <c r="Z855" i="15" s="1"/>
  <c r="Y257" i="15"/>
  <c r="Z257" i="15" s="1"/>
  <c r="Y647" i="15"/>
  <c r="Z647" i="15" s="1"/>
  <c r="Y1241" i="15"/>
  <c r="Z1241" i="15" s="1"/>
  <c r="Y641" i="15"/>
  <c r="Z641" i="15" s="1"/>
  <c r="Y1017" i="15"/>
  <c r="Z1017" i="15" s="1"/>
  <c r="Y1136" i="15"/>
  <c r="Z1136" i="15" s="1"/>
  <c r="Y1248" i="15"/>
  <c r="Z1248" i="15" s="1"/>
  <c r="Y849" i="15"/>
  <c r="Z849" i="15" s="1"/>
  <c r="Y563" i="15"/>
  <c r="Z563" i="15" s="1"/>
  <c r="Y194" i="15"/>
  <c r="Z194" i="15" s="1"/>
  <c r="Y1125" i="15"/>
  <c r="Z1125" i="15" s="1"/>
  <c r="Y1249" i="15"/>
  <c r="Z1249" i="15" s="1"/>
  <c r="Y604" i="15"/>
  <c r="Z604" i="15" s="1"/>
  <c r="Y1027" i="15"/>
  <c r="Z1027" i="15" s="1"/>
  <c r="Y764" i="15"/>
  <c r="Z764" i="15" s="1"/>
  <c r="Y890" i="15"/>
  <c r="Z890" i="15" s="1"/>
  <c r="Y836" i="15"/>
  <c r="Z836" i="15" s="1"/>
  <c r="Y477" i="15"/>
  <c r="Z477" i="15" s="1"/>
  <c r="Y1175" i="15"/>
  <c r="Z1175" i="15" s="1"/>
  <c r="Y794" i="15"/>
  <c r="Z794" i="15" s="1"/>
  <c r="Y679" i="15"/>
  <c r="Z679" i="15" s="1"/>
  <c r="Y784" i="15"/>
  <c r="Z784" i="15" s="1"/>
  <c r="Y618" i="15"/>
  <c r="Z618" i="15" s="1"/>
  <c r="Y677" i="15"/>
  <c r="Z677" i="15" s="1"/>
  <c r="Y778" i="15"/>
  <c r="Z778" i="15" s="1"/>
  <c r="Y891" i="15"/>
  <c r="Z891" i="15" s="1"/>
  <c r="Y722" i="15"/>
  <c r="Z722" i="15" s="1"/>
  <c r="Y525" i="15"/>
  <c r="Z525" i="15" s="1"/>
  <c r="Y752" i="15"/>
  <c r="Z752" i="15" s="1"/>
  <c r="Y660" i="15"/>
  <c r="Z660" i="15" s="1"/>
  <c r="Y779" i="15"/>
  <c r="Z779" i="15" s="1"/>
  <c r="Y1215" i="15"/>
  <c r="Z1215" i="15" s="1"/>
  <c r="Y1427" i="15"/>
  <c r="Z1427" i="15" s="1"/>
  <c r="Y1367" i="15"/>
  <c r="Z1367" i="15" s="1"/>
  <c r="Y894" i="15"/>
  <c r="Z894" i="15" s="1"/>
  <c r="Y651" i="15"/>
  <c r="Z651" i="15" s="1"/>
  <c r="Y1092" i="15"/>
  <c r="Z1092" i="15" s="1"/>
  <c r="Y831" i="15"/>
  <c r="Z831" i="15" s="1"/>
  <c r="Y867" i="15"/>
  <c r="Z867" i="15" s="1"/>
  <c r="Y415" i="15"/>
  <c r="Z415" i="15" s="1"/>
  <c r="Y122" i="15"/>
  <c r="Z122" i="15" s="1"/>
  <c r="Y387" i="15"/>
  <c r="Z387" i="15" s="1"/>
  <c r="Y1316" i="15"/>
  <c r="Z1316" i="15" s="1"/>
  <c r="Y913" i="15"/>
  <c r="Z913" i="15" s="1"/>
  <c r="Y909" i="15"/>
  <c r="Z909" i="15" s="1"/>
  <c r="Y770" i="15"/>
  <c r="Z770" i="15" s="1"/>
  <c r="Y354" i="15"/>
  <c r="Z354" i="15" s="1"/>
  <c r="Y377" i="15"/>
  <c r="Z377" i="15" s="1"/>
  <c r="Y695" i="15"/>
  <c r="Z695" i="15" s="1"/>
  <c r="Y1220" i="15"/>
  <c r="Z1220" i="15" s="1"/>
  <c r="Y510" i="15"/>
  <c r="Z510" i="15" s="1"/>
  <c r="Y771" i="15"/>
  <c r="Z771" i="15" s="1"/>
  <c r="Y697" i="15"/>
  <c r="Z697" i="15" s="1"/>
  <c r="Y724" i="15"/>
  <c r="Z724" i="15" s="1"/>
  <c r="Y614" i="15"/>
  <c r="Z614" i="15" s="1"/>
  <c r="Y1281" i="15"/>
  <c r="Z1281" i="15" s="1"/>
  <c r="Y609" i="15"/>
  <c r="Z609" i="15" s="1"/>
  <c r="Y1187" i="15"/>
  <c r="Z1187" i="15" s="1"/>
  <c r="Y1093" i="15"/>
  <c r="Z1093" i="15" s="1"/>
  <c r="Y805" i="15"/>
  <c r="Z805" i="15" s="1"/>
  <c r="Y235" i="15"/>
  <c r="Z235" i="15" s="1"/>
  <c r="Y865" i="15"/>
  <c r="Z865" i="15" s="1"/>
  <c r="Y480" i="15"/>
  <c r="Z480" i="15" s="1"/>
  <c r="Y622" i="15"/>
  <c r="Z622" i="15" s="1"/>
  <c r="Y478" i="15"/>
  <c r="Z478" i="15" s="1"/>
  <c r="Y1526" i="15"/>
  <c r="Z1526" i="15" s="1"/>
  <c r="Y55" i="15"/>
  <c r="Z55" i="15" s="1"/>
  <c r="Y1140" i="15"/>
  <c r="Z1140" i="15" s="1"/>
  <c r="Y1388" i="15"/>
  <c r="Z1388" i="15" s="1"/>
  <c r="Y1146" i="15"/>
  <c r="Z1146" i="15" s="1"/>
  <c r="Y53" i="15"/>
  <c r="Z53" i="15" s="1"/>
  <c r="Y321" i="15"/>
  <c r="Z321" i="15" s="1"/>
  <c r="Y196" i="15"/>
  <c r="Z196" i="15" s="1"/>
  <c r="Y1054" i="15"/>
  <c r="Z1054" i="15" s="1"/>
  <c r="Y561" i="15"/>
  <c r="Z561" i="15" s="1"/>
  <c r="Y86" i="15"/>
  <c r="Z86" i="15" s="1"/>
  <c r="Y817" i="15"/>
  <c r="Z817" i="15" s="1"/>
  <c r="Y465" i="15"/>
  <c r="Z465" i="15" s="1"/>
  <c r="Y267" i="15"/>
  <c r="Z267" i="15" s="1"/>
  <c r="Y1531" i="15"/>
  <c r="Z1531" i="15" s="1"/>
  <c r="Y1522" i="15"/>
  <c r="Z1522" i="15" s="1"/>
  <c r="Y156" i="15"/>
  <c r="Z156" i="15" s="1"/>
  <c r="Y898" i="15"/>
  <c r="Z898" i="15" s="1"/>
  <c r="Y1269" i="15"/>
  <c r="Z1269" i="15" s="1"/>
  <c r="Y1075" i="15"/>
  <c r="Z1075" i="15" s="1"/>
  <c r="Y1139" i="15"/>
  <c r="Z1139" i="15" s="1"/>
  <c r="Y1291" i="15"/>
  <c r="Z1291" i="15" s="1"/>
  <c r="Y872" i="15"/>
  <c r="Z872" i="15" s="1"/>
  <c r="Y417" i="15"/>
  <c r="Z417" i="15" s="1"/>
  <c r="Y334" i="15"/>
  <c r="Z334" i="15" s="1"/>
  <c r="Y1123" i="15"/>
  <c r="Z1123" i="15" s="1"/>
  <c r="Y1451" i="15"/>
  <c r="Z1451" i="15" s="1"/>
  <c r="Y1176" i="15"/>
  <c r="Z1176" i="15" s="1"/>
  <c r="Y1069" i="15"/>
  <c r="Z1069" i="15" s="1"/>
  <c r="Y1107" i="15"/>
  <c r="Z1107" i="15" s="1"/>
  <c r="Y892" i="15"/>
  <c r="Z892" i="15" s="1"/>
  <c r="Y1181" i="15"/>
  <c r="Z1181" i="15" s="1"/>
  <c r="Y1305" i="15"/>
  <c r="Z1305" i="15" s="1"/>
  <c r="Y1333" i="15"/>
  <c r="Z1333" i="15" s="1"/>
  <c r="Y1448" i="15"/>
  <c r="Z1448" i="15" s="1"/>
  <c r="Y406" i="15"/>
  <c r="Z406" i="15" s="1"/>
  <c r="Y425" i="15"/>
  <c r="Z425" i="15" s="1"/>
  <c r="Y401" i="15"/>
  <c r="Z401" i="15" s="1"/>
  <c r="Y1133" i="15"/>
  <c r="Z1133" i="15" s="1"/>
  <c r="Y1209" i="15"/>
  <c r="Z1209" i="15" s="1"/>
  <c r="Y1285" i="15"/>
  <c r="Z1285" i="15" s="1"/>
  <c r="Y1352" i="15"/>
  <c r="Z1352" i="15" s="1"/>
  <c r="Y137" i="15"/>
  <c r="Z137" i="15" s="1"/>
  <c r="Y360" i="15"/>
  <c r="Z360" i="15" s="1"/>
  <c r="Y287" i="15"/>
  <c r="Z287" i="15" s="1"/>
  <c r="Y1321" i="15"/>
  <c r="Z1321" i="15" s="1"/>
  <c r="Y1445" i="15"/>
  <c r="Z1445" i="15" s="1"/>
  <c r="Y917" i="15"/>
  <c r="Z917" i="15" s="1"/>
  <c r="Y392" i="15"/>
  <c r="Z392" i="15" s="1"/>
  <c r="Y582" i="15"/>
  <c r="Z582" i="15" s="1"/>
  <c r="Y1512" i="15"/>
  <c r="Z1512" i="15" s="1"/>
  <c r="Y1142" i="15"/>
  <c r="Z1142" i="15" s="1"/>
  <c r="Y750" i="15"/>
  <c r="Z750" i="15" s="1"/>
  <c r="Y885" i="15"/>
  <c r="Z885" i="15" s="1"/>
  <c r="Y297" i="15"/>
  <c r="Z297" i="15" s="1"/>
  <c r="Y1442" i="15"/>
  <c r="Z1442" i="15" s="1"/>
  <c r="Y732" i="15"/>
  <c r="Z732" i="15" s="1"/>
  <c r="Y737" i="15"/>
  <c r="Z737" i="15" s="1"/>
  <c r="Y882" i="15"/>
  <c r="Z882" i="15" s="1"/>
  <c r="Y960" i="15"/>
  <c r="Z960" i="15" s="1"/>
  <c r="Y638" i="15"/>
  <c r="Z638" i="15" s="1"/>
  <c r="Y436" i="15"/>
  <c r="Z436" i="15" s="1"/>
  <c r="Y125" i="15"/>
  <c r="Z125" i="15" s="1"/>
  <c r="Y218" i="15"/>
  <c r="Z218" i="15" s="1"/>
  <c r="Y871" i="15"/>
  <c r="Z871" i="15" s="1"/>
  <c r="Y726" i="15"/>
  <c r="Z726" i="15" s="1"/>
  <c r="Y916" i="15"/>
  <c r="Z916" i="15" s="1"/>
  <c r="Y1432" i="15"/>
  <c r="Z1432" i="15" s="1"/>
  <c r="Y335" i="15"/>
  <c r="Z335" i="15" s="1"/>
  <c r="Y61" i="15"/>
  <c r="Z61" i="15" s="1"/>
  <c r="Y1398" i="15"/>
  <c r="Z1398" i="15" s="1"/>
  <c r="Y1309" i="15"/>
  <c r="Z1309" i="15" s="1"/>
  <c r="Y1433" i="15"/>
  <c r="Z1433" i="15" s="1"/>
  <c r="Y1120" i="15"/>
  <c r="Z1120" i="15" s="1"/>
  <c r="Y1071" i="15"/>
  <c r="Z1071" i="15" s="1"/>
  <c r="Y364" i="15"/>
  <c r="Z364" i="15" s="1"/>
  <c r="Y444" i="15"/>
  <c r="Z444" i="15" s="1"/>
  <c r="Y151" i="15"/>
  <c r="Z151" i="15" s="1"/>
  <c r="Y910" i="15"/>
  <c r="Z910" i="15" s="1"/>
  <c r="Y461" i="15"/>
  <c r="Z461" i="15" s="1"/>
  <c r="Y70" i="15"/>
  <c r="Z70" i="15" s="1"/>
  <c r="Y374" i="15"/>
  <c r="Z374" i="15" s="1"/>
  <c r="Y1046" i="15"/>
  <c r="Z1046" i="15" s="1"/>
  <c r="Y408" i="15"/>
  <c r="Z408" i="15" s="1"/>
  <c r="Y135" i="15"/>
  <c r="Z135" i="15" s="1"/>
  <c r="Y578" i="15"/>
  <c r="Z578" i="15" s="1"/>
  <c r="Y329" i="15"/>
  <c r="Z329" i="15" s="1"/>
  <c r="Y725" i="15"/>
  <c r="Z725" i="15" s="1"/>
  <c r="Y21" i="15"/>
  <c r="Z21" i="15" s="1"/>
  <c r="Y35" i="15"/>
  <c r="Z35" i="15" s="1"/>
  <c r="Y58" i="15"/>
  <c r="Z58" i="15" s="1"/>
  <c r="Y326" i="15"/>
  <c r="Z326" i="15" s="1"/>
  <c r="Y602" i="15"/>
  <c r="Z602" i="15" s="1"/>
  <c r="Y389" i="15"/>
  <c r="Z389" i="15" s="1"/>
  <c r="Y1498" i="15"/>
  <c r="Z1498" i="15" s="1"/>
  <c r="Y529" i="15"/>
  <c r="Z529" i="15" s="1"/>
  <c r="Y435" i="15"/>
  <c r="Z435" i="15" s="1"/>
  <c r="Y1117" i="15"/>
  <c r="Z1117" i="15" s="1"/>
  <c r="Y920" i="15"/>
  <c r="Z920" i="15" s="1"/>
  <c r="Y1441" i="15"/>
  <c r="Z1441" i="15" s="1"/>
  <c r="Y1368" i="15"/>
  <c r="Z1368" i="15" s="1"/>
  <c r="Y359" i="15"/>
  <c r="Z359" i="15" s="1"/>
  <c r="Y19" i="15"/>
  <c r="Z19" i="15" s="1"/>
  <c r="Y182" i="15"/>
  <c r="Z182" i="15" s="1"/>
  <c r="Y16" i="15"/>
  <c r="Z16" i="15" s="1"/>
  <c r="Y1409" i="15"/>
  <c r="Z1409" i="15" s="1"/>
  <c r="Y1536" i="15"/>
  <c r="Z1536" i="15" s="1"/>
  <c r="Y1127" i="15"/>
  <c r="Z1127" i="15" s="1"/>
  <c r="Y1096" i="15"/>
  <c r="Z1096" i="15" s="1"/>
  <c r="Y637" i="15"/>
  <c r="Z637" i="15" s="1"/>
  <c r="Y40" i="15"/>
  <c r="Z40" i="15" s="1"/>
  <c r="Y1275" i="15"/>
  <c r="Z1275" i="15" s="1"/>
  <c r="Y1467" i="15"/>
  <c r="Z1467" i="15" s="1"/>
  <c r="Y956" i="15"/>
  <c r="Z956" i="15" s="1"/>
  <c r="Y1471" i="15"/>
  <c r="Z1471" i="15" s="1"/>
  <c r="Y897" i="15"/>
  <c r="Z897" i="15" s="1"/>
  <c r="Y1214" i="15"/>
  <c r="Z1214" i="15" s="1"/>
  <c r="Y170" i="15"/>
  <c r="Z170" i="15" s="1"/>
  <c r="Y1007" i="15"/>
  <c r="Z1007" i="15" s="1"/>
  <c r="Y1359" i="15"/>
  <c r="Z1359" i="15" s="1"/>
  <c r="Y751" i="15"/>
  <c r="Z751" i="15" s="1"/>
  <c r="Y1419" i="15"/>
  <c r="Z1419" i="15" s="1"/>
  <c r="Y698" i="15"/>
  <c r="Z698" i="15" s="1"/>
  <c r="Y1530" i="15"/>
  <c r="Z1530" i="15" s="1"/>
  <c r="Y291" i="15"/>
  <c r="Z291" i="15" s="1"/>
  <c r="Y928" i="15"/>
  <c r="Z928" i="15" s="1"/>
  <c r="Y1188" i="15"/>
  <c r="Z1188" i="15" s="1"/>
  <c r="Y924" i="15"/>
  <c r="Z924" i="15" s="1"/>
  <c r="Y933" i="15"/>
  <c r="Z933" i="15" s="1"/>
  <c r="Y564" i="15"/>
  <c r="Z564" i="15" s="1"/>
  <c r="Y1412" i="15"/>
  <c r="Z1412" i="15" s="1"/>
  <c r="Y1009" i="15"/>
  <c r="Z1009" i="15" s="1"/>
  <c r="Y957" i="15"/>
  <c r="Z957" i="15" s="1"/>
  <c r="Y842" i="15"/>
  <c r="Z842" i="15" s="1"/>
  <c r="Y1510" i="15"/>
  <c r="Z1510" i="15" s="1"/>
  <c r="Y455" i="15"/>
  <c r="Z455" i="15" s="1"/>
  <c r="Y357" i="15"/>
  <c r="Z357" i="15" s="1"/>
  <c r="Y1169" i="15"/>
  <c r="Z1169" i="15" s="1"/>
  <c r="Y1293" i="15"/>
  <c r="Z1293" i="15" s="1"/>
  <c r="Y878" i="15"/>
  <c r="Z878" i="15" s="1"/>
  <c r="Y669" i="15"/>
  <c r="Z669" i="15" s="1"/>
  <c r="Y715" i="15"/>
  <c r="Z715" i="15" s="1"/>
  <c r="Y1135" i="15"/>
  <c r="Z1135" i="15" s="1"/>
  <c r="Y45" i="15"/>
  <c r="Z45" i="15" s="1"/>
  <c r="R25" i="5"/>
  <c r="C25" i="5" s="1"/>
  <c r="C17" i="16"/>
  <c r="V24" i="5"/>
  <c r="E24" i="5" s="1"/>
  <c r="E16" i="16"/>
  <c r="T24" i="5"/>
  <c r="D24" i="5" s="1"/>
  <c r="D16" i="16"/>
  <c r="D40" i="16"/>
  <c r="T48" i="5"/>
  <c r="D48" i="5" s="1"/>
  <c r="R46" i="5"/>
  <c r="C46" i="5" s="1"/>
  <c r="C38" i="16"/>
  <c r="R39" i="5"/>
  <c r="C39" i="5" s="1"/>
  <c r="C31" i="16"/>
  <c r="E25" i="16"/>
  <c r="V33" i="5"/>
  <c r="E33" i="5" s="1"/>
  <c r="T47" i="5"/>
  <c r="D47" i="5" s="1"/>
  <c r="D39" i="16"/>
  <c r="T53" i="5"/>
  <c r="D53" i="5" s="1"/>
  <c r="D45" i="16"/>
  <c r="V28" i="5"/>
  <c r="E28" i="5" s="1"/>
  <c r="E20" i="16"/>
  <c r="R26" i="5"/>
  <c r="C26" i="5" s="1"/>
  <c r="C18" i="16"/>
  <c r="R17" i="5"/>
  <c r="C17" i="5" s="1"/>
  <c r="C9" i="16"/>
  <c r="T19" i="5"/>
  <c r="D19" i="5" s="1"/>
  <c r="D11" i="16"/>
  <c r="E40" i="16"/>
  <c r="V48" i="5"/>
  <c r="E48" i="5" s="1"/>
  <c r="V54" i="5"/>
  <c r="E54" i="5" s="1"/>
  <c r="E46" i="16"/>
  <c r="V47" i="5"/>
  <c r="E47" i="5" s="1"/>
  <c r="E39" i="16"/>
  <c r="D31" i="16"/>
  <c r="T39" i="5"/>
  <c r="D39" i="5" s="1"/>
  <c r="E30" i="16"/>
  <c r="V38" i="5"/>
  <c r="E38" i="5" s="1"/>
  <c r="E27" i="16"/>
  <c r="V35" i="5"/>
  <c r="E35" i="5" s="1"/>
  <c r="T28" i="5"/>
  <c r="D28" i="5" s="1"/>
  <c r="D20" i="16"/>
  <c r="E24" i="16"/>
  <c r="V32" i="5"/>
  <c r="E32" i="5" s="1"/>
  <c r="E17" i="16"/>
  <c r="V25" i="5"/>
  <c r="E25" i="5" s="1"/>
  <c r="C34" i="16"/>
  <c r="R42" i="5"/>
  <c r="C42" i="5" s="1"/>
  <c r="T44" i="5"/>
  <c r="D44" i="5" s="1"/>
  <c r="D36" i="16"/>
  <c r="E28" i="16"/>
  <c r="V36" i="5"/>
  <c r="E36" i="5" s="1"/>
  <c r="T26" i="5"/>
  <c r="D26" i="5" s="1"/>
  <c r="D18" i="16"/>
  <c r="C16" i="16"/>
  <c r="R24" i="5"/>
  <c r="C24" i="5" s="1"/>
  <c r="R19" i="5"/>
  <c r="C19" i="5" s="1"/>
  <c r="C11" i="16"/>
  <c r="D6" i="16"/>
  <c r="T14" i="5"/>
  <c r="D14" i="5" s="1"/>
  <c r="V53" i="5"/>
  <c r="E53" i="5" s="1"/>
  <c r="E45" i="16"/>
  <c r="D17" i="16"/>
  <c r="T25" i="5"/>
  <c r="D25" i="5" s="1"/>
  <c r="D15" i="16"/>
  <c r="T23" i="5"/>
  <c r="D23" i="5" s="1"/>
  <c r="R53" i="5"/>
  <c r="C53" i="5" s="1"/>
  <c r="C45" i="16"/>
  <c r="C25" i="16"/>
  <c r="R33" i="5"/>
  <c r="C33" i="5" s="1"/>
  <c r="D14" i="16"/>
  <c r="T22" i="5"/>
  <c r="D22" i="5" s="1"/>
  <c r="T17" i="5"/>
  <c r="D17" i="5" s="1"/>
  <c r="D9" i="16"/>
  <c r="R11" i="5"/>
  <c r="C11" i="5" s="1"/>
  <c r="H62" i="8"/>
  <c r="D60" i="5" s="1"/>
  <c r="C3" i="16"/>
  <c r="V39" i="5"/>
  <c r="E39" i="5" s="1"/>
  <c r="E31" i="16"/>
  <c r="E36" i="16"/>
  <c r="V44" i="5"/>
  <c r="E44" i="5" s="1"/>
  <c r="D22" i="16"/>
  <c r="T30" i="5"/>
  <c r="D30" i="5" s="1"/>
  <c r="C21" i="16"/>
  <c r="R29" i="5"/>
  <c r="C29" i="5" s="1"/>
  <c r="R13" i="5"/>
  <c r="C13" i="5" s="1"/>
  <c r="C5" i="16"/>
  <c r="D26" i="16"/>
  <c r="T34" i="5"/>
  <c r="D34" i="5" s="1"/>
  <c r="C20" i="16"/>
  <c r="R28" i="5"/>
  <c r="C28" i="5" s="1"/>
  <c r="R44" i="5"/>
  <c r="C44" i="5" s="1"/>
  <c r="C36" i="16"/>
  <c r="T38" i="5"/>
  <c r="D38" i="5" s="1"/>
  <c r="D30" i="16"/>
  <c r="E43" i="16"/>
  <c r="V51" i="5"/>
  <c r="E51" i="5" s="1"/>
  <c r="T21" i="5"/>
  <c r="D21" i="5" s="1"/>
  <c r="D13" i="16"/>
  <c r="D3" i="16"/>
  <c r="T11" i="5"/>
  <c r="D11" i="5" s="1"/>
  <c r="V23" i="5"/>
  <c r="E23" i="5" s="1"/>
  <c r="E15" i="16"/>
  <c r="C6" i="16"/>
  <c r="R14" i="5"/>
  <c r="C14" i="5" s="1"/>
  <c r="C28" i="16"/>
  <c r="R36" i="5"/>
  <c r="C36" i="5" s="1"/>
  <c r="R20" i="5"/>
  <c r="C20" i="5" s="1"/>
  <c r="C12" i="16"/>
  <c r="V12" i="5"/>
  <c r="E12" i="5" s="1"/>
  <c r="E4" i="16"/>
  <c r="R45" i="5"/>
  <c r="C45" i="5" s="1"/>
  <c r="C37" i="16"/>
  <c r="R35" i="5"/>
  <c r="C35" i="5" s="1"/>
  <c r="C27" i="16"/>
  <c r="C22" i="16"/>
  <c r="R30" i="5"/>
  <c r="C30" i="5" s="1"/>
  <c r="C8" i="16"/>
  <c r="R16" i="5"/>
  <c r="C16" i="5" s="1"/>
  <c r="T12" i="5"/>
  <c r="D12" i="5" s="1"/>
  <c r="D4" i="16"/>
  <c r="D21" i="16"/>
  <c r="T29" i="5"/>
  <c r="D29" i="5" s="1"/>
  <c r="V46" i="5"/>
  <c r="E46" i="5" s="1"/>
  <c r="E38" i="16"/>
  <c r="E33" i="16"/>
  <c r="V41" i="5"/>
  <c r="E41" i="5" s="1"/>
  <c r="Y136" i="15"/>
  <c r="Z136" i="15" s="1"/>
  <c r="Y398" i="15"/>
  <c r="Z398" i="15" s="1"/>
  <c r="Y188" i="15"/>
  <c r="Z188" i="15" s="1"/>
  <c r="Y160" i="15"/>
  <c r="Z160" i="15" s="1"/>
  <c r="V17" i="5"/>
  <c r="E17" i="5" s="1"/>
  <c r="E9" i="16"/>
  <c r="Y269" i="15"/>
  <c r="Z269" i="15" s="1"/>
  <c r="Y107" i="15"/>
  <c r="Z107" i="15" s="1"/>
  <c r="Y231" i="15"/>
  <c r="Z231" i="15" s="1"/>
  <c r="Y153" i="15"/>
  <c r="Z153" i="15" s="1"/>
  <c r="Y399" i="15"/>
  <c r="Z399" i="15" s="1"/>
  <c r="Y226" i="15"/>
  <c r="Z226" i="15" s="1"/>
  <c r="Q7" i="8" l="1"/>
  <c r="P7" i="8"/>
  <c r="P8" i="8"/>
  <c r="P10" i="8"/>
  <c r="Q8" i="8"/>
  <c r="Q10" i="8"/>
  <c r="P9" i="8"/>
  <c r="Q9" i="8"/>
</calcChain>
</file>

<file path=xl/sharedStrings.xml><?xml version="1.0" encoding="utf-8"?>
<sst xmlns="http://schemas.openxmlformats.org/spreadsheetml/2006/main" count="452" uniqueCount="294">
  <si>
    <t>Page 1</t>
  </si>
  <si>
    <t xml:space="preserve"> </t>
  </si>
  <si>
    <t>OTHER</t>
  </si>
  <si>
    <t>7. Signature</t>
  </si>
  <si>
    <t/>
  </si>
  <si>
    <t>IMO FAL</t>
  </si>
  <si>
    <t>Form 4</t>
  </si>
  <si>
    <t>8. Date and signature by master, authorized agent or officer</t>
  </si>
  <si>
    <t>* e.g.Wines, spirits, cigarettes, tobacco, etc.</t>
  </si>
  <si>
    <t>2/O SDPO</t>
  </si>
  <si>
    <t>C/O SDPO</t>
  </si>
  <si>
    <t>Departure</t>
  </si>
  <si>
    <t>Captain</t>
  </si>
  <si>
    <t>Rank or rating</t>
  </si>
  <si>
    <t>Nat.</t>
  </si>
  <si>
    <t>C/E</t>
  </si>
  <si>
    <t>2/E</t>
  </si>
  <si>
    <t>Bosun</t>
  </si>
  <si>
    <t>Dutch</t>
  </si>
  <si>
    <t>2. Port of arrival/departure</t>
  </si>
  <si>
    <t>3. Date of arrival/departure</t>
  </si>
  <si>
    <t>9. Rank or rating</t>
  </si>
  <si>
    <t>10. Nat.</t>
  </si>
  <si>
    <t>Arrival</t>
  </si>
  <si>
    <t>Doc No.</t>
  </si>
  <si>
    <t>Page</t>
  </si>
  <si>
    <t>Revision</t>
  </si>
  <si>
    <t>Date</t>
  </si>
  <si>
    <t>QAD-11.1</t>
  </si>
  <si>
    <t>1 of 1</t>
  </si>
  <si>
    <t>Page No.</t>
  </si>
  <si>
    <t>Total marine</t>
  </si>
  <si>
    <t>Cook</t>
  </si>
  <si>
    <t>Client</t>
  </si>
  <si>
    <t>Survey</t>
  </si>
  <si>
    <t>AB Crane</t>
  </si>
  <si>
    <t>Total Project</t>
  </si>
  <si>
    <t>Total</t>
  </si>
  <si>
    <t>2/O DPO</t>
  </si>
  <si>
    <t>ROV</t>
  </si>
  <si>
    <t>AB</t>
  </si>
  <si>
    <t>Noordhoek Pathfinder</t>
  </si>
  <si>
    <t>PC</t>
  </si>
  <si>
    <t>FRA</t>
  </si>
  <si>
    <t>ITA</t>
  </si>
  <si>
    <t>Place of birth</t>
  </si>
  <si>
    <t>Date of birth</t>
  </si>
  <si>
    <t>London</t>
  </si>
  <si>
    <t>MM</t>
  </si>
  <si>
    <t>Geo</t>
  </si>
  <si>
    <t>ROV Sup</t>
  </si>
  <si>
    <t>Data</t>
  </si>
  <si>
    <t>1.1 Name of the ship</t>
  </si>
  <si>
    <t>1.2 IMO number</t>
  </si>
  <si>
    <t>1.3 Call sign</t>
  </si>
  <si>
    <t>1.4 Voyage number</t>
  </si>
  <si>
    <t>5.Port arrived from</t>
  </si>
  <si>
    <t>PBYN</t>
  </si>
  <si>
    <t>N/A</t>
  </si>
  <si>
    <t>6. No</t>
  </si>
  <si>
    <t>11. Date of birth</t>
  </si>
  <si>
    <t>12. Place of birth</t>
  </si>
  <si>
    <t>13. Gender</t>
  </si>
  <si>
    <t>14. Nature of identity document</t>
  </si>
  <si>
    <t>15.  number of identity document</t>
  </si>
  <si>
    <t>16. Issuing State of identity document</t>
  </si>
  <si>
    <t>17. Expiry date of identity document</t>
  </si>
  <si>
    <t>Gender</t>
  </si>
  <si>
    <t>Nature of document</t>
  </si>
  <si>
    <t>Number of identity document</t>
  </si>
  <si>
    <t>Issuing state of identity document</t>
  </si>
  <si>
    <t>Expiry date of identity document</t>
  </si>
  <si>
    <t>PP</t>
  </si>
  <si>
    <t>Given name</t>
  </si>
  <si>
    <t>PERS NO:</t>
  </si>
  <si>
    <t>1.1 Name of ship</t>
  </si>
  <si>
    <t>4. Flag state of ship</t>
  </si>
  <si>
    <t>2. Flage state of ship</t>
  </si>
  <si>
    <r>
      <rPr>
        <b/>
        <sz val="10"/>
        <color indexed="9"/>
        <rFont val="Arial"/>
        <family val="2"/>
      </rPr>
      <t xml:space="preserve">AAA </t>
    </r>
    <r>
      <rPr>
        <b/>
        <sz val="10"/>
        <rFont val="Arial"/>
        <family val="2"/>
      </rPr>
      <t>Surname</t>
    </r>
  </si>
  <si>
    <t xml:space="preserve">Date: </t>
  </si>
  <si>
    <t>Captain :</t>
  </si>
  <si>
    <t xml:space="preserve">7. Family name, </t>
  </si>
  <si>
    <t>8. Given names</t>
  </si>
  <si>
    <t>M</t>
  </si>
  <si>
    <t>F</t>
  </si>
  <si>
    <t xml:space="preserve">IMO CREWLIST NOORDHOEK PATHFINDER </t>
  </si>
  <si>
    <t>(IMO FAL Form 5)</t>
  </si>
  <si>
    <t>18. Date and signature by master, authorized agent or officer</t>
  </si>
  <si>
    <t>DATE :</t>
  </si>
  <si>
    <t>Latest entry</t>
  </si>
  <si>
    <t>Never</t>
  </si>
  <si>
    <t>Last time on board.   If &gt;12 months new familiarisation to be done</t>
  </si>
  <si>
    <r>
      <t xml:space="preserve">Last joining date        </t>
    </r>
    <r>
      <rPr>
        <b/>
        <sz val="8"/>
        <rFont val="Calibri"/>
        <family val="2"/>
      </rPr>
      <t>↓</t>
    </r>
  </si>
  <si>
    <t>3. No.</t>
  </si>
  <si>
    <t xml:space="preserve">4. Family name,  </t>
  </si>
  <si>
    <t>5. Rank or rating</t>
  </si>
  <si>
    <t>4. Given name</t>
  </si>
  <si>
    <t>Calgary</t>
  </si>
  <si>
    <t>Company</t>
  </si>
  <si>
    <t xml:space="preserve">data </t>
  </si>
  <si>
    <t>Harare</t>
  </si>
  <si>
    <t>PRT</t>
  </si>
  <si>
    <t>UXO</t>
  </si>
  <si>
    <t>Surveyor</t>
  </si>
  <si>
    <t>Bucharest</t>
  </si>
  <si>
    <t>Riyadh</t>
  </si>
  <si>
    <t>Moscow</t>
  </si>
  <si>
    <t>3rd Eng</t>
  </si>
  <si>
    <t>Fergus Leandro</t>
  </si>
  <si>
    <t>Gadhavi</t>
  </si>
  <si>
    <t>Sara Aybek</t>
  </si>
  <si>
    <t>Félix</t>
  </si>
  <si>
    <t>Daumantas Sawney</t>
  </si>
  <si>
    <t>Garza</t>
  </si>
  <si>
    <t>Thass</t>
  </si>
  <si>
    <t>Shri Danai</t>
  </si>
  <si>
    <t>Brannon</t>
  </si>
  <si>
    <t>Mikołaj Tatanka</t>
  </si>
  <si>
    <t>Rake</t>
  </si>
  <si>
    <t>Batuhan Khodadad</t>
  </si>
  <si>
    <t>Morozov</t>
  </si>
  <si>
    <t>Murray Valya</t>
  </si>
  <si>
    <t>van Wieren</t>
  </si>
  <si>
    <t>Jessenia Caterina</t>
  </si>
  <si>
    <t>Veniamin Kyros</t>
  </si>
  <si>
    <t>Evangelista</t>
  </si>
  <si>
    <t>Enki 'Azazyahu</t>
  </si>
  <si>
    <t>Szweda</t>
  </si>
  <si>
    <t>Nozawa</t>
  </si>
  <si>
    <t>Crespo</t>
  </si>
  <si>
    <t>Szép</t>
  </si>
  <si>
    <t>Shinoda</t>
  </si>
  <si>
    <t>Furlan</t>
  </si>
  <si>
    <t>Salomon</t>
  </si>
  <si>
    <t>Sala</t>
  </si>
  <si>
    <t>MacNevin</t>
  </si>
  <si>
    <t>Kauffmann</t>
  </si>
  <si>
    <t>Longo</t>
  </si>
  <si>
    <t>Amador</t>
  </si>
  <si>
    <t>Braden</t>
  </si>
  <si>
    <t>Iliescu</t>
  </si>
  <si>
    <t>Christian</t>
  </si>
  <si>
    <t>Clark</t>
  </si>
  <si>
    <t>Spini</t>
  </si>
  <si>
    <t>Alessi</t>
  </si>
  <si>
    <t>Macek</t>
  </si>
  <si>
    <t>Curry</t>
  </si>
  <si>
    <t>Gwerder</t>
  </si>
  <si>
    <t>AlbertaUche</t>
  </si>
  <si>
    <t>HonorataMarko</t>
  </si>
  <si>
    <t>DanuškaLuken</t>
  </si>
  <si>
    <t>JessaEnea</t>
  </si>
  <si>
    <t>IvkaWilla</t>
  </si>
  <si>
    <t>PerchuhiGomer</t>
  </si>
  <si>
    <t>DavidAmanda</t>
  </si>
  <si>
    <t>ApostolKanti</t>
  </si>
  <si>
    <t>WłodekIina</t>
  </si>
  <si>
    <t>SilvijaNisha</t>
  </si>
  <si>
    <t>DaudZinat</t>
  </si>
  <si>
    <t>KaoruCosmas</t>
  </si>
  <si>
    <t>EmilianAgostinho</t>
  </si>
  <si>
    <t>VilhjálmurTerje</t>
  </si>
  <si>
    <t>LilliaAnte</t>
  </si>
  <si>
    <t>IdirAbiola</t>
  </si>
  <si>
    <t>AuroraAmonet</t>
  </si>
  <si>
    <t>LudwigTakuya</t>
  </si>
  <si>
    <t>DawaAmie</t>
  </si>
  <si>
    <t>MileJuliana</t>
  </si>
  <si>
    <t>BRB</t>
  </si>
  <si>
    <t>ALB</t>
  </si>
  <si>
    <t>GNQ</t>
  </si>
  <si>
    <t>CIV</t>
  </si>
  <si>
    <t>TCA</t>
  </si>
  <si>
    <t>GAB</t>
  </si>
  <si>
    <t>SGS</t>
  </si>
  <si>
    <t>GIN</t>
  </si>
  <si>
    <t>MDA</t>
  </si>
  <si>
    <t>PAK</t>
  </si>
  <si>
    <t>MDG</t>
  </si>
  <si>
    <t>BES</t>
  </si>
  <si>
    <t>MAR</t>
  </si>
  <si>
    <t>NAM</t>
  </si>
  <si>
    <t>TKM</t>
  </si>
  <si>
    <t>TJK</t>
  </si>
  <si>
    <t>ETH</t>
  </si>
  <si>
    <t>CZE</t>
  </si>
  <si>
    <t>FJI</t>
  </si>
  <si>
    <t>SPM</t>
  </si>
  <si>
    <t>GUY</t>
  </si>
  <si>
    <t>MHL</t>
  </si>
  <si>
    <t>MDV</t>
  </si>
  <si>
    <t>WKLm2Z6V2T</t>
  </si>
  <si>
    <t>X4S4FNyvFE</t>
  </si>
  <si>
    <t>sUPnZvnwYL</t>
  </si>
  <si>
    <t>D7Rmdc9veY</t>
  </si>
  <si>
    <t>hPeK4WvPCX</t>
  </si>
  <si>
    <t>ZNhrhsG6qh</t>
  </si>
  <si>
    <t>TAFrgvZvu3</t>
  </si>
  <si>
    <t>dkcP5PWAMR</t>
  </si>
  <si>
    <t>MmdApg7tJA</t>
  </si>
  <si>
    <t>gtNgjQv9La</t>
  </si>
  <si>
    <t>WXvZGhVVG7</t>
  </si>
  <si>
    <t>T6Dj6ky8KQ</t>
  </si>
  <si>
    <t>vkdzPf44J6</t>
  </si>
  <si>
    <t>LWhzAhASY7</t>
  </si>
  <si>
    <t>vxVbNYPs73</t>
  </si>
  <si>
    <t>Xh3WBgC5Ec</t>
  </si>
  <si>
    <t>pz98V9YejR</t>
  </si>
  <si>
    <t>H3nnfEZZaB</t>
  </si>
  <si>
    <t>dQNZA5MA6U</t>
  </si>
  <si>
    <t>4D7npeDWRf</t>
  </si>
  <si>
    <t>2E553AnFAJ</t>
  </si>
  <si>
    <t>MynubbJgHN</t>
  </si>
  <si>
    <t>4yGzcVRn27</t>
  </si>
  <si>
    <t>uFqehB88At</t>
  </si>
  <si>
    <t>dt83pMJrUE</t>
  </si>
  <si>
    <t>6xFAL79VwC</t>
  </si>
  <si>
    <t>BPFPFALjJS</t>
  </si>
  <si>
    <t>jJbAjxW2zq</t>
  </si>
  <si>
    <t>HazmXtkPx7</t>
  </si>
  <si>
    <t>URgATaEsgN</t>
  </si>
  <si>
    <t>Tianjin</t>
  </si>
  <si>
    <t>Ningbo</t>
  </si>
  <si>
    <t>Quezon City</t>
  </si>
  <si>
    <t>Chaozhou</t>
  </si>
  <si>
    <t>Yaounde</t>
  </si>
  <si>
    <t>Shenyang</t>
  </si>
  <si>
    <t>Ekurhuleni</t>
  </si>
  <si>
    <t>Dallas</t>
  </si>
  <si>
    <t>Changsha</t>
  </si>
  <si>
    <t>Peshawar</t>
  </si>
  <si>
    <t>Palembang</t>
  </si>
  <si>
    <t>Jaipur</t>
  </si>
  <si>
    <t>Philadelphia</t>
  </si>
  <si>
    <t>Guayaquil</t>
  </si>
  <si>
    <t>Busan</t>
  </si>
  <si>
    <t>Zhengzhou</t>
  </si>
  <si>
    <t>Tainan</t>
  </si>
  <si>
    <t>Hong Kong</t>
  </si>
  <si>
    <t>Fuzhou</t>
  </si>
  <si>
    <t>Kampala</t>
  </si>
  <si>
    <t>Kuala Lumpur</t>
  </si>
  <si>
    <t>Seoul</t>
  </si>
  <si>
    <t>Algiers</t>
  </si>
  <si>
    <t>Caracas</t>
  </si>
  <si>
    <t>BertrandLovise</t>
  </si>
  <si>
    <t>AyselKamil</t>
  </si>
  <si>
    <t>GovindaDiodotos</t>
  </si>
  <si>
    <t>KalinLalita</t>
  </si>
  <si>
    <t>Eun-JiIryna</t>
  </si>
  <si>
    <t>GuilhermeRamana</t>
  </si>
  <si>
    <t>AdelaisEsdras</t>
  </si>
  <si>
    <t>AniMaria</t>
  </si>
  <si>
    <t>MelisaViraj</t>
  </si>
  <si>
    <t>LauriLakshmana</t>
  </si>
  <si>
    <t>Meyrick</t>
  </si>
  <si>
    <t>Genadiev</t>
  </si>
  <si>
    <t>Traylor</t>
  </si>
  <si>
    <t>Hakim</t>
  </si>
  <si>
    <t>Post</t>
  </si>
  <si>
    <t>Sanna</t>
  </si>
  <si>
    <t>Aitken</t>
  </si>
  <si>
    <t>Chiara</t>
  </si>
  <si>
    <t>Wheatley</t>
  </si>
  <si>
    <t>Bridges</t>
  </si>
  <si>
    <t>Nairobi</t>
  </si>
  <si>
    <t>Basra</t>
  </si>
  <si>
    <t>Rome</t>
  </si>
  <si>
    <t>Kanpur</t>
  </si>
  <si>
    <t>Munich</t>
  </si>
  <si>
    <t>Pyongyang</t>
  </si>
  <si>
    <t>Shanghai</t>
  </si>
  <si>
    <t>Lahore</t>
  </si>
  <si>
    <t>Minsk</t>
  </si>
  <si>
    <t>Prague</t>
  </si>
  <si>
    <t>Lr8mBbKmDX</t>
  </si>
  <si>
    <t>ABRRx5vU4R</t>
  </si>
  <si>
    <t>9WD3JqhjZ8</t>
  </si>
  <si>
    <t>2HNrpQt8W5</t>
  </si>
  <si>
    <t>UhehqHBRCf</t>
  </si>
  <si>
    <t>vVwAtRS6LV</t>
  </si>
  <si>
    <t>sNneLaZsZd</t>
  </si>
  <si>
    <t>gGkrduyGB2</t>
  </si>
  <si>
    <t>qpTEBJp8f2</t>
  </si>
  <si>
    <t>JrDrsZkesB</t>
  </si>
  <si>
    <t>LCA</t>
  </si>
  <si>
    <t>LVA</t>
  </si>
  <si>
    <t>TLS</t>
  </si>
  <si>
    <t>CXR</t>
  </si>
  <si>
    <t>GUM</t>
  </si>
  <si>
    <t>BMU</t>
  </si>
  <si>
    <t>WSM</t>
  </si>
  <si>
    <t>NGA</t>
  </si>
  <si>
    <t>COG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</si>
</sst>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/yy;@"/>
  </numFmts>
  <fonts count="35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2"/>
      <name val="Times New Roman"/>
      <family val="1"/>
    </font>
    <font>
      <sz val="9"/>
      <name val="Times New Roman"/>
      <family val="1"/>
    </font>
    <font>
      <sz val="8"/>
      <name val="Times New Roman"/>
      <family val="1"/>
    </font>
    <font>
      <sz val="6"/>
      <name val="Times New Roman"/>
      <family val="1"/>
    </font>
    <font>
      <b/>
      <sz val="7"/>
      <name val="Times New Roman"/>
      <family val="1"/>
    </font>
    <font>
      <b/>
      <i/>
      <sz val="12"/>
      <name val="Times New Roman"/>
      <family val="1"/>
    </font>
    <font>
      <sz val="7"/>
      <name val="Times New Roman"/>
      <family val="1"/>
    </font>
    <font>
      <b/>
      <sz val="10"/>
      <name val="Times New Roman"/>
      <family val="1"/>
    </font>
    <font>
      <b/>
      <sz val="7"/>
      <name val="Times New Roman"/>
      <family val="1"/>
    </font>
    <font>
      <b/>
      <sz val="8"/>
      <name val="Times New Roman"/>
      <family val="1"/>
    </font>
    <font>
      <sz val="10"/>
      <name val="Times New Roman"/>
      <family val="1"/>
    </font>
    <font>
      <b/>
      <sz val="11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i/>
      <sz val="7"/>
      <name val="Times New Roman"/>
      <family val="1"/>
    </font>
    <font>
      <b/>
      <sz val="10"/>
      <color indexed="9"/>
      <name val="Arial"/>
      <family val="2"/>
    </font>
    <font>
      <sz val="8"/>
      <color theme="0" tint="-0.24994659260841701"/>
      <name val="Arial"/>
      <family val="2"/>
    </font>
    <font>
      <sz val="10"/>
      <color theme="1"/>
      <name val="Arial"/>
      <family val="2"/>
    </font>
    <font>
      <b/>
      <sz val="28"/>
      <color rgb="FFFF0000"/>
      <name val="Arial"/>
      <family val="2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color rgb="FF800080"/>
      <name val="Arial"/>
      <family val="2"/>
    </font>
    <font>
      <b/>
      <sz val="10"/>
      <color rgb="FF80008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sz val="28"/>
      <color rgb="FFFF0000"/>
      <name val="Arial"/>
      <family val="2"/>
    </font>
    <font>
      <b/>
      <i/>
      <u/>
      <sz val="10"/>
      <color rgb="FF800080"/>
      <name val="Arial"/>
      <family val="2"/>
    </font>
    <font>
      <b/>
      <i/>
      <u/>
      <sz val="12"/>
      <color rgb="FF800080"/>
      <name val="Arial"/>
      <family val="2"/>
    </font>
    <font>
      <b/>
      <sz val="8"/>
      <name val="Calibri"/>
      <family val="2"/>
    </font>
    <font>
      <sz val="10"/>
      <color rgb="FF000000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theme="0" tint="-0.14993743705557422"/>
      </left>
      <right style="thick">
        <color theme="0" tint="-0.14993743705557422"/>
      </right>
      <top style="thick">
        <color theme="0" tint="-0.14993743705557422"/>
      </top>
      <bottom style="thick">
        <color theme="0" tint="-0.14993743705557422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hair">
        <color theme="0" tint="-0.14996795556505021"/>
      </bottom>
      <diagonal/>
    </border>
  </borders>
  <cellStyleXfs count="3">
    <xf numFmtId="0" fontId="0" fillId="0" borderId="0"/>
    <xf numFmtId="0" fontId="17" fillId="0" borderId="0"/>
    <xf numFmtId="0" fontId="17" fillId="0" borderId="0"/>
  </cellStyleXfs>
  <cellXfs count="331">
    <xf numFmtId="0" fontId="0" fillId="0" borderId="0" xfId="0"/>
    <xf numFmtId="0" fontId="0" fillId="0" borderId="0" xfId="0" applyAlignment="1">
      <alignment vertical="justify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indent="1"/>
    </xf>
    <xf numFmtId="0" fontId="1" fillId="0" borderId="4" xfId="0" applyFont="1" applyBorder="1" applyAlignment="1">
      <alignment horizontal="left" indent="1"/>
    </xf>
    <xf numFmtId="0" fontId="1" fillId="0" borderId="4" xfId="0" applyFont="1" applyBorder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" xfId="0" applyFont="1" applyBorder="1"/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0" fontId="8" fillId="0" borderId="7" xfId="0" applyFont="1" applyBorder="1"/>
    <xf numFmtId="0" fontId="9" fillId="0" borderId="8" xfId="0" quotePrefix="1" applyFont="1" applyBorder="1" applyAlignment="1">
      <alignment horizontal="left" vertical="top"/>
    </xf>
    <xf numFmtId="0" fontId="9" fillId="0" borderId="9" xfId="0" applyFont="1" applyBorder="1"/>
    <xf numFmtId="0" fontId="9" fillId="0" borderId="10" xfId="0" applyFont="1" applyBorder="1"/>
    <xf numFmtId="0" fontId="9" fillId="0" borderId="1" xfId="0" applyFont="1" applyBorder="1"/>
    <xf numFmtId="0" fontId="5" fillId="0" borderId="7" xfId="0" applyFont="1" applyBorder="1"/>
    <xf numFmtId="0" fontId="5" fillId="0" borderId="11" xfId="0" applyFont="1" applyBorder="1"/>
    <xf numFmtId="14" fontId="5" fillId="0" borderId="2" xfId="0" applyNumberFormat="1" applyFont="1" applyBorder="1" applyAlignment="1">
      <alignment horizontal="left"/>
    </xf>
    <xf numFmtId="0" fontId="9" fillId="0" borderId="7" xfId="0" applyFont="1" applyBorder="1"/>
    <xf numFmtId="0" fontId="9" fillId="0" borderId="2" xfId="0" applyFont="1" applyBorder="1"/>
    <xf numFmtId="0" fontId="11" fillId="0" borderId="7" xfId="0" applyFont="1" applyBorder="1"/>
    <xf numFmtId="0" fontId="8" fillId="0" borderId="3" xfId="0" applyFont="1" applyBorder="1" applyAlignment="1">
      <alignment textRotation="90"/>
    </xf>
    <xf numFmtId="0" fontId="12" fillId="0" borderId="12" xfId="0" applyFont="1" applyBorder="1" applyAlignment="1">
      <alignment horizontal="center" vertical="center"/>
    </xf>
    <xf numFmtId="0" fontId="5" fillId="0" borderId="12" xfId="0" applyFont="1" applyBorder="1"/>
    <xf numFmtId="0" fontId="9" fillId="0" borderId="4" xfId="0" applyFont="1" applyBorder="1" applyAlignment="1">
      <alignment vertical="top"/>
    </xf>
    <xf numFmtId="0" fontId="9" fillId="0" borderId="4" xfId="0" applyFont="1" applyBorder="1"/>
    <xf numFmtId="0" fontId="9" fillId="0" borderId="13" xfId="0" applyFont="1" applyBorder="1"/>
    <xf numFmtId="0" fontId="13" fillId="0" borderId="13" xfId="0" applyFont="1" applyBorder="1" applyAlignment="1">
      <alignment vertical="top"/>
    </xf>
    <xf numFmtId="0" fontId="5" fillId="0" borderId="14" xfId="0" applyFont="1" applyBorder="1"/>
    <xf numFmtId="0" fontId="5" fillId="0" borderId="15" xfId="0" applyFont="1" applyBorder="1"/>
    <xf numFmtId="0" fontId="9" fillId="0" borderId="16" xfId="0" applyFont="1" applyBorder="1"/>
    <xf numFmtId="0" fontId="8" fillId="0" borderId="16" xfId="0" applyFont="1" applyBorder="1"/>
    <xf numFmtId="0" fontId="5" fillId="0" borderId="17" xfId="0" applyFont="1" applyBorder="1"/>
    <xf numFmtId="0" fontId="5" fillId="0" borderId="16" xfId="0" applyFont="1" applyBorder="1"/>
    <xf numFmtId="0" fontId="5" fillId="0" borderId="18" xfId="0" quotePrefix="1" applyFont="1" applyBorder="1"/>
    <xf numFmtId="0" fontId="5" fillId="0" borderId="18" xfId="0" applyFont="1" applyBorder="1"/>
    <xf numFmtId="0" fontId="14" fillId="0" borderId="7" xfId="0" applyFont="1" applyBorder="1" applyAlignment="1">
      <alignment horizontal="center"/>
    </xf>
    <xf numFmtId="0" fontId="13" fillId="0" borderId="7" xfId="0" quotePrefix="1" applyFont="1" applyBorder="1" applyAlignment="1">
      <alignment horizontal="center" vertical="top"/>
    </xf>
    <xf numFmtId="0" fontId="5" fillId="0" borderId="2" xfId="0" applyFont="1" applyBorder="1"/>
    <xf numFmtId="0" fontId="15" fillId="0" borderId="9" xfId="0" quotePrefix="1" applyFont="1" applyBorder="1" applyAlignment="1">
      <alignment horizontal="left"/>
    </xf>
    <xf numFmtId="0" fontId="5" fillId="0" borderId="9" xfId="0" applyFont="1" applyBorder="1"/>
    <xf numFmtId="0" fontId="16" fillId="0" borderId="0" xfId="0" applyFont="1" applyAlignment="1">
      <alignment horizontal="left" vertical="center" indent="1"/>
    </xf>
    <xf numFmtId="0" fontId="0" fillId="0" borderId="19" xfId="0" applyBorder="1"/>
    <xf numFmtId="0" fontId="7" fillId="0" borderId="0" xfId="0" applyFont="1"/>
    <xf numFmtId="0" fontId="10" fillId="0" borderId="0" xfId="0" applyFont="1" applyAlignment="1">
      <alignment horizontal="left" vertical="center" indent="1"/>
    </xf>
    <xf numFmtId="0" fontId="15" fillId="0" borderId="14" xfId="0" applyFont="1" applyBorder="1" applyAlignment="1">
      <alignment horizontal="left"/>
    </xf>
    <xf numFmtId="15" fontId="0" fillId="0" borderId="19" xfId="0" applyNumberFormat="1" applyBorder="1"/>
    <xf numFmtId="0" fontId="1" fillId="0" borderId="13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0" fontId="15" fillId="0" borderId="14" xfId="0" applyFont="1" applyBorder="1" applyAlignment="1" applyProtection="1">
      <alignment horizontal="left"/>
      <protection locked="0"/>
    </xf>
    <xf numFmtId="0" fontId="1" fillId="0" borderId="4" xfId="0" applyFont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vertical="justify"/>
    </xf>
    <xf numFmtId="0" fontId="2" fillId="0" borderId="0" xfId="0" applyFont="1" applyAlignment="1">
      <alignment horizontal="center" vertical="center"/>
    </xf>
    <xf numFmtId="0" fontId="2" fillId="0" borderId="21" xfId="0" applyFont="1" applyBorder="1" applyAlignment="1">
      <alignment horizontal="left" vertical="center" indent="1"/>
    </xf>
    <xf numFmtId="0" fontId="1" fillId="0" borderId="21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indent="1"/>
    </xf>
    <xf numFmtId="14" fontId="3" fillId="0" borderId="0" xfId="0" applyNumberFormat="1" applyFont="1" applyAlignment="1">
      <alignment horizontal="left" vertical="center" indent="1"/>
    </xf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indent="1"/>
    </xf>
    <xf numFmtId="14" fontId="1" fillId="0" borderId="21" xfId="0" applyNumberFormat="1" applyFont="1" applyBorder="1" applyAlignment="1" applyProtection="1">
      <alignment horizontal="center" vertical="center"/>
      <protection locked="0"/>
    </xf>
    <xf numFmtId="0" fontId="2" fillId="0" borderId="21" xfId="0" applyFont="1" applyBorder="1" applyAlignment="1">
      <alignment horizontal="center"/>
    </xf>
    <xf numFmtId="0" fontId="1" fillId="0" borderId="22" xfId="0" applyFont="1" applyBorder="1" applyAlignment="1" applyProtection="1">
      <alignment horizontal="left" vertical="center" indent="1"/>
      <protection locked="0"/>
    </xf>
    <xf numFmtId="14" fontId="1" fillId="0" borderId="22" xfId="0" applyNumberFormat="1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0" fillId="0" borderId="4" xfId="0" applyBorder="1" applyAlignment="1">
      <alignment horizontal="left" indent="1"/>
    </xf>
    <xf numFmtId="0" fontId="0" fillId="0" borderId="0" xfId="0" applyAlignment="1">
      <alignment horizontal="left" vertical="center" indent="1"/>
    </xf>
    <xf numFmtId="0" fontId="0" fillId="0" borderId="23" xfId="0" applyBorder="1" applyAlignment="1">
      <alignment horizontal="left" inden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 indent="1"/>
    </xf>
    <xf numFmtId="0" fontId="0" fillId="0" borderId="24" xfId="0" applyBorder="1" applyAlignment="1">
      <alignment horizontal="left" indent="1"/>
    </xf>
    <xf numFmtId="14" fontId="3" fillId="0" borderId="3" xfId="0" applyNumberFormat="1" applyFont="1" applyBorder="1" applyAlignment="1">
      <alignment horizontal="center" vertical="center"/>
    </xf>
    <xf numFmtId="0" fontId="18" fillId="0" borderId="25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49" fontId="1" fillId="0" borderId="4" xfId="0" applyNumberFormat="1" applyFont="1" applyBorder="1" applyAlignment="1">
      <alignment horizontal="left" indent="1"/>
    </xf>
    <xf numFmtId="49" fontId="1" fillId="0" borderId="1" xfId="0" applyNumberFormat="1" applyFont="1" applyBorder="1" applyAlignment="1">
      <alignment horizontal="left" indent="1"/>
    </xf>
    <xf numFmtId="0" fontId="1" fillId="0" borderId="21" xfId="0" applyFont="1" applyBorder="1" applyAlignment="1" applyProtection="1">
      <alignment horizontal="left" vertical="center" indent="1"/>
      <protection locked="0"/>
    </xf>
    <xf numFmtId="14" fontId="1" fillId="0" borderId="0" xfId="0" applyNumberFormat="1" applyFont="1" applyAlignment="1" applyProtection="1">
      <alignment horizontal="left" vertical="center" indent="1"/>
      <protection locked="0"/>
    </xf>
    <xf numFmtId="0" fontId="1" fillId="0" borderId="22" xfId="0" applyFont="1" applyBorder="1" applyAlignment="1" applyProtection="1">
      <alignment horizontal="center" vertical="center"/>
      <protection locked="0"/>
    </xf>
    <xf numFmtId="0" fontId="1" fillId="0" borderId="27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0" borderId="28" xfId="0" applyFont="1" applyBorder="1" applyAlignment="1">
      <alignment horizontal="left" vertical="top" wrapText="1"/>
    </xf>
    <xf numFmtId="0" fontId="18" fillId="0" borderId="29" xfId="0" applyFont="1" applyBorder="1" applyAlignment="1">
      <alignment horizontal="left" vertical="top" wrapText="1"/>
    </xf>
    <xf numFmtId="0" fontId="18" fillId="0" borderId="30" xfId="0" applyFont="1" applyBorder="1" applyAlignment="1">
      <alignment horizontal="left" vertical="top" wrapText="1"/>
    </xf>
    <xf numFmtId="49" fontId="0" fillId="0" borderId="4" xfId="0" applyNumberFormat="1" applyBorder="1" applyAlignment="1">
      <alignment horizontal="left" indent="1"/>
    </xf>
    <xf numFmtId="0" fontId="1" fillId="0" borderId="31" xfId="0" applyFont="1" applyBorder="1" applyAlignment="1">
      <alignment horizontal="center"/>
    </xf>
    <xf numFmtId="0" fontId="15" fillId="0" borderId="16" xfId="0" applyFont="1" applyBorder="1"/>
    <xf numFmtId="0" fontId="10" fillId="0" borderId="12" xfId="0" applyFont="1" applyBorder="1" applyAlignment="1">
      <alignment horizontal="center"/>
    </xf>
    <xf numFmtId="0" fontId="15" fillId="0" borderId="32" xfId="0" applyFont="1" applyBorder="1"/>
    <xf numFmtId="0" fontId="15" fillId="0" borderId="33" xfId="0" applyFont="1" applyBorder="1"/>
    <xf numFmtId="0" fontId="15" fillId="0" borderId="15" xfId="0" applyFont="1" applyBorder="1"/>
    <xf numFmtId="0" fontId="15" fillId="0" borderId="7" xfId="0" applyFont="1" applyBorder="1"/>
    <xf numFmtId="0" fontId="15" fillId="0" borderId="15" xfId="0" applyFont="1" applyBorder="1" applyAlignment="1">
      <alignment horizontal="left"/>
    </xf>
    <xf numFmtId="0" fontId="15" fillId="0" borderId="11" xfId="0" applyFont="1" applyBorder="1"/>
    <xf numFmtId="0" fontId="15" fillId="0" borderId="34" xfId="0" applyFont="1" applyBorder="1" applyAlignment="1">
      <alignment horizontal="left"/>
    </xf>
    <xf numFmtId="0" fontId="15" fillId="0" borderId="34" xfId="0" applyFont="1" applyBorder="1"/>
    <xf numFmtId="0" fontId="15" fillId="0" borderId="18" xfId="0" applyFont="1" applyBorder="1"/>
    <xf numFmtId="0" fontId="15" fillId="0" borderId="2" xfId="0" applyFont="1" applyBorder="1"/>
    <xf numFmtId="0" fontId="15" fillId="0" borderId="14" xfId="0" applyFont="1" applyBorder="1"/>
    <xf numFmtId="0" fontId="15" fillId="0" borderId="16" xfId="0" applyFont="1" applyBorder="1" applyAlignment="1">
      <alignment horizontal="left"/>
    </xf>
    <xf numFmtId="0" fontId="15" fillId="0" borderId="35" xfId="0" applyFont="1" applyBorder="1"/>
    <xf numFmtId="0" fontId="15" fillId="0" borderId="36" xfId="0" applyFont="1" applyBorder="1"/>
    <xf numFmtId="0" fontId="0" fillId="0" borderId="9" xfId="0" applyBorder="1" applyAlignment="1">
      <alignment horizontal="center"/>
    </xf>
    <xf numFmtId="0" fontId="2" fillId="0" borderId="0" xfId="0" applyFont="1" applyAlignment="1">
      <alignment vertical="center"/>
    </xf>
    <xf numFmtId="0" fontId="9" fillId="0" borderId="13" xfId="0" applyFont="1" applyBorder="1" applyAlignment="1">
      <alignment horizontal="left" vertical="top"/>
    </xf>
    <xf numFmtId="0" fontId="10" fillId="0" borderId="12" xfId="0" applyFont="1" applyBorder="1"/>
    <xf numFmtId="0" fontId="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/>
    </xf>
    <xf numFmtId="0" fontId="1" fillId="0" borderId="37" xfId="0" applyFont="1" applyBorder="1" applyAlignment="1">
      <alignment horizontal="center" vertical="center"/>
    </xf>
    <xf numFmtId="0" fontId="4" fillId="0" borderId="0" xfId="0" applyFont="1" applyAlignment="1" applyProtection="1">
      <alignment vertical="center"/>
      <protection locked="0"/>
    </xf>
    <xf numFmtId="0" fontId="0" fillId="0" borderId="22" xfId="0" applyBorder="1"/>
    <xf numFmtId="14" fontId="4" fillId="0" borderId="0" xfId="0" applyNumberFormat="1" applyFont="1" applyAlignment="1" applyProtection="1">
      <alignment horizontal="center" vertical="center"/>
      <protection locked="0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 applyProtection="1">
      <alignment horizontal="center"/>
      <protection locked="0"/>
    </xf>
    <xf numFmtId="0" fontId="1" fillId="3" borderId="40" xfId="0" applyFont="1" applyFill="1" applyBorder="1" applyAlignment="1" applyProtection="1">
      <alignment horizontal="center"/>
      <protection locked="0"/>
    </xf>
    <xf numFmtId="0" fontId="1" fillId="3" borderId="41" xfId="0" applyFont="1" applyFill="1" applyBorder="1" applyAlignment="1" applyProtection="1">
      <alignment horizontal="center"/>
      <protection locked="0"/>
    </xf>
    <xf numFmtId="14" fontId="1" fillId="2" borderId="42" xfId="0" applyNumberFormat="1" applyFont="1" applyFill="1" applyBorder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14" fontId="1" fillId="0" borderId="43" xfId="0" applyNumberFormat="1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49" fontId="1" fillId="2" borderId="44" xfId="0" applyNumberFormat="1" applyFont="1" applyFill="1" applyBorder="1" applyAlignment="1">
      <alignment horizontal="center"/>
    </xf>
    <xf numFmtId="49" fontId="1" fillId="0" borderId="42" xfId="0" applyNumberFormat="1" applyFont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49" fontId="1" fillId="0" borderId="4" xfId="0" applyNumberFormat="1" applyFont="1" applyBorder="1" applyAlignment="1">
      <alignment horizontal="center"/>
    </xf>
    <xf numFmtId="49" fontId="1" fillId="2" borderId="13" xfId="0" applyNumberFormat="1" applyFon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0" fillId="0" borderId="45" xfId="0" applyBorder="1"/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7" fillId="0" borderId="0" xfId="0" applyFont="1"/>
    <xf numFmtId="0" fontId="18" fillId="0" borderId="25" xfId="0" applyFont="1" applyBorder="1" applyAlignment="1">
      <alignment vertical="top"/>
    </xf>
    <xf numFmtId="0" fontId="18" fillId="0" borderId="26" xfId="0" applyFont="1" applyBorder="1" applyAlignment="1">
      <alignment vertical="top"/>
    </xf>
    <xf numFmtId="0" fontId="1" fillId="3" borderId="4" xfId="0" applyFont="1" applyFill="1" applyBorder="1" applyAlignment="1" applyProtection="1">
      <alignment horizontal="center" vertical="center"/>
      <protection locked="0"/>
    </xf>
    <xf numFmtId="0" fontId="2" fillId="0" borderId="25" xfId="0" applyFont="1" applyBorder="1" applyAlignment="1">
      <alignment horizontal="left" vertical="top" wrapText="1"/>
    </xf>
    <xf numFmtId="0" fontId="21" fillId="0" borderId="0" xfId="0" applyFont="1" applyAlignment="1">
      <alignment horizontal="left" indent="1"/>
    </xf>
    <xf numFmtId="0" fontId="1" fillId="4" borderId="41" xfId="0" applyFont="1" applyFill="1" applyBorder="1" applyAlignment="1" applyProtection="1">
      <alignment horizontal="center"/>
      <protection locked="0"/>
    </xf>
    <xf numFmtId="0" fontId="9" fillId="0" borderId="4" xfId="0" applyFont="1" applyBorder="1" applyAlignment="1">
      <alignment vertical="top" wrapText="1"/>
    </xf>
    <xf numFmtId="0" fontId="0" fillId="0" borderId="49" xfId="0" applyBorder="1"/>
    <xf numFmtId="0" fontId="1" fillId="0" borderId="0" xfId="0" applyFont="1"/>
    <xf numFmtId="14" fontId="1" fillId="0" borderId="0" xfId="0" applyNumberFormat="1" applyFont="1" applyAlignment="1">
      <alignment horizontal="left"/>
    </xf>
    <xf numFmtId="0" fontId="1" fillId="0" borderId="47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3" fillId="0" borderId="69" xfId="0" applyFont="1" applyBorder="1" applyAlignment="1">
      <alignment horizontal="center" vertical="center"/>
    </xf>
    <xf numFmtId="0" fontId="0" fillId="0" borderId="71" xfId="0" applyBorder="1" applyAlignment="1">
      <alignment horizontal="center" vertical="top" wrapText="1"/>
    </xf>
    <xf numFmtId="0" fontId="0" fillId="0" borderId="72" xfId="0" applyBorder="1" applyAlignment="1">
      <alignment horizontal="center" vertical="top" wrapText="1"/>
    </xf>
    <xf numFmtId="0" fontId="0" fillId="0" borderId="73" xfId="0" applyBorder="1" applyAlignment="1">
      <alignment vertical="top" wrapText="1"/>
    </xf>
    <xf numFmtId="0" fontId="0" fillId="0" borderId="74" xfId="0" applyBorder="1" applyAlignment="1">
      <alignment vertical="top" wrapText="1"/>
    </xf>
    <xf numFmtId="0" fontId="0" fillId="0" borderId="75" xfId="0" applyBorder="1" applyAlignment="1">
      <alignment vertical="top" wrapText="1"/>
    </xf>
    <xf numFmtId="0" fontId="0" fillId="0" borderId="72" xfId="0" applyBorder="1" applyAlignment="1">
      <alignment horizontal="left" vertical="top" wrapText="1"/>
    </xf>
    <xf numFmtId="14" fontId="0" fillId="0" borderId="72" xfId="0" applyNumberFormat="1" applyBorder="1" applyAlignment="1">
      <alignment horizontal="left" vertical="top" wrapText="1"/>
    </xf>
    <xf numFmtId="0" fontId="0" fillId="0" borderId="71" xfId="0" applyBorder="1" applyAlignment="1">
      <alignment horizontal="left" vertical="top" wrapText="1"/>
    </xf>
    <xf numFmtId="14" fontId="0" fillId="0" borderId="71" xfId="0" applyNumberFormat="1" applyBorder="1" applyAlignment="1">
      <alignment horizontal="left" vertical="top" wrapText="1"/>
    </xf>
    <xf numFmtId="164" fontId="0" fillId="0" borderId="0" xfId="0" applyNumberFormat="1"/>
    <xf numFmtId="164" fontId="22" fillId="0" borderId="70" xfId="0" applyNumberFormat="1" applyFont="1" applyBorder="1"/>
    <xf numFmtId="164" fontId="17" fillId="0" borderId="0" xfId="0" applyNumberFormat="1" applyFont="1"/>
    <xf numFmtId="164" fontId="30" fillId="0" borderId="0" xfId="0" applyNumberFormat="1" applyFont="1" applyAlignment="1">
      <alignment horizontal="center" vertical="center" wrapText="1"/>
    </xf>
    <xf numFmtId="164" fontId="0" fillId="0" borderId="76" xfId="0" applyNumberFormat="1" applyBorder="1" applyAlignment="1">
      <alignment horizontal="center"/>
    </xf>
    <xf numFmtId="164" fontId="0" fillId="0" borderId="77" xfId="0" applyNumberFormat="1" applyBorder="1" applyAlignment="1">
      <alignment horizontal="center"/>
    </xf>
    <xf numFmtId="164" fontId="0" fillId="0" borderId="78" xfId="0" applyNumberFormat="1" applyBorder="1" applyAlignment="1">
      <alignment horizontal="center"/>
    </xf>
    <xf numFmtId="0" fontId="29" fillId="0" borderId="0" xfId="0" applyFont="1" applyAlignment="1">
      <alignment vertical="center" wrapText="1"/>
    </xf>
    <xf numFmtId="0" fontId="17" fillId="0" borderId="79" xfId="0" applyFont="1" applyBorder="1" applyAlignment="1" applyProtection="1">
      <alignment horizontal="left" vertical="center" indent="1"/>
      <protection locked="0"/>
    </xf>
    <xf numFmtId="0" fontId="0" fillId="0" borderId="79" xfId="0" applyBorder="1" applyAlignment="1" applyProtection="1">
      <alignment horizontal="left" vertical="center" indent="1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14" fontId="0" fillId="0" borderId="79" xfId="0" applyNumberFormat="1" applyBorder="1" applyAlignment="1" applyProtection="1">
      <alignment horizontal="center" vertical="center"/>
      <protection locked="0"/>
    </xf>
    <xf numFmtId="49" fontId="0" fillId="0" borderId="79" xfId="0" applyNumberFormat="1" applyBorder="1" applyAlignment="1" applyProtection="1">
      <alignment horizontal="left" vertical="center" indent="1"/>
      <protection locked="0"/>
    </xf>
    <xf numFmtId="49" fontId="0" fillId="0" borderId="79" xfId="0" applyNumberFormat="1" applyBorder="1" applyAlignment="1" applyProtection="1">
      <alignment horizontal="center" vertical="center"/>
      <protection locked="0"/>
    </xf>
    <xf numFmtId="14" fontId="0" fillId="0" borderId="79" xfId="0" applyNumberFormat="1" applyBorder="1" applyAlignment="1" applyProtection="1">
      <alignment horizontal="left" vertical="center" indent="1"/>
      <protection locked="0"/>
    </xf>
    <xf numFmtId="0" fontId="17" fillId="0" borderId="79" xfId="0" applyFont="1" applyBorder="1" applyAlignment="1" applyProtection="1">
      <alignment horizontal="center" vertical="center"/>
      <protection locked="0"/>
    </xf>
    <xf numFmtId="14" fontId="17" fillId="0" borderId="79" xfId="0" applyNumberFormat="1" applyFont="1" applyBorder="1" applyAlignment="1" applyProtection="1">
      <alignment horizontal="center" vertical="center"/>
      <protection locked="0"/>
    </xf>
    <xf numFmtId="49" fontId="17" fillId="0" borderId="79" xfId="0" applyNumberFormat="1" applyFont="1" applyBorder="1" applyAlignment="1" applyProtection="1">
      <alignment horizontal="left" vertical="center" indent="1"/>
      <protection locked="0"/>
    </xf>
    <xf numFmtId="49" fontId="17" fillId="0" borderId="79" xfId="0" applyNumberFormat="1" applyFont="1" applyBorder="1" applyAlignment="1" applyProtection="1">
      <alignment horizontal="center" vertical="center"/>
      <protection locked="0"/>
    </xf>
    <xf numFmtId="14" fontId="17" fillId="0" borderId="79" xfId="0" applyNumberFormat="1" applyFont="1" applyBorder="1" applyAlignment="1" applyProtection="1">
      <alignment horizontal="left" vertical="center" indent="1"/>
      <protection locked="0"/>
    </xf>
    <xf numFmtId="49" fontId="0" fillId="0" borderId="79" xfId="0" quotePrefix="1" applyNumberFormat="1" applyBorder="1" applyAlignment="1" applyProtection="1">
      <alignment horizontal="center" vertical="center"/>
      <protection locked="0"/>
    </xf>
    <xf numFmtId="14" fontId="0" fillId="0" borderId="79" xfId="0" quotePrefix="1" applyNumberFormat="1" applyBorder="1" applyAlignment="1" applyProtection="1">
      <alignment horizontal="left" vertical="center" indent="1"/>
      <protection locked="0"/>
    </xf>
    <xf numFmtId="0" fontId="0" fillId="0" borderId="79" xfId="0" applyBorder="1" applyAlignment="1" applyProtection="1">
      <alignment horizontal="center" wrapText="1"/>
      <protection locked="0"/>
    </xf>
    <xf numFmtId="49" fontId="17" fillId="0" borderId="79" xfId="0" quotePrefix="1" applyNumberFormat="1" applyFont="1" applyBorder="1" applyAlignment="1" applyProtection="1">
      <alignment horizontal="center" vertical="center"/>
      <protection locked="0"/>
    </xf>
    <xf numFmtId="14" fontId="17" fillId="0" borderId="79" xfId="0" quotePrefix="1" applyNumberFormat="1" applyFont="1" applyBorder="1" applyAlignment="1" applyProtection="1">
      <alignment horizontal="left" vertical="center" indent="1"/>
      <protection locked="0"/>
    </xf>
    <xf numFmtId="0" fontId="17" fillId="0" borderId="79" xfId="0" applyFont="1" applyBorder="1" applyAlignment="1" applyProtection="1">
      <alignment horizontal="left" vertical="center" wrapText="1" indent="1"/>
      <protection locked="0"/>
    </xf>
    <xf numFmtId="0" fontId="17" fillId="0" borderId="79" xfId="0" applyFont="1" applyBorder="1" applyAlignment="1" applyProtection="1">
      <alignment horizontal="center" vertical="center" wrapText="1"/>
      <protection locked="0"/>
    </xf>
    <xf numFmtId="14" fontId="17" fillId="0" borderId="79" xfId="0" applyNumberFormat="1" applyFont="1" applyBorder="1" applyAlignment="1" applyProtection="1">
      <alignment horizontal="center" vertical="center" wrapText="1"/>
      <protection locked="0"/>
    </xf>
    <xf numFmtId="49" fontId="17" fillId="0" borderId="79" xfId="0" applyNumberFormat="1" applyFont="1" applyBorder="1" applyAlignment="1" applyProtection="1">
      <alignment horizontal="center" vertical="center" wrapText="1"/>
      <protection locked="0"/>
    </xf>
    <xf numFmtId="14" fontId="17" fillId="0" borderId="79" xfId="0" applyNumberFormat="1" applyFont="1" applyBorder="1" applyAlignment="1" applyProtection="1">
      <alignment horizontal="left" vertical="center" wrapText="1" indent="1"/>
      <protection locked="0"/>
    </xf>
    <xf numFmtId="0" fontId="17" fillId="0" borderId="81" xfId="0" applyFont="1" applyBorder="1" applyAlignment="1" applyProtection="1">
      <alignment horizontal="left" vertical="center" indent="1"/>
      <protection locked="0"/>
    </xf>
    <xf numFmtId="14" fontId="0" fillId="0" borderId="81" xfId="0" applyNumberFormat="1" applyBorder="1" applyAlignment="1" applyProtection="1">
      <alignment horizontal="center" vertical="center"/>
      <protection locked="0"/>
    </xf>
    <xf numFmtId="14" fontId="0" fillId="0" borderId="81" xfId="0" applyNumberFormat="1" applyBorder="1" applyAlignment="1" applyProtection="1">
      <alignment horizontal="left" vertical="center" indent="1"/>
      <protection locked="0"/>
    </xf>
    <xf numFmtId="0" fontId="1" fillId="0" borderId="80" xfId="0" applyFont="1" applyBorder="1" applyAlignment="1" applyProtection="1">
      <alignment horizontal="left" vertical="center" wrapText="1" inden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14" fontId="1" fillId="0" borderId="80" xfId="0" applyNumberFormat="1" applyFont="1" applyBorder="1" applyAlignment="1" applyProtection="1">
      <alignment horizontal="center" vertical="center" wrapText="1"/>
      <protection locked="0"/>
    </xf>
    <xf numFmtId="49" fontId="1" fillId="0" borderId="80" xfId="0" applyNumberFormat="1" applyFont="1" applyBorder="1" applyAlignment="1" applyProtection="1">
      <alignment horizontal="center" vertical="center" wrapText="1"/>
      <protection locked="0"/>
    </xf>
    <xf numFmtId="14" fontId="1" fillId="0" borderId="80" xfId="0" applyNumberFormat="1" applyFont="1" applyBorder="1" applyAlignment="1" applyProtection="1">
      <alignment horizontal="left" vertical="center" wrapText="1" indent="1"/>
      <protection locked="0"/>
    </xf>
    <xf numFmtId="164" fontId="29" fillId="0" borderId="80" xfId="0" applyNumberFormat="1" applyFont="1" applyBorder="1" applyAlignment="1" applyProtection="1">
      <alignment horizontal="left" vertical="center" wrapText="1" indent="1"/>
      <protection locked="0"/>
    </xf>
    <xf numFmtId="164" fontId="17" fillId="0" borderId="79" xfId="0" applyNumberFormat="1" applyFont="1" applyBorder="1" applyAlignment="1" applyProtection="1">
      <alignment horizontal="left" vertical="center" indent="1"/>
      <protection locked="0"/>
    </xf>
    <xf numFmtId="164" fontId="0" fillId="0" borderId="79" xfId="0" applyNumberFormat="1" applyBorder="1" applyAlignment="1" applyProtection="1">
      <alignment horizontal="left" vertical="center" indent="1"/>
      <protection locked="0"/>
    </xf>
    <xf numFmtId="0" fontId="0" fillId="0" borderId="81" xfId="0" applyBorder="1" applyAlignment="1" applyProtection="1">
      <alignment horizontal="center" vertical="center"/>
      <protection locked="0"/>
    </xf>
    <xf numFmtId="0" fontId="0" fillId="0" borderId="21" xfId="0" applyBorder="1"/>
    <xf numFmtId="0" fontId="2" fillId="0" borderId="47" xfId="0" applyFont="1" applyBorder="1" applyAlignment="1">
      <alignment horizontal="center" wrapText="1"/>
    </xf>
    <xf numFmtId="0" fontId="17" fillId="0" borderId="79" xfId="0" quotePrefix="1" applyFont="1" applyBorder="1" applyAlignment="1" applyProtection="1">
      <alignment horizontal="left" vertical="center" indent="1"/>
      <protection locked="0"/>
    </xf>
    <xf numFmtId="0" fontId="17" fillId="0" borderId="81" xfId="0" applyFont="1" applyBorder="1" applyAlignment="1" applyProtection="1">
      <alignment horizontal="center" vertical="center"/>
      <protection locked="0"/>
    </xf>
    <xf numFmtId="49" fontId="17" fillId="0" borderId="81" xfId="0" applyNumberFormat="1" applyFont="1" applyBorder="1" applyAlignment="1" applyProtection="1">
      <alignment horizontal="center" vertical="center"/>
      <protection locked="0"/>
    </xf>
    <xf numFmtId="164" fontId="0" fillId="0" borderId="81" xfId="0" applyNumberFormat="1" applyBorder="1" applyAlignment="1" applyProtection="1">
      <alignment horizontal="left" vertical="center" indent="1"/>
      <protection locked="0"/>
    </xf>
    <xf numFmtId="164" fontId="17" fillId="0" borderId="79" xfId="0" applyNumberFormat="1" applyFont="1" applyBorder="1" applyAlignment="1" applyProtection="1">
      <alignment horizontal="left" vertical="center" wrapText="1" indent="1"/>
      <protection locked="0"/>
    </xf>
    <xf numFmtId="0" fontId="3" fillId="0" borderId="75" xfId="0" applyFont="1" applyBorder="1" applyAlignment="1">
      <alignment vertical="top" wrapText="1"/>
    </xf>
    <xf numFmtId="14" fontId="17" fillId="0" borderId="72" xfId="0" applyNumberFormat="1" applyFont="1" applyBorder="1" applyAlignment="1" applyProtection="1">
      <alignment horizontal="left" vertical="top" wrapText="1"/>
      <protection locked="0"/>
    </xf>
    <xf numFmtId="14" fontId="0" fillId="0" borderId="71" xfId="0" applyNumberFormat="1" applyBorder="1" applyAlignment="1" applyProtection="1">
      <alignment horizontal="left" vertical="top" wrapText="1"/>
      <protection locked="0"/>
    </xf>
    <xf numFmtId="14" fontId="0" fillId="0" borderId="72" xfId="0" applyNumberFormat="1" applyBorder="1" applyAlignment="1" applyProtection="1">
      <alignment horizontal="left" vertical="top" wrapText="1"/>
      <protection locked="0"/>
    </xf>
    <xf numFmtId="14" fontId="17" fillId="0" borderId="71" xfId="0" applyNumberFormat="1" applyFont="1" applyBorder="1" applyAlignment="1" applyProtection="1">
      <alignment horizontal="left" vertical="top" wrapText="1"/>
      <protection locked="0"/>
    </xf>
    <xf numFmtId="0" fontId="17" fillId="0" borderId="79" xfId="0" applyFont="1" applyBorder="1" applyAlignment="1" applyProtection="1">
      <alignment horizontal="center" wrapText="1"/>
      <protection locked="0"/>
    </xf>
    <xf numFmtId="49" fontId="1" fillId="5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58" xfId="0" applyFont="1" applyBorder="1" applyAlignment="1">
      <alignment horizontal="left" vertical="center" indent="1"/>
    </xf>
    <xf numFmtId="0" fontId="1" fillId="0" borderId="61" xfId="0" applyFont="1" applyBorder="1" applyAlignment="1">
      <alignment horizontal="left" vertical="center" indent="1"/>
    </xf>
    <xf numFmtId="0" fontId="1" fillId="0" borderId="38" xfId="0" applyFont="1" applyBorder="1" applyAlignment="1">
      <alignment horizontal="left" vertical="center" indent="1"/>
    </xf>
    <xf numFmtId="14" fontId="1" fillId="0" borderId="57" xfId="0" applyNumberFormat="1" applyFont="1" applyBorder="1" applyAlignment="1" applyProtection="1">
      <alignment horizontal="left" vertical="center" indent="1"/>
      <protection locked="0"/>
    </xf>
    <xf numFmtId="14" fontId="1" fillId="0" borderId="39" xfId="0" applyNumberFormat="1" applyFont="1" applyBorder="1" applyAlignment="1" applyProtection="1">
      <alignment horizontal="left" vertical="center" indent="1"/>
      <protection locked="0"/>
    </xf>
    <xf numFmtId="0" fontId="1" fillId="0" borderId="57" xfId="0" applyFont="1" applyBorder="1" applyAlignment="1" applyProtection="1">
      <alignment horizontal="left" vertical="center" indent="1"/>
      <protection locked="0"/>
    </xf>
    <xf numFmtId="0" fontId="1" fillId="0" borderId="60" xfId="0" applyFont="1" applyBorder="1" applyAlignment="1" applyProtection="1">
      <alignment horizontal="left" vertical="center" indent="1"/>
      <protection locked="0"/>
    </xf>
    <xf numFmtId="0" fontId="1" fillId="0" borderId="39" xfId="0" applyFont="1" applyBorder="1" applyAlignment="1" applyProtection="1">
      <alignment horizontal="left" vertical="center" indent="1"/>
      <protection locked="0"/>
    </xf>
    <xf numFmtId="14" fontId="4" fillId="3" borderId="48" xfId="0" applyNumberFormat="1" applyFont="1" applyFill="1" applyBorder="1" applyAlignment="1" applyProtection="1">
      <alignment horizontal="center" vertical="center"/>
      <protection locked="0"/>
    </xf>
    <xf numFmtId="0" fontId="4" fillId="3" borderId="56" xfId="0" applyFont="1" applyFill="1" applyBorder="1" applyAlignment="1" applyProtection="1">
      <alignment horizontal="center" vertical="center"/>
      <protection locked="0"/>
    </xf>
    <xf numFmtId="0" fontId="4" fillId="3" borderId="22" xfId="0" applyFont="1" applyFill="1" applyBorder="1" applyAlignment="1" applyProtection="1">
      <alignment horizontal="center" vertical="center"/>
      <protection locked="0"/>
    </xf>
    <xf numFmtId="0" fontId="4" fillId="3" borderId="27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45" xfId="0" applyFont="1" applyBorder="1" applyAlignment="1">
      <alignment horizontal="center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0" fontId="1" fillId="0" borderId="46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2" fillId="0" borderId="45" xfId="0" applyFont="1" applyBorder="1" applyAlignment="1" applyProtection="1">
      <alignment horizontal="center"/>
      <protection locked="0"/>
    </xf>
    <xf numFmtId="0" fontId="2" fillId="0" borderId="58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4" fillId="3" borderId="51" xfId="0" applyFont="1" applyFill="1" applyBorder="1" applyAlignment="1" applyProtection="1">
      <alignment horizontal="center" vertical="center"/>
      <protection locked="0"/>
    </xf>
    <xf numFmtId="0" fontId="24" fillId="6" borderId="59" xfId="0" applyFont="1" applyFill="1" applyBorder="1" applyAlignment="1" applyProtection="1">
      <alignment horizontal="left" vertical="center" indent="2"/>
      <protection locked="0"/>
    </xf>
    <xf numFmtId="0" fontId="24" fillId="6" borderId="48" xfId="0" applyFont="1" applyFill="1" applyBorder="1" applyAlignment="1" applyProtection="1">
      <alignment horizontal="left" vertical="center" indent="2"/>
      <protection locked="0"/>
    </xf>
    <xf numFmtId="0" fontId="24" fillId="6" borderId="56" xfId="0" applyFont="1" applyFill="1" applyBorder="1" applyAlignment="1" applyProtection="1">
      <alignment horizontal="left" vertical="center" indent="2"/>
      <protection locked="0"/>
    </xf>
    <xf numFmtId="0" fontId="24" fillId="6" borderId="51" xfId="0" applyFont="1" applyFill="1" applyBorder="1" applyAlignment="1" applyProtection="1">
      <alignment horizontal="left" vertical="center" indent="2"/>
      <protection locked="0"/>
    </xf>
    <xf numFmtId="0" fontId="24" fillId="6" borderId="22" xfId="0" applyFont="1" applyFill="1" applyBorder="1" applyAlignment="1" applyProtection="1">
      <alignment horizontal="left" vertical="center" indent="2"/>
      <protection locked="0"/>
    </xf>
    <xf numFmtId="0" fontId="24" fillId="6" borderId="27" xfId="0" applyFont="1" applyFill="1" applyBorder="1" applyAlignment="1" applyProtection="1">
      <alignment horizontal="left" vertical="center" indent="2"/>
      <protection locked="0"/>
    </xf>
    <xf numFmtId="0" fontId="2" fillId="0" borderId="59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/>
    </xf>
    <xf numFmtId="14" fontId="1" fillId="0" borderId="60" xfId="0" applyNumberFormat="1" applyFont="1" applyBorder="1" applyAlignment="1" applyProtection="1">
      <alignment horizontal="left" vertical="center" indent="1"/>
      <protection locked="0"/>
    </xf>
    <xf numFmtId="0" fontId="4" fillId="5" borderId="44" xfId="0" applyFont="1" applyFill="1" applyBorder="1" applyAlignment="1">
      <alignment horizontal="center" vertical="center"/>
    </xf>
    <xf numFmtId="0" fontId="4" fillId="5" borderId="55" xfId="0" applyFont="1" applyFill="1" applyBorder="1" applyAlignment="1">
      <alignment horizontal="center" vertical="center"/>
    </xf>
    <xf numFmtId="0" fontId="4" fillId="5" borderId="59" xfId="0" applyFont="1" applyFill="1" applyBorder="1" applyAlignment="1">
      <alignment horizontal="center" vertical="center"/>
    </xf>
    <xf numFmtId="0" fontId="4" fillId="5" borderId="48" xfId="0" applyFont="1" applyFill="1" applyBorder="1" applyAlignment="1">
      <alignment horizontal="center" vertical="center"/>
    </xf>
    <xf numFmtId="0" fontId="4" fillId="5" borderId="5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48" xfId="0" applyFont="1" applyFill="1" applyBorder="1" applyAlignment="1">
      <alignment horizontal="left" vertical="center"/>
    </xf>
    <xf numFmtId="0" fontId="4" fillId="5" borderId="22" xfId="0" applyFont="1" applyFill="1" applyBorder="1" applyAlignment="1">
      <alignment horizontal="left" vertical="center"/>
    </xf>
    <xf numFmtId="49" fontId="1" fillId="2" borderId="62" xfId="0" applyNumberFormat="1" applyFont="1" applyFill="1" applyBorder="1" applyAlignment="1">
      <alignment horizontal="left" indent="1"/>
    </xf>
    <xf numFmtId="49" fontId="1" fillId="2" borderId="13" xfId="0" applyNumberFormat="1" applyFont="1" applyFill="1" applyBorder="1" applyAlignment="1">
      <alignment horizontal="left" indent="1"/>
    </xf>
    <xf numFmtId="0" fontId="1" fillId="0" borderId="6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1" fillId="0" borderId="62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4" fontId="1" fillId="3" borderId="51" xfId="0" applyNumberFormat="1" applyFont="1" applyFill="1" applyBorder="1" applyAlignment="1" applyProtection="1">
      <alignment horizontal="left" vertical="center" indent="1"/>
      <protection locked="0"/>
    </xf>
    <xf numFmtId="14" fontId="1" fillId="3" borderId="22" xfId="0" applyNumberFormat="1" applyFont="1" applyFill="1" applyBorder="1" applyAlignment="1" applyProtection="1">
      <alignment horizontal="left" vertical="center" indent="1"/>
      <protection locked="0"/>
    </xf>
    <xf numFmtId="14" fontId="1" fillId="3" borderId="27" xfId="0" applyNumberFormat="1" applyFont="1" applyFill="1" applyBorder="1" applyAlignment="1" applyProtection="1">
      <alignment horizontal="left" vertical="center" indent="1"/>
      <protection locked="0"/>
    </xf>
    <xf numFmtId="14" fontId="1" fillId="0" borderId="58" xfId="0" applyNumberFormat="1" applyFont="1" applyBorder="1" applyAlignment="1">
      <alignment horizontal="left" vertical="center" indent="1"/>
    </xf>
    <xf numFmtId="14" fontId="1" fillId="0" borderId="38" xfId="0" applyNumberFormat="1" applyFont="1" applyBorder="1" applyAlignment="1">
      <alignment horizontal="left" vertical="center" indent="1"/>
    </xf>
    <xf numFmtId="14" fontId="1" fillId="3" borderId="57" xfId="0" applyNumberFormat="1" applyFont="1" applyFill="1" applyBorder="1" applyAlignment="1" applyProtection="1">
      <alignment horizontal="left" vertical="center" indent="1"/>
      <protection locked="0"/>
    </xf>
    <xf numFmtId="14" fontId="1" fillId="3" borderId="39" xfId="0" applyNumberFormat="1" applyFont="1" applyFill="1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58" xfId="0" applyFont="1" applyBorder="1" applyAlignment="1">
      <alignment horizontal="left" vertical="center"/>
    </xf>
    <xf numFmtId="0" fontId="1" fillId="0" borderId="38" xfId="0" applyFont="1" applyBorder="1" applyAlignment="1">
      <alignment horizontal="left" vertical="center"/>
    </xf>
    <xf numFmtId="0" fontId="1" fillId="0" borderId="57" xfId="0" applyFont="1" applyBorder="1" applyAlignment="1" applyProtection="1">
      <alignment horizontal="left" vertical="center"/>
      <protection locked="0"/>
    </xf>
    <xf numFmtId="0" fontId="1" fillId="0" borderId="39" xfId="0" applyFont="1" applyBorder="1" applyAlignment="1" applyProtection="1">
      <alignment horizontal="left" vertical="center"/>
      <protection locked="0"/>
    </xf>
    <xf numFmtId="0" fontId="1" fillId="0" borderId="50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8" fillId="0" borderId="25" xfId="0" applyFont="1" applyBorder="1" applyAlignment="1">
      <alignment horizontal="left" vertical="top"/>
    </xf>
    <xf numFmtId="0" fontId="18" fillId="0" borderId="64" xfId="0" applyFont="1" applyBorder="1" applyAlignment="1">
      <alignment horizontal="left" vertical="top"/>
    </xf>
    <xf numFmtId="0" fontId="1" fillId="0" borderId="59" xfId="0" applyFont="1" applyBorder="1" applyAlignment="1" applyProtection="1">
      <alignment horizontal="center" vertical="center"/>
      <protection locked="0"/>
    </xf>
    <xf numFmtId="0" fontId="1" fillId="0" borderId="51" xfId="0" applyFont="1" applyBorder="1" applyAlignment="1" applyProtection="1">
      <alignment horizontal="center" vertical="center"/>
      <protection locked="0"/>
    </xf>
    <xf numFmtId="0" fontId="1" fillId="3" borderId="57" xfId="0" applyFont="1" applyFill="1" applyBorder="1" applyAlignment="1" applyProtection="1">
      <alignment horizontal="left" vertical="center" indent="1"/>
      <protection locked="0"/>
    </xf>
    <xf numFmtId="0" fontId="1" fillId="3" borderId="60" xfId="0" applyFont="1" applyFill="1" applyBorder="1" applyAlignment="1" applyProtection="1">
      <alignment horizontal="left" vertical="center" indent="1"/>
      <protection locked="0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7" xfId="0" applyFont="1" applyBorder="1" applyAlignment="1">
      <alignment horizontal="center" vertical="top"/>
    </xf>
    <xf numFmtId="0" fontId="1" fillId="0" borderId="52" xfId="0" applyFont="1" applyBorder="1" applyAlignment="1">
      <alignment horizontal="center" vertical="top"/>
    </xf>
    <xf numFmtId="0" fontId="1" fillId="0" borderId="5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3" borderId="57" xfId="0" applyFont="1" applyFill="1" applyBorder="1" applyAlignment="1" applyProtection="1">
      <alignment horizontal="left" vertical="center"/>
      <protection locked="0"/>
    </xf>
    <xf numFmtId="0" fontId="1" fillId="3" borderId="39" xfId="0" applyFont="1" applyFill="1" applyBorder="1" applyAlignment="1" applyProtection="1">
      <alignment horizontal="left" vertical="center"/>
      <protection locked="0"/>
    </xf>
    <xf numFmtId="0" fontId="2" fillId="0" borderId="59" xfId="0" applyFont="1" applyBorder="1" applyAlignment="1">
      <alignment horizontal="right" vertical="center" wrapText="1" indent="1"/>
    </xf>
    <xf numFmtId="0" fontId="2" fillId="0" borderId="48" xfId="0" applyFont="1" applyBorder="1" applyAlignment="1">
      <alignment horizontal="right" vertical="center" wrapText="1" indent="1"/>
    </xf>
    <xf numFmtId="0" fontId="2" fillId="0" borderId="56" xfId="0" applyFont="1" applyBorder="1" applyAlignment="1">
      <alignment horizontal="right" vertical="center" wrapText="1" indent="1"/>
    </xf>
    <xf numFmtId="0" fontId="2" fillId="0" borderId="51" xfId="0" applyFont="1" applyBorder="1" applyAlignment="1">
      <alignment horizontal="right" vertical="center" wrapText="1" indent="1"/>
    </xf>
    <xf numFmtId="0" fontId="2" fillId="0" borderId="22" xfId="0" applyFont="1" applyBorder="1" applyAlignment="1">
      <alignment horizontal="right" vertical="center" wrapText="1" indent="1"/>
    </xf>
    <xf numFmtId="0" fontId="2" fillId="0" borderId="27" xfId="0" applyFont="1" applyBorder="1" applyAlignment="1">
      <alignment horizontal="right" vertical="center" wrapText="1" indent="1"/>
    </xf>
    <xf numFmtId="49" fontId="1" fillId="2" borderId="67" xfId="0" applyNumberFormat="1" applyFont="1" applyFill="1" applyBorder="1" applyAlignment="1">
      <alignment horizontal="left" indent="1"/>
    </xf>
    <xf numFmtId="49" fontId="1" fillId="2" borderId="20" xfId="0" applyNumberFormat="1" applyFont="1" applyFill="1" applyBorder="1" applyAlignment="1">
      <alignment horizontal="left" indent="1"/>
    </xf>
    <xf numFmtId="0" fontId="1" fillId="0" borderId="65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2" xfId="0" applyFont="1" applyBorder="1" applyAlignment="1">
      <alignment horizontal="left" indent="1"/>
    </xf>
    <xf numFmtId="0" fontId="1" fillId="0" borderId="13" xfId="0" applyFont="1" applyBorder="1" applyAlignment="1">
      <alignment horizontal="left" indent="1"/>
    </xf>
    <xf numFmtId="0" fontId="2" fillId="0" borderId="2" xfId="0" applyFont="1" applyBorder="1" applyAlignment="1">
      <alignment horizontal="center" textRotation="90"/>
    </xf>
    <xf numFmtId="0" fontId="2" fillId="0" borderId="3" xfId="0" applyFont="1" applyBorder="1" applyAlignment="1">
      <alignment horizontal="center" textRotation="90"/>
    </xf>
    <xf numFmtId="0" fontId="9" fillId="0" borderId="62" xfId="0" applyFont="1" applyBorder="1" applyAlignment="1">
      <alignment horizontal="left" vertical="top"/>
    </xf>
    <xf numFmtId="0" fontId="9" fillId="0" borderId="68" xfId="0" applyFont="1" applyBorder="1" applyAlignment="1">
      <alignment horizontal="left" vertical="top"/>
    </xf>
    <xf numFmtId="0" fontId="9" fillId="0" borderId="13" xfId="0" applyFont="1" applyBorder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9" fillId="0" borderId="8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10" fillId="0" borderId="52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53" xfId="0" applyFont="1" applyBorder="1" applyAlignment="1">
      <alignment horizontal="left"/>
    </xf>
    <xf numFmtId="0" fontId="10" fillId="0" borderId="52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49" fontId="34" fillId="0" borderId="79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 3" xfId="1" xr:uid="{00000000-0005-0000-0000-000001000000}"/>
    <cellStyle name="Normal 7" xfId="2" xr:uid="{ADAF800C-B37C-4390-9D35-148A2872282D}"/>
  </cellStyles>
  <dxfs count="16">
    <dxf>
      <fill>
        <patternFill>
          <bgColor rgb="FFFFFF99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ont>
        <b/>
        <i val="0"/>
        <color auto="1"/>
        <name val="Cambria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9AF2B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57150</xdr:rowOff>
    </xdr:from>
    <xdr:to>
      <xdr:col>2</xdr:col>
      <xdr:colOff>542925</xdr:colOff>
      <xdr:row>3</xdr:row>
      <xdr:rowOff>114300</xdr:rowOff>
    </xdr:to>
    <xdr:pic>
      <xdr:nvPicPr>
        <xdr:cNvPr id="26945" name="Afbeelding 1" descr="logo">
          <a:extLst>
            <a:ext uri="{FF2B5EF4-FFF2-40B4-BE49-F238E27FC236}">
              <a16:creationId xmlns:a16="http://schemas.microsoft.com/office/drawing/2014/main" id="{00000000-0008-0000-0000-0000416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57150"/>
          <a:ext cx="36195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106680</xdr:colOff>
          <xdr:row>4</xdr:row>
          <xdr:rowOff>19050</xdr:rowOff>
        </xdr:from>
        <xdr:to>
          <xdr:col>19</xdr:col>
          <xdr:colOff>914400</xdr:colOff>
          <xdr:row>5</xdr:row>
          <xdr:rowOff>152400</xdr:rowOff>
        </xdr:to>
        <xdr:sp macro="" textlink="">
          <xdr:nvSpPr>
            <xdr:cNvPr id="26781" name="Button 157" descr="&lt;&lt;&lt; Search" hidden="1">
              <a:extLst>
                <a:ext uri="{63B3BB69-23CF-44E3-9099-C40C66FF867C}">
                  <a14:compatExt spid="_x0000_s26781"/>
                </a:ext>
                <a:ext uri="{FF2B5EF4-FFF2-40B4-BE49-F238E27FC236}">
                  <a16:creationId xmlns:a16="http://schemas.microsoft.com/office/drawing/2014/main" id="{00000000-0008-0000-0000-00009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&lt;&lt;&lt;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6</xdr:row>
          <xdr:rowOff>19050</xdr:rowOff>
        </xdr:from>
        <xdr:to>
          <xdr:col>18</xdr:col>
          <xdr:colOff>335280</xdr:colOff>
          <xdr:row>6</xdr:row>
          <xdr:rowOff>182880</xdr:rowOff>
        </xdr:to>
        <xdr:sp macro="" textlink="">
          <xdr:nvSpPr>
            <xdr:cNvPr id="26906" name="Button 282" hidden="1">
              <a:extLst>
                <a:ext uri="{63B3BB69-23CF-44E3-9099-C40C66FF867C}">
                  <a14:compatExt spid="_x0000_s26906"/>
                </a:ext>
                <a:ext uri="{FF2B5EF4-FFF2-40B4-BE49-F238E27FC236}">
                  <a16:creationId xmlns:a16="http://schemas.microsoft.com/office/drawing/2014/main" id="{00000000-0008-0000-0000-00001A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19050</xdr:rowOff>
        </xdr:from>
        <xdr:to>
          <xdr:col>18</xdr:col>
          <xdr:colOff>335280</xdr:colOff>
          <xdr:row>7</xdr:row>
          <xdr:rowOff>182880</xdr:rowOff>
        </xdr:to>
        <xdr:sp macro="" textlink="">
          <xdr:nvSpPr>
            <xdr:cNvPr id="26912" name="Button 288" hidden="1">
              <a:extLst>
                <a:ext uri="{63B3BB69-23CF-44E3-9099-C40C66FF867C}">
                  <a14:compatExt spid="_x0000_s26912"/>
                </a:ext>
                <a:ext uri="{FF2B5EF4-FFF2-40B4-BE49-F238E27FC236}">
                  <a16:creationId xmlns:a16="http://schemas.microsoft.com/office/drawing/2014/main" id="{00000000-0008-0000-0000-000020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19050</xdr:rowOff>
        </xdr:from>
        <xdr:to>
          <xdr:col>18</xdr:col>
          <xdr:colOff>335280</xdr:colOff>
          <xdr:row>8</xdr:row>
          <xdr:rowOff>182880</xdr:rowOff>
        </xdr:to>
        <xdr:sp macro="" textlink="">
          <xdr:nvSpPr>
            <xdr:cNvPr id="26913" name="Button 289" hidden="1">
              <a:extLst>
                <a:ext uri="{63B3BB69-23CF-44E3-9099-C40C66FF867C}">
                  <a14:compatExt spid="_x0000_s26913"/>
                </a:ext>
                <a:ext uri="{FF2B5EF4-FFF2-40B4-BE49-F238E27FC236}">
                  <a16:creationId xmlns:a16="http://schemas.microsoft.com/office/drawing/2014/main" id="{00000000-0008-0000-0000-000021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9</xdr:row>
          <xdr:rowOff>19050</xdr:rowOff>
        </xdr:from>
        <xdr:to>
          <xdr:col>18</xdr:col>
          <xdr:colOff>335280</xdr:colOff>
          <xdr:row>9</xdr:row>
          <xdr:rowOff>182880</xdr:rowOff>
        </xdr:to>
        <xdr:sp macro="" textlink="">
          <xdr:nvSpPr>
            <xdr:cNvPr id="26914" name="Button 290" hidden="1">
              <a:extLst>
                <a:ext uri="{63B3BB69-23CF-44E3-9099-C40C66FF867C}">
                  <a14:compatExt spid="_x0000_s26914"/>
                </a:ext>
                <a:ext uri="{FF2B5EF4-FFF2-40B4-BE49-F238E27FC236}">
                  <a16:creationId xmlns:a16="http://schemas.microsoft.com/office/drawing/2014/main" id="{00000000-0008-0000-0000-000022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106680</xdr:colOff>
          <xdr:row>6</xdr:row>
          <xdr:rowOff>68580</xdr:rowOff>
        </xdr:from>
        <xdr:to>
          <xdr:col>19</xdr:col>
          <xdr:colOff>914400</xdr:colOff>
          <xdr:row>9</xdr:row>
          <xdr:rowOff>163830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0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New entry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316230</xdr:colOff>
          <xdr:row>13</xdr:row>
          <xdr:rowOff>468630</xdr:rowOff>
        </xdr:from>
        <xdr:to>
          <xdr:col>19</xdr:col>
          <xdr:colOff>925830</xdr:colOff>
          <xdr:row>23</xdr:row>
          <xdr:rowOff>190500</xdr:rowOff>
        </xdr:to>
        <xdr:sp macro="" textlink="">
          <xdr:nvSpPr>
            <xdr:cNvPr id="26916" name="Button 292" hidden="1">
              <a:extLst>
                <a:ext uri="{63B3BB69-23CF-44E3-9099-C40C66FF867C}">
                  <a14:compatExt spid="_x0000_s26916"/>
                </a:ext>
                <a:ext uri="{FF2B5EF4-FFF2-40B4-BE49-F238E27FC236}">
                  <a16:creationId xmlns:a16="http://schemas.microsoft.com/office/drawing/2014/main" id="{00000000-0008-0000-0000-0000246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GB" sz="1200" b="1" i="1" u="sng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&lt;&lt; UPDATE</a:t>
              </a:r>
            </a:p>
            <a:p>
              <a:pPr algn="ctr" rtl="0">
                <a:defRPr sz="1000"/>
              </a:pPr>
              <a:endParaRPr lang="en-GB" sz="1200" b="1" i="1" u="sng" strike="noStrike" baseline="0">
                <a:solidFill>
                  <a:srgbClr val="800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GB" sz="1000" b="1" i="1" u="sng" strike="noStrike" baseline="0">
                <a:solidFill>
                  <a:srgbClr val="800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GB" sz="1000" b="1" i="1" u="sng" strike="noStrike" baseline="0">
                <a:solidFill>
                  <a:srgbClr val="80008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If &gt; 12 months not on the vessel a new familiarisation to be done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0</xdr:row>
      <xdr:rowOff>38100</xdr:rowOff>
    </xdr:from>
    <xdr:to>
      <xdr:col>9</xdr:col>
      <xdr:colOff>962025</xdr:colOff>
      <xdr:row>1</xdr:row>
      <xdr:rowOff>38100</xdr:rowOff>
    </xdr:to>
    <xdr:sp macro="" textlink="">
      <xdr:nvSpPr>
        <xdr:cNvPr id="5121" name="Text 1">
          <a:extLst>
            <a:ext uri="{FF2B5EF4-FFF2-40B4-BE49-F238E27FC236}">
              <a16:creationId xmlns:a16="http://schemas.microsoft.com/office/drawing/2014/main" id="{00000000-0008-0000-0100-000001140000}"/>
            </a:ext>
          </a:extLst>
        </xdr:cNvPr>
        <xdr:cNvSpPr txBox="1">
          <a:spLocks noChangeArrowheads="1"/>
        </xdr:cNvSpPr>
      </xdr:nvSpPr>
      <xdr:spPr bwMode="auto">
        <a:xfrm>
          <a:off x="1800225" y="38100"/>
          <a:ext cx="3124200" cy="2000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IMO CREW`S EFFECTS DECLARATION</a:t>
          </a:r>
        </a:p>
      </xdr:txBody>
    </xdr:sp>
    <xdr:clientData/>
  </xdr:twoCellAnchor>
  <xdr:twoCellAnchor>
    <xdr:from>
      <xdr:col>0</xdr:col>
      <xdr:colOff>161925</xdr:colOff>
      <xdr:row>9</xdr:row>
      <xdr:rowOff>171450</xdr:rowOff>
    </xdr:from>
    <xdr:to>
      <xdr:col>0</xdr:col>
      <xdr:colOff>457200</xdr:colOff>
      <xdr:row>28</xdr:row>
      <xdr:rowOff>123825</xdr:rowOff>
    </xdr:to>
    <xdr:sp macro="" textlink="">
      <xdr:nvSpPr>
        <xdr:cNvPr id="5122" name="Text 4">
          <a:extLst>
            <a:ext uri="{FF2B5EF4-FFF2-40B4-BE49-F238E27FC236}">
              <a16:creationId xmlns:a16="http://schemas.microsoft.com/office/drawing/2014/main" id="{00000000-0008-0000-0100-000002140000}"/>
            </a:ext>
          </a:extLst>
        </xdr:cNvPr>
        <xdr:cNvSpPr txBox="1">
          <a:spLocks noChangeArrowheads="1"/>
        </xdr:cNvSpPr>
      </xdr:nvSpPr>
      <xdr:spPr bwMode="auto">
        <a:xfrm>
          <a:off x="161925" y="1533525"/>
          <a:ext cx="295275" cy="306705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22860" rIns="0" bIns="2286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IMO Convention on Facilitation of International Maritime Traffic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10</xdr:col>
      <xdr:colOff>0</xdr:colOff>
      <xdr:row>4</xdr:row>
      <xdr:rowOff>66675</xdr:rowOff>
    </xdr:to>
    <xdr:sp macro="" textlink="">
      <xdr:nvSpPr>
        <xdr:cNvPr id="5123" name="Text 7">
          <a:extLs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 txBox="1">
          <a:spLocks noChangeArrowheads="1"/>
        </xdr:cNvSpPr>
      </xdr:nvSpPr>
      <xdr:spPr bwMode="auto">
        <a:xfrm>
          <a:off x="2486025" y="600075"/>
          <a:ext cx="2438400" cy="228600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6. Effects which are dutiable or subject</a:t>
          </a:r>
        </a:p>
        <a:p>
          <a:pPr algn="l" rtl="0">
            <a:defRPr sz="1000"/>
          </a:pPr>
          <a:r>
            <a:rPr lang="en-US" sz="600" b="1" i="0" u="none" strike="noStrike" baseline="0">
              <a:solidFill>
                <a:srgbClr val="000000"/>
              </a:solidFill>
              <a:latin typeface="Arial"/>
              <a:cs typeface="Arial"/>
            </a:rPr>
            <a:t>    to prohibitions or restrictions *</a:t>
          </a:r>
        </a:p>
      </xdr:txBody>
    </xdr:sp>
    <xdr:clientData/>
  </xdr:twoCellAnchor>
  <xdr:twoCellAnchor>
    <xdr:from>
      <xdr:col>5</xdr:col>
      <xdr:colOff>38100</xdr:colOff>
      <xdr:row>4</xdr:row>
      <xdr:rowOff>85725</xdr:rowOff>
    </xdr:from>
    <xdr:to>
      <xdr:col>6</xdr:col>
      <xdr:colOff>0</xdr:colOff>
      <xdr:row>8</xdr:row>
      <xdr:rowOff>190500</xdr:rowOff>
    </xdr:to>
    <xdr:sp macro="" textlink="">
      <xdr:nvSpPr>
        <xdr:cNvPr id="5124" name="Text 8">
          <a:extLst>
            <a:ext uri="{FF2B5EF4-FFF2-40B4-BE49-F238E27FC236}">
              <a16:creationId xmlns:a16="http://schemas.microsoft.com/office/drawing/2014/main" id="{00000000-0008-0000-0100-000004140000}"/>
            </a:ext>
          </a:extLst>
        </xdr:cNvPr>
        <xdr:cNvSpPr txBox="1">
          <a:spLocks noChangeArrowheads="1"/>
        </xdr:cNvSpPr>
      </xdr:nvSpPr>
      <xdr:spPr bwMode="auto">
        <a:xfrm>
          <a:off x="2524125" y="847725"/>
          <a:ext cx="361950" cy="504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Cigarettes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(PCS)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MAX 100</a:t>
          </a:r>
        </a:p>
        <a:p>
          <a:pPr algn="l" rtl="0">
            <a:defRPr sz="1000"/>
          </a:pPr>
          <a:endParaRPr lang="en-US" sz="6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19050</xdr:colOff>
      <xdr:row>4</xdr:row>
      <xdr:rowOff>76200</xdr:rowOff>
    </xdr:from>
    <xdr:to>
      <xdr:col>6</xdr:col>
      <xdr:colOff>416719</xdr:colOff>
      <xdr:row>8</xdr:row>
      <xdr:rowOff>190500</xdr:rowOff>
    </xdr:to>
    <xdr:sp macro="" textlink="">
      <xdr:nvSpPr>
        <xdr:cNvPr id="5125" name="Text 9">
          <a:extLst>
            <a:ext uri="{FF2B5EF4-FFF2-40B4-BE49-F238E27FC236}">
              <a16:creationId xmlns:a16="http://schemas.microsoft.com/office/drawing/2014/main" id="{00000000-0008-0000-0100-000005140000}"/>
            </a:ext>
          </a:extLst>
        </xdr:cNvPr>
        <xdr:cNvSpPr txBox="1">
          <a:spLocks noChangeArrowheads="1"/>
        </xdr:cNvSpPr>
      </xdr:nvSpPr>
      <xdr:spPr bwMode="auto">
        <a:xfrm>
          <a:off x="4638675" y="844153"/>
          <a:ext cx="397669" cy="9239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Cigars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(PCS)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MAX 25</a:t>
          </a:r>
        </a:p>
      </xdr:txBody>
    </xdr:sp>
    <xdr:clientData/>
  </xdr:twoCellAnchor>
  <xdr:twoCellAnchor>
    <xdr:from>
      <xdr:col>7</xdr:col>
      <xdr:colOff>28575</xdr:colOff>
      <xdr:row>4</xdr:row>
      <xdr:rowOff>142875</xdr:rowOff>
    </xdr:from>
    <xdr:to>
      <xdr:col>8</xdr:col>
      <xdr:colOff>0</xdr:colOff>
      <xdr:row>9</xdr:row>
      <xdr:rowOff>0</xdr:rowOff>
    </xdr:to>
    <xdr:sp macro="" textlink="">
      <xdr:nvSpPr>
        <xdr:cNvPr id="5126" name="Text 10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314700" y="904875"/>
          <a:ext cx="371475" cy="4572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Tobacco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 (gr.)</a:t>
          </a:r>
        </a:p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MAX 250</a:t>
          </a:r>
        </a:p>
        <a:p>
          <a:pPr algn="l" rtl="0">
            <a:defRPr sz="1000"/>
          </a:pPr>
          <a:endParaRPr lang="en-US" sz="6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130969</xdr:colOff>
      <xdr:row>4</xdr:row>
      <xdr:rowOff>142875</xdr:rowOff>
    </xdr:from>
    <xdr:to>
      <xdr:col>8</xdr:col>
      <xdr:colOff>369095</xdr:colOff>
      <xdr:row>8</xdr:row>
      <xdr:rowOff>202406</xdr:rowOff>
    </xdr:to>
    <xdr:sp macro="" textlink="">
      <xdr:nvSpPr>
        <xdr:cNvPr id="11" name="Tex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5643563" y="910828"/>
          <a:ext cx="238126" cy="869156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vert="vert270" wrap="square" lIns="27432" tIns="0" rIns="0" bIns="18288" anchor="t" upright="1"/>
        <a:lstStyle/>
        <a:p>
          <a:pPr algn="l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Spirits</a:t>
          </a:r>
          <a:endParaRPr lang="en-US" sz="6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95250</xdr:colOff>
          <xdr:row>0</xdr:row>
          <xdr:rowOff>57150</xdr:rowOff>
        </xdr:from>
        <xdr:to>
          <xdr:col>28</xdr:col>
          <xdr:colOff>102870</xdr:colOff>
          <xdr:row>0</xdr:row>
          <xdr:rowOff>426720</xdr:rowOff>
        </xdr:to>
        <xdr:sp macro="" textlink="">
          <xdr:nvSpPr>
            <xdr:cNvPr id="31788" name="Button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00000000-0008-0000-0200-00002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↑↓ Sort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95250</xdr:colOff>
          <xdr:row>0</xdr:row>
          <xdr:rowOff>495300</xdr:rowOff>
        </xdr:from>
        <xdr:to>
          <xdr:col>28</xdr:col>
          <xdr:colOff>95250</xdr:colOff>
          <xdr:row>0</xdr:row>
          <xdr:rowOff>864870</xdr:rowOff>
        </xdr:to>
        <xdr:sp macro="" textlink="">
          <xdr:nvSpPr>
            <xdr:cNvPr id="31790" name="Button 46" hidden="1">
              <a:extLst>
                <a:ext uri="{63B3BB69-23CF-44E3-9099-C40C66FF867C}">
                  <a14:compatExt spid="_x0000_s31790"/>
                </a:ext>
                <a:ext uri="{FF2B5EF4-FFF2-40B4-BE49-F238E27FC236}">
                  <a16:creationId xmlns:a16="http://schemas.microsoft.com/office/drawing/2014/main" id="{00000000-0008-0000-0200-00002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 Go to Crewlist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AV68"/>
  <sheetViews>
    <sheetView showGridLines="0" showRowColHeaders="0" zoomScale="85" zoomScaleNormal="85" zoomScaleSheetLayoutView="100" workbookViewId="0">
      <selection activeCell="M12" sqref="M12:N12"/>
    </sheetView>
  </sheetViews>
  <sheetFormatPr defaultRowHeight="12.3"/>
  <cols>
    <col min="2" max="2" width="6.1640625" style="2" customWidth="1"/>
    <col min="3" max="3" width="19" customWidth="1"/>
    <col min="4" max="4" width="19.83203125" customWidth="1"/>
    <col min="5" max="5" width="14" customWidth="1"/>
    <col min="6" max="6" width="8.71875" customWidth="1"/>
    <col min="7" max="7" width="12.71875" customWidth="1"/>
    <col min="8" max="8" width="18.27734375" customWidth="1"/>
    <col min="9" max="9" width="5.1640625" customWidth="1"/>
    <col min="10" max="10" width="6.71875" customWidth="1"/>
    <col min="11" max="11" width="8.71875" customWidth="1"/>
    <col min="12" max="12" width="14.44140625" customWidth="1"/>
    <col min="13" max="13" width="8.71875" customWidth="1"/>
    <col min="14" max="14" width="12.71875" customWidth="1"/>
    <col min="15" max="15" width="5" customWidth="1"/>
    <col min="16" max="16" width="10.27734375" customWidth="1"/>
    <col min="17" max="18" width="13.44140625" customWidth="1"/>
    <col min="19" max="19" width="5.27734375" customWidth="1"/>
    <col min="20" max="20" width="13.83203125" customWidth="1"/>
    <col min="21" max="21" width="7.71875" hidden="1" customWidth="1"/>
    <col min="22" max="22" width="8.1640625" hidden="1" customWidth="1"/>
    <col min="23" max="23" width="9.1640625" hidden="1" customWidth="1"/>
    <col min="24" max="24" width="4.71875" hidden="1" customWidth="1"/>
    <col min="25" max="25" width="11.1640625" style="58" hidden="1" customWidth="1"/>
    <col min="26" max="33" width="15.71875" hidden="1" customWidth="1"/>
    <col min="34" max="35" width="9.1640625" hidden="1" customWidth="1"/>
    <col min="36" max="36" width="9.44140625" style="58" hidden="1" customWidth="1"/>
    <col min="37" max="41" width="16.44140625" hidden="1" customWidth="1"/>
    <col min="42" max="42" width="14.44140625" hidden="1" customWidth="1"/>
    <col min="43" max="43" width="7.83203125" hidden="1" customWidth="1"/>
    <col min="44" max="44" width="9.1640625" hidden="1" customWidth="1"/>
    <col min="45" max="45" width="10.1640625" hidden="1" customWidth="1"/>
    <col min="46" max="46" width="10.1640625" style="161" hidden="1" customWidth="1"/>
    <col min="47" max="47" width="12.44140625" style="161" hidden="1" customWidth="1"/>
    <col min="48" max="48" width="10.1640625" style="161" hidden="1" customWidth="1"/>
  </cols>
  <sheetData>
    <row r="1" spans="2:48" ht="15" customHeight="1">
      <c r="B1" s="273"/>
      <c r="C1" s="274"/>
      <c r="D1" s="291" t="s">
        <v>85</v>
      </c>
      <c r="E1" s="292"/>
      <c r="F1" s="292"/>
      <c r="G1" s="292"/>
      <c r="H1" s="292"/>
      <c r="I1" s="292"/>
      <c r="J1" s="292"/>
      <c r="K1" s="292"/>
      <c r="L1" s="293"/>
      <c r="M1" s="4" t="s">
        <v>24</v>
      </c>
      <c r="N1" s="5" t="s">
        <v>28</v>
      </c>
      <c r="O1" s="63"/>
      <c r="P1" s="63"/>
      <c r="W1" s="58">
        <f ca="1">TODAY()</f>
        <v>44935</v>
      </c>
    </row>
    <row r="2" spans="2:48" ht="15" customHeight="1">
      <c r="B2" s="275"/>
      <c r="C2" s="276"/>
      <c r="D2" s="294"/>
      <c r="E2" s="219"/>
      <c r="F2" s="219"/>
      <c r="G2" s="219"/>
      <c r="H2" s="219"/>
      <c r="I2" s="219"/>
      <c r="J2" s="219"/>
      <c r="K2" s="219"/>
      <c r="L2" s="295"/>
      <c r="M2" s="6" t="s">
        <v>25</v>
      </c>
      <c r="N2" s="7" t="s">
        <v>29</v>
      </c>
      <c r="O2" s="63"/>
      <c r="P2" s="63"/>
      <c r="W2" s="137" t="s">
        <v>90</v>
      </c>
    </row>
    <row r="3" spans="2:48" ht="15" customHeight="1">
      <c r="B3" s="275"/>
      <c r="C3" s="276"/>
      <c r="D3" s="296" t="s">
        <v>86</v>
      </c>
      <c r="E3" s="297"/>
      <c r="F3" s="297"/>
      <c r="G3" s="297"/>
      <c r="H3" s="297"/>
      <c r="I3" s="297"/>
      <c r="J3" s="297"/>
      <c r="K3" s="297"/>
      <c r="L3" s="298"/>
      <c r="M3" s="6" t="s">
        <v>26</v>
      </c>
      <c r="N3" s="7">
        <v>1</v>
      </c>
      <c r="O3" s="63"/>
      <c r="P3" s="63"/>
    </row>
    <row r="4" spans="2:48" ht="15" customHeight="1" thickBot="1">
      <c r="B4" s="277"/>
      <c r="C4" s="278"/>
      <c r="D4" s="299"/>
      <c r="E4" s="300"/>
      <c r="F4" s="300"/>
      <c r="G4" s="300"/>
      <c r="H4" s="300"/>
      <c r="I4" s="300"/>
      <c r="J4" s="300"/>
      <c r="K4" s="300"/>
      <c r="L4" s="301"/>
      <c r="M4" s="8" t="s">
        <v>27</v>
      </c>
      <c r="N4" s="78">
        <v>43234</v>
      </c>
      <c r="O4" s="64"/>
      <c r="P4" s="64"/>
    </row>
    <row r="5" spans="2:48" ht="15" customHeight="1" thickTop="1" thickBot="1">
      <c r="B5" s="109"/>
      <c r="C5" s="2"/>
      <c r="D5" s="3"/>
      <c r="E5" s="3"/>
      <c r="F5" s="3"/>
      <c r="G5" s="3"/>
      <c r="H5" s="3"/>
      <c r="I5" s="3"/>
      <c r="P5" s="243"/>
      <c r="Q5" s="244"/>
      <c r="R5" s="244"/>
      <c r="S5" s="245"/>
      <c r="T5" s="217"/>
    </row>
    <row r="6" spans="2:48" ht="15" customHeight="1" thickTop="1" thickBot="1">
      <c r="B6" s="110"/>
      <c r="C6" s="60"/>
      <c r="D6" s="60"/>
      <c r="I6" s="232"/>
      <c r="J6" s="232"/>
      <c r="K6" s="232"/>
      <c r="L6" s="232"/>
      <c r="M6" s="233"/>
      <c r="N6" s="119" t="s">
        <v>30</v>
      </c>
      <c r="O6" s="68"/>
      <c r="P6" s="246"/>
      <c r="Q6" s="247"/>
      <c r="R6" s="247"/>
      <c r="S6" s="248"/>
      <c r="T6" s="217"/>
    </row>
    <row r="7" spans="2:48" ht="15" customHeight="1" thickTop="1" thickBot="1">
      <c r="B7" s="116"/>
      <c r="C7" s="116"/>
      <c r="D7" s="118"/>
      <c r="I7" s="218"/>
      <c r="J7" s="218"/>
      <c r="K7" s="218"/>
      <c r="L7" s="238"/>
      <c r="M7" s="239"/>
      <c r="N7" s="120" t="s">
        <v>29</v>
      </c>
      <c r="O7" s="68"/>
      <c r="P7" s="136">
        <f>IFERROR(VLOOKUP(AR7,Database!$R$2:'Database'!$U$1497,3,FALSE),"")</f>
        <v>1</v>
      </c>
      <c r="Q7" s="236" t="str">
        <f>IFERROR(VLOOKUP(AR7,Database!$R$2:'Database'!$V$1497,5,FALSE),"")</f>
        <v>Gadhavi Fergus Leandro</v>
      </c>
      <c r="R7" s="237"/>
      <c r="S7" s="149"/>
      <c r="T7" s="219"/>
      <c r="AR7" s="137">
        <v>1</v>
      </c>
      <c r="AT7" s="163"/>
    </row>
    <row r="8" spans="2:48" ht="15" customHeight="1" thickTop="1" thickBot="1">
      <c r="C8" s="117"/>
      <c r="O8" s="134"/>
      <c r="P8" s="135">
        <f>IFERROR(VLOOKUP(AR8,Database!$R$2:'Database'!$V$1497,3,FALSE),"")</f>
        <v>2</v>
      </c>
      <c r="Q8" s="236" t="str">
        <f>IFERROR(VLOOKUP(AR8,Database!$R$2:'Database'!$V$1497,5,FALSE),"")</f>
        <v>Félix Sara Aybek</v>
      </c>
      <c r="R8" s="237"/>
      <c r="S8" s="148"/>
      <c r="T8" s="219"/>
      <c r="AR8" s="137">
        <v>2</v>
      </c>
    </row>
    <row r="9" spans="2:48" ht="15" customHeight="1" thickTop="1" thickBot="1">
      <c r="B9" s="283"/>
      <c r="C9" s="279" t="s">
        <v>52</v>
      </c>
      <c r="D9" s="280"/>
      <c r="E9" s="220" t="s">
        <v>53</v>
      </c>
      <c r="F9" s="221"/>
      <c r="G9" s="222"/>
      <c r="H9" s="220" t="s">
        <v>54</v>
      </c>
      <c r="I9" s="222"/>
      <c r="J9" s="220" t="s">
        <v>55</v>
      </c>
      <c r="K9" s="221"/>
      <c r="L9" s="222"/>
      <c r="M9" s="240" t="s">
        <v>23</v>
      </c>
      <c r="N9" s="241"/>
      <c r="O9" s="61"/>
      <c r="P9" s="135">
        <f>IFERROR(VLOOKUP(AR9,Database!$R$2:'Database'!$V$1497,3,FALSE),"")</f>
        <v>3</v>
      </c>
      <c r="Q9" s="236" t="str">
        <f>IFERROR(VLOOKUP(AR9,Database!$R$2:'Database'!$V$1497,5,FALSE),"")</f>
        <v>Garza Daumantas Sawney</v>
      </c>
      <c r="R9" s="237"/>
      <c r="S9" s="149"/>
      <c r="T9" s="219"/>
      <c r="AR9" s="137">
        <v>3</v>
      </c>
    </row>
    <row r="10" spans="2:48" ht="15" customHeight="1" thickTop="1" thickBot="1">
      <c r="B10" s="284"/>
      <c r="C10" s="281" t="s">
        <v>41</v>
      </c>
      <c r="D10" s="282"/>
      <c r="E10" s="225">
        <v>9545663</v>
      </c>
      <c r="F10" s="226"/>
      <c r="G10" s="227"/>
      <c r="H10" s="223" t="s">
        <v>57</v>
      </c>
      <c r="I10" s="224"/>
      <c r="J10" s="223" t="s">
        <v>58</v>
      </c>
      <c r="K10" s="251"/>
      <c r="L10" s="224"/>
      <c r="M10" s="242"/>
      <c r="N10" s="231"/>
      <c r="O10" s="67"/>
      <c r="P10" s="135">
        <f>IFERROR(VLOOKUP(AR10,Database!$R$2:'Database'!$V$1497,3,FALSE),"")</f>
        <v>4</v>
      </c>
      <c r="Q10" s="236" t="str">
        <f>IFERROR(VLOOKUP(AR10,Database!$R$2:'Database'!$V$1497,5,FALSE),"")</f>
        <v>Thass Shri Danai</v>
      </c>
      <c r="R10" s="237"/>
      <c r="S10" s="148"/>
      <c r="T10" s="219"/>
      <c r="AR10" s="137">
        <v>4</v>
      </c>
    </row>
    <row r="11" spans="2:48" ht="15" customHeight="1" thickTop="1">
      <c r="B11" s="287"/>
      <c r="C11" s="279" t="s">
        <v>19</v>
      </c>
      <c r="D11" s="280"/>
      <c r="E11" s="220" t="s">
        <v>20</v>
      </c>
      <c r="F11" s="221"/>
      <c r="G11" s="222"/>
      <c r="H11" s="269" t="s">
        <v>76</v>
      </c>
      <c r="I11" s="270"/>
      <c r="J11" s="220" t="s">
        <v>56</v>
      </c>
      <c r="K11" s="221"/>
      <c r="L11" s="221"/>
      <c r="M11" s="249" t="s">
        <v>11</v>
      </c>
      <c r="N11" s="250"/>
      <c r="O11" s="60"/>
      <c r="P11" s="60"/>
    </row>
    <row r="12" spans="2:48" ht="15" customHeight="1" thickBot="1">
      <c r="B12" s="288"/>
      <c r="C12" s="302"/>
      <c r="D12" s="303"/>
      <c r="E12" s="266"/>
      <c r="F12" s="267"/>
      <c r="G12" s="268"/>
      <c r="H12" s="271"/>
      <c r="I12" s="272"/>
      <c r="J12" s="289"/>
      <c r="K12" s="290"/>
      <c r="L12" s="290"/>
      <c r="M12" s="234"/>
      <c r="N12" s="235"/>
      <c r="O12" s="62"/>
      <c r="P12" s="87"/>
    </row>
    <row r="13" spans="2:48" ht="15" customHeight="1" thickTop="1" thickBot="1">
      <c r="B13" s="83"/>
      <c r="C13" s="69"/>
      <c r="D13" s="69"/>
      <c r="E13" s="84"/>
      <c r="F13" s="84"/>
      <c r="G13" s="70"/>
      <c r="H13" s="70"/>
      <c r="I13" s="70"/>
      <c r="J13" s="69"/>
      <c r="K13" s="69"/>
      <c r="L13" s="69"/>
      <c r="M13" s="85"/>
      <c r="N13" s="86"/>
      <c r="O13" s="87"/>
      <c r="P13" s="87"/>
    </row>
    <row r="14" spans="2:48" ht="37.5" customHeight="1" thickTop="1" thickBot="1">
      <c r="B14" s="88" t="s">
        <v>59</v>
      </c>
      <c r="C14" s="138" t="s">
        <v>81</v>
      </c>
      <c r="D14" s="139" t="s">
        <v>82</v>
      </c>
      <c r="E14" s="89" t="s">
        <v>21</v>
      </c>
      <c r="F14" s="89" t="s">
        <v>22</v>
      </c>
      <c r="G14" s="79" t="s">
        <v>60</v>
      </c>
      <c r="H14" s="285" t="s">
        <v>61</v>
      </c>
      <c r="I14" s="286"/>
      <c r="J14" s="141" t="s">
        <v>62</v>
      </c>
      <c r="K14" s="79" t="s">
        <v>63</v>
      </c>
      <c r="L14" s="79" t="s">
        <v>64</v>
      </c>
      <c r="M14" s="80" t="s">
        <v>65</v>
      </c>
      <c r="N14" s="90" t="s">
        <v>66</v>
      </c>
      <c r="O14" s="65"/>
      <c r="P14" s="65"/>
      <c r="R14" s="204" t="s">
        <v>92</v>
      </c>
      <c r="S14" s="203"/>
      <c r="W14" s="1"/>
      <c r="X14" s="1"/>
      <c r="Y14" s="59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59"/>
      <c r="AK14" s="1"/>
      <c r="AL14" s="1"/>
      <c r="AM14" s="1"/>
      <c r="AN14" s="1"/>
      <c r="AO14" s="1"/>
      <c r="AP14" s="1"/>
    </row>
    <row r="15" spans="2:48" ht="20.100000000000001" customHeight="1" thickTop="1">
      <c r="B15" s="92">
        <f t="shared" ref="B15:B54" si="0">IF(P15=0," ",AQ15)</f>
        <v>1</v>
      </c>
      <c r="C15" s="55" t="str">
        <f t="shared" ref="C15:H16" si="1">AF15</f>
        <v>Gadhavi</v>
      </c>
      <c r="D15" s="54" t="str">
        <f t="shared" si="1"/>
        <v>Fergus Leandro</v>
      </c>
      <c r="E15" s="55" t="str">
        <f t="shared" si="1"/>
        <v>Captain</v>
      </c>
      <c r="F15" s="133" t="str">
        <f t="shared" si="1"/>
        <v>BRB</v>
      </c>
      <c r="G15" s="123">
        <f t="shared" si="1"/>
        <v>28684</v>
      </c>
      <c r="H15" s="310" t="str">
        <f t="shared" si="1"/>
        <v>Moscow</v>
      </c>
      <c r="I15" s="311"/>
      <c r="J15" s="127" t="str">
        <f>AL15</f>
        <v>F</v>
      </c>
      <c r="K15" s="128" t="str">
        <f>AM15</f>
        <v>PP</v>
      </c>
      <c r="L15" s="128" t="str">
        <f>AN15</f>
        <v>WKLm2Z6V2T</v>
      </c>
      <c r="M15" s="129" t="str">
        <f>AO15</f>
        <v>BRB</v>
      </c>
      <c r="N15" s="125">
        <f>AP15</f>
        <v>45043</v>
      </c>
      <c r="O15" s="66"/>
      <c r="P15" s="121">
        <v>1</v>
      </c>
      <c r="Q15" s="142">
        <v>1</v>
      </c>
      <c r="R15" s="165">
        <f>AV15</f>
        <v>0</v>
      </c>
      <c r="U15" t="str">
        <f>VLOOKUP(P15,Database!B:M,2,FALSE)</f>
        <v>Gadhavi</v>
      </c>
      <c r="V15" t="str">
        <f>VLOOKUP(P15,Database!B:M,3,FALSE)</f>
        <v>Fergus Leandro</v>
      </c>
      <c r="W15" t="str">
        <f>VLOOKUP(P15,Database!B:M,4,FALSE)</f>
        <v>Captain</v>
      </c>
      <c r="X15" t="str">
        <f>VLOOKUP(P15,Database!B:M,5,FALSE)</f>
        <v>BRB</v>
      </c>
      <c r="Y15">
        <f>VLOOKUP(P15,Database!B:M,6,FALSE)</f>
        <v>28684</v>
      </c>
      <c r="Z15" t="str">
        <f>VLOOKUP(P15,Database!B:M,7,FALSE)</f>
        <v>Moscow</v>
      </c>
      <c r="AA15" t="str">
        <f>VLOOKUP(P15,Database!B:M,8,FALSE)</f>
        <v>F</v>
      </c>
      <c r="AB15" t="str">
        <f>VLOOKUP(P15,Database!B:M,9,FALSE)</f>
        <v>PP</v>
      </c>
      <c r="AC15" t="str">
        <f>VLOOKUP(P15,Database!B:M,10,FALSE)</f>
        <v>WKLm2Z6V2T</v>
      </c>
      <c r="AD15" t="str">
        <f>VLOOKUP(P15,Database!B:M,11,FALSE)</f>
        <v>BRB</v>
      </c>
      <c r="AE15" s="58">
        <f>VLOOKUP(P15,Database!B:M,12,FALSE)</f>
        <v>45043</v>
      </c>
      <c r="AF15" t="str">
        <f t="shared" ref="AF15:AF54" si="2">IF(P15=0," ",U15)</f>
        <v>Gadhavi</v>
      </c>
      <c r="AG15" t="str">
        <f t="shared" ref="AG15:AG54" si="3">IF(P15=0," ",V15)</f>
        <v>Fergus Leandro</v>
      </c>
      <c r="AH15" t="str">
        <f t="shared" ref="AH15:AH54" si="4">IF(P15=0," ",W15)</f>
        <v>Captain</v>
      </c>
      <c r="AI15" t="str">
        <f t="shared" ref="AI15:AI54" si="5">IF(P15=0," ",X15)</f>
        <v>BRB</v>
      </c>
      <c r="AJ15">
        <f t="shared" ref="AJ15:AJ54" si="6">IF(P15=0," ",Y15)</f>
        <v>28684</v>
      </c>
      <c r="AK15" t="str">
        <f t="shared" ref="AK15:AK54" si="7">IF(P15=0," ",Z15)</f>
        <v>Moscow</v>
      </c>
      <c r="AL15" t="str">
        <f t="shared" ref="AL15:AL54" si="8">IF(P15=0," ",AA15)</f>
        <v>F</v>
      </c>
      <c r="AM15" t="str">
        <f t="shared" ref="AM15:AM54" si="9">IF(P15=0," ",AB15)</f>
        <v>PP</v>
      </c>
      <c r="AN15" t="str">
        <f t="shared" ref="AN15:AN54" si="10">IF(P15=0," ",AC15)</f>
        <v>WKLm2Z6V2T</v>
      </c>
      <c r="AO15" t="str">
        <f t="shared" ref="AO15:AO54" si="11">IF(P15=0," ",AD15)</f>
        <v>BRB</v>
      </c>
      <c r="AP15" s="58">
        <f t="shared" ref="AP15:AP54" si="12">IF(P15=0," ",AE15)</f>
        <v>45043</v>
      </c>
      <c r="AQ15">
        <v>1</v>
      </c>
      <c r="AS15">
        <f>VLOOKUP(P15,Database!B:M,1,FALSE)</f>
        <v>1</v>
      </c>
      <c r="AT15" s="161">
        <f>VLOOKUP(P15,Database!B:Z,13,FALSE)</f>
        <v>0</v>
      </c>
      <c r="AU15" s="161">
        <f ca="1">TODAY()</f>
        <v>44935</v>
      </c>
      <c r="AV15" s="161">
        <f>IF(P15=0,"",AT15)</f>
        <v>0</v>
      </c>
    </row>
    <row r="16" spans="2:48" ht="20.100000000000001" customHeight="1">
      <c r="B16" s="11">
        <f t="shared" si="0"/>
        <v>2</v>
      </c>
      <c r="C16" s="54" t="str">
        <f t="shared" si="1"/>
        <v>Félix</v>
      </c>
      <c r="D16" s="9" t="str">
        <f t="shared" si="1"/>
        <v>Sara Aybek</v>
      </c>
      <c r="E16" s="54" t="str">
        <f t="shared" si="1"/>
        <v>C/O SDPO</v>
      </c>
      <c r="F16" s="57" t="str">
        <f t="shared" si="1"/>
        <v>BRB</v>
      </c>
      <c r="G16" s="124">
        <f t="shared" si="1"/>
        <v>20804</v>
      </c>
      <c r="H16" s="260" t="str">
        <f t="shared" si="1"/>
        <v>Tianjin</v>
      </c>
      <c r="I16" s="261"/>
      <c r="J16" s="130" t="str">
        <f>AL16</f>
        <v>M</v>
      </c>
      <c r="K16" s="131" t="str">
        <f>AM16</f>
        <v>PP</v>
      </c>
      <c r="L16" s="131" t="str">
        <f t="shared" ref="L16:L58" si="13">AN16</f>
        <v>X4S4FNyvFE</v>
      </c>
      <c r="M16" s="129" t="str">
        <f>AO16</f>
        <v>BRB</v>
      </c>
      <c r="N16" s="126">
        <f>AP16</f>
        <v>46066</v>
      </c>
      <c r="O16" s="66"/>
      <c r="P16" s="122">
        <v>2</v>
      </c>
      <c r="Q16" s="142">
        <v>2</v>
      </c>
      <c r="R16" s="167">
        <f t="shared" ref="R16:R58" si="14">AV16</f>
        <v>0</v>
      </c>
      <c r="U16" t="str">
        <f>VLOOKUP(P16,Database!B:M,2,FALSE)</f>
        <v>Félix</v>
      </c>
      <c r="V16" t="str">
        <f>VLOOKUP(P16,Database!B:M,3,FALSE)</f>
        <v>Sara Aybek</v>
      </c>
      <c r="W16" t="str">
        <f>VLOOKUP(P16,Database!B:M,4,FALSE)</f>
        <v>C/O SDPO</v>
      </c>
      <c r="X16" t="str">
        <f>VLOOKUP(P16,Database!B:M,5,FALSE)</f>
        <v>BRB</v>
      </c>
      <c r="Y16">
        <f>VLOOKUP(P16,Database!B:M,6,FALSE)</f>
        <v>20804</v>
      </c>
      <c r="Z16" t="str">
        <f>VLOOKUP(P16,Database!B:M,7,FALSE)</f>
        <v>Tianjin</v>
      </c>
      <c r="AA16" t="str">
        <f>VLOOKUP(P16,Database!B:M,8,FALSE)</f>
        <v>M</v>
      </c>
      <c r="AB16" t="str">
        <f>VLOOKUP(P16,Database!B:M,9,FALSE)</f>
        <v>PP</v>
      </c>
      <c r="AC16" t="str">
        <f>VLOOKUP(P16,Database!B:M,10,FALSE)</f>
        <v>X4S4FNyvFE</v>
      </c>
      <c r="AD16" t="str">
        <f>VLOOKUP(P16,Database!B:M,11,FALSE)</f>
        <v>BRB</v>
      </c>
      <c r="AE16" s="58">
        <f>VLOOKUP(P16,Database!B:M,12,FALSE)</f>
        <v>46066</v>
      </c>
      <c r="AF16" t="str">
        <f t="shared" si="2"/>
        <v>Félix</v>
      </c>
      <c r="AG16" t="str">
        <f t="shared" si="3"/>
        <v>Sara Aybek</v>
      </c>
      <c r="AH16" t="str">
        <f t="shared" si="4"/>
        <v>C/O SDPO</v>
      </c>
      <c r="AI16" t="str">
        <f t="shared" si="5"/>
        <v>BRB</v>
      </c>
      <c r="AJ16">
        <f t="shared" si="6"/>
        <v>20804</v>
      </c>
      <c r="AK16" t="str">
        <f t="shared" si="7"/>
        <v>Tianjin</v>
      </c>
      <c r="AL16" t="str">
        <f t="shared" si="8"/>
        <v>M</v>
      </c>
      <c r="AM16" t="str">
        <f t="shared" si="9"/>
        <v>PP</v>
      </c>
      <c r="AN16" t="str">
        <f t="shared" si="10"/>
        <v>X4S4FNyvFE</v>
      </c>
      <c r="AO16" t="str">
        <f t="shared" si="11"/>
        <v>BRB</v>
      </c>
      <c r="AP16" s="58">
        <f t="shared" si="12"/>
        <v>46066</v>
      </c>
      <c r="AQ16">
        <v>2</v>
      </c>
      <c r="AS16">
        <f>VLOOKUP(P16,Database!B:M,1,FALSE)</f>
        <v>2</v>
      </c>
      <c r="AT16" s="161">
        <f>VLOOKUP(P16,Database!B:Z,13,FALSE)</f>
        <v>0</v>
      </c>
      <c r="AU16" s="161">
        <f t="shared" ref="AU16:AU58" ca="1" si="15">TODAY()</f>
        <v>44935</v>
      </c>
      <c r="AV16" s="161">
        <f t="shared" ref="AV16:AV54" si="16">IF(P16=0,"",AT16)</f>
        <v>0</v>
      </c>
    </row>
    <row r="17" spans="2:48" ht="20.100000000000001" customHeight="1">
      <c r="B17" s="11">
        <f t="shared" si="0"/>
        <v>3</v>
      </c>
      <c r="C17" s="54" t="str">
        <f t="shared" ref="C17:C58" si="17">AF17</f>
        <v>Garza</v>
      </c>
      <c r="D17" s="9" t="str">
        <f t="shared" ref="D17:D58" si="18">AG17</f>
        <v>Daumantas Sawney</v>
      </c>
      <c r="E17" s="54" t="str">
        <f t="shared" ref="E17:H20" si="19">AH17</f>
        <v>2/O SDPO</v>
      </c>
      <c r="F17" s="57" t="str">
        <f t="shared" si="19"/>
        <v>ITA</v>
      </c>
      <c r="G17" s="124">
        <f t="shared" si="19"/>
        <v>32477</v>
      </c>
      <c r="H17" s="260" t="str">
        <f t="shared" si="19"/>
        <v>London</v>
      </c>
      <c r="I17" s="261"/>
      <c r="J17" s="132" t="str">
        <f>AL17</f>
        <v>M</v>
      </c>
      <c r="K17" s="131" t="str">
        <f t="shared" ref="K17:K58" si="20">AM17</f>
        <v>PP</v>
      </c>
      <c r="L17" s="131" t="str">
        <f t="shared" si="13"/>
        <v>sUPnZvnwYL</v>
      </c>
      <c r="M17" s="129" t="str">
        <f t="shared" ref="M17:M58" si="21">AO17</f>
        <v>ITA</v>
      </c>
      <c r="N17" s="126">
        <f t="shared" ref="N17:N58" si="22">AP17</f>
        <v>45481</v>
      </c>
      <c r="O17" s="66"/>
      <c r="P17" s="122">
        <v>3</v>
      </c>
      <c r="Q17" s="142">
        <v>3</v>
      </c>
      <c r="R17" s="167">
        <f t="shared" si="14"/>
        <v>0</v>
      </c>
      <c r="U17" t="str">
        <f>VLOOKUP(P17,Database!B:M,2,FALSE)</f>
        <v>Garza</v>
      </c>
      <c r="V17" t="str">
        <f>VLOOKUP(P17,Database!B:M,3,FALSE)</f>
        <v>Daumantas Sawney</v>
      </c>
      <c r="W17" t="str">
        <f>VLOOKUP(P17,Database!B:M,4,FALSE)</f>
        <v>2/O SDPO</v>
      </c>
      <c r="X17" t="str">
        <f>VLOOKUP(P17,Database!B:M,5,FALSE)</f>
        <v>ITA</v>
      </c>
      <c r="Y17">
        <f>VLOOKUP(P17,Database!B:M,6,FALSE)</f>
        <v>32477</v>
      </c>
      <c r="Z17" t="str">
        <f>VLOOKUP(P17,Database!B:M,7,FALSE)</f>
        <v>London</v>
      </c>
      <c r="AA17" t="str">
        <f>VLOOKUP(P17,Database!B:M,8,FALSE)</f>
        <v>M</v>
      </c>
      <c r="AB17" t="str">
        <f>VLOOKUP(P17,Database!B:M,9,FALSE)</f>
        <v>PP</v>
      </c>
      <c r="AC17" t="str">
        <f>VLOOKUP(P17,Database!B:M,10,FALSE)</f>
        <v>sUPnZvnwYL</v>
      </c>
      <c r="AD17" t="str">
        <f>VLOOKUP(P17,Database!B:M,11,FALSE)</f>
        <v>ITA</v>
      </c>
      <c r="AE17" s="58">
        <f>VLOOKUP(P17,Database!B:M,12,FALSE)</f>
        <v>45481</v>
      </c>
      <c r="AF17" t="str">
        <f t="shared" si="2"/>
        <v>Garza</v>
      </c>
      <c r="AG17" t="str">
        <f t="shared" si="3"/>
        <v>Daumantas Sawney</v>
      </c>
      <c r="AH17" t="str">
        <f t="shared" si="4"/>
        <v>2/O SDPO</v>
      </c>
      <c r="AI17" t="str">
        <f t="shared" si="5"/>
        <v>ITA</v>
      </c>
      <c r="AJ17">
        <f t="shared" si="6"/>
        <v>32477</v>
      </c>
      <c r="AK17" t="str">
        <f t="shared" si="7"/>
        <v>London</v>
      </c>
      <c r="AL17" t="str">
        <f t="shared" si="8"/>
        <v>M</v>
      </c>
      <c r="AM17" t="str">
        <f t="shared" si="9"/>
        <v>PP</v>
      </c>
      <c r="AN17" t="str">
        <f t="shared" si="10"/>
        <v>sUPnZvnwYL</v>
      </c>
      <c r="AO17" t="str">
        <f t="shared" si="11"/>
        <v>ITA</v>
      </c>
      <c r="AP17" s="58">
        <f t="shared" si="12"/>
        <v>45481</v>
      </c>
      <c r="AQ17">
        <v>3</v>
      </c>
      <c r="AS17">
        <f>VLOOKUP(P17,Database!B:M,1,FALSE)</f>
        <v>3</v>
      </c>
      <c r="AT17" s="161">
        <f>VLOOKUP(P17,Database!B:Z,13,FALSE)</f>
        <v>0</v>
      </c>
      <c r="AU17" s="161">
        <f t="shared" ca="1" si="15"/>
        <v>44935</v>
      </c>
      <c r="AV17" s="161">
        <f t="shared" si="16"/>
        <v>0</v>
      </c>
    </row>
    <row r="18" spans="2:48" ht="20.100000000000001" customHeight="1">
      <c r="B18" s="11">
        <f t="shared" si="0"/>
        <v>4</v>
      </c>
      <c r="C18" s="54" t="str">
        <f t="shared" si="17"/>
        <v>Thass</v>
      </c>
      <c r="D18" s="9" t="str">
        <f t="shared" si="18"/>
        <v>Shri Danai</v>
      </c>
      <c r="E18" s="54" t="str">
        <f t="shared" si="19"/>
        <v>2/O DPO</v>
      </c>
      <c r="F18" s="57" t="str">
        <f t="shared" si="19"/>
        <v>ALB</v>
      </c>
      <c r="G18" s="124">
        <f t="shared" si="19"/>
        <v>20675</v>
      </c>
      <c r="H18" s="260" t="str">
        <f t="shared" si="19"/>
        <v>Ningbo</v>
      </c>
      <c r="I18" s="261"/>
      <c r="J18" s="130" t="str">
        <f t="shared" ref="J18:J58" si="23">AL18</f>
        <v>F</v>
      </c>
      <c r="K18" s="131" t="str">
        <f t="shared" si="20"/>
        <v>PP</v>
      </c>
      <c r="L18" s="131" t="str">
        <f t="shared" si="13"/>
        <v>D7Rmdc9veY</v>
      </c>
      <c r="M18" s="129" t="str">
        <f t="shared" si="21"/>
        <v>ALB</v>
      </c>
      <c r="N18" s="126">
        <f t="shared" si="22"/>
        <v>48310</v>
      </c>
      <c r="O18" s="66"/>
      <c r="P18" s="122">
        <v>4</v>
      </c>
      <c r="Q18" s="142">
        <v>4</v>
      </c>
      <c r="R18" s="167">
        <f t="shared" si="14"/>
        <v>0</v>
      </c>
      <c r="U18" t="str">
        <f>VLOOKUP(P18,Database!B:M,2,FALSE)</f>
        <v>Thass</v>
      </c>
      <c r="V18" t="str">
        <f>VLOOKUP(P18,Database!B:M,3,FALSE)</f>
        <v>Shri Danai</v>
      </c>
      <c r="W18" t="str">
        <f>VLOOKUP(P18,Database!B:M,4,FALSE)</f>
        <v>2/O DPO</v>
      </c>
      <c r="X18" t="str">
        <f>VLOOKUP(P18,Database!B:M,5,FALSE)</f>
        <v>ALB</v>
      </c>
      <c r="Y18">
        <f>VLOOKUP(P18,Database!B:M,6,FALSE)</f>
        <v>20675</v>
      </c>
      <c r="Z18" t="str">
        <f>VLOOKUP(P18,Database!B:M,7,FALSE)</f>
        <v>Ningbo</v>
      </c>
      <c r="AA18" t="str">
        <f>VLOOKUP(P18,Database!B:M,8,FALSE)</f>
        <v>F</v>
      </c>
      <c r="AB18" t="str">
        <f>VLOOKUP(P18,Database!B:M,9,FALSE)</f>
        <v>PP</v>
      </c>
      <c r="AC18" t="str">
        <f>VLOOKUP(P18,Database!B:M,10,FALSE)</f>
        <v>D7Rmdc9veY</v>
      </c>
      <c r="AD18" t="str">
        <f>VLOOKUP(P18,Database!B:M,11,FALSE)</f>
        <v>ALB</v>
      </c>
      <c r="AE18" s="58">
        <f>VLOOKUP(P18,Database!B:M,12,FALSE)</f>
        <v>48310</v>
      </c>
      <c r="AF18" t="str">
        <f t="shared" si="2"/>
        <v>Thass</v>
      </c>
      <c r="AG18" t="str">
        <f t="shared" si="3"/>
        <v>Shri Danai</v>
      </c>
      <c r="AH18" t="str">
        <f t="shared" si="4"/>
        <v>2/O DPO</v>
      </c>
      <c r="AI18" t="str">
        <f t="shared" si="5"/>
        <v>ALB</v>
      </c>
      <c r="AJ18">
        <f t="shared" si="6"/>
        <v>20675</v>
      </c>
      <c r="AK18" t="str">
        <f t="shared" si="7"/>
        <v>Ningbo</v>
      </c>
      <c r="AL18" t="str">
        <f t="shared" si="8"/>
        <v>F</v>
      </c>
      <c r="AM18" t="str">
        <f t="shared" si="9"/>
        <v>PP</v>
      </c>
      <c r="AN18" t="str">
        <f t="shared" si="10"/>
        <v>D7Rmdc9veY</v>
      </c>
      <c r="AO18" t="str">
        <f t="shared" si="11"/>
        <v>ALB</v>
      </c>
      <c r="AP18" s="58">
        <f t="shared" si="12"/>
        <v>48310</v>
      </c>
      <c r="AQ18">
        <v>4</v>
      </c>
      <c r="AS18">
        <f>VLOOKUP(P18,Database!B:M,1,FALSE)</f>
        <v>4</v>
      </c>
      <c r="AT18" s="161">
        <f>VLOOKUP(P18,Database!B:Z,13,FALSE)</f>
        <v>0</v>
      </c>
      <c r="AU18" s="161">
        <f t="shared" ca="1" si="15"/>
        <v>44935</v>
      </c>
      <c r="AV18" s="161">
        <f t="shared" si="16"/>
        <v>0</v>
      </c>
    </row>
    <row r="19" spans="2:48" ht="20.100000000000001" customHeight="1">
      <c r="B19" s="11">
        <f t="shared" si="0"/>
        <v>5</v>
      </c>
      <c r="C19" s="54" t="str">
        <f t="shared" si="17"/>
        <v>Brannon</v>
      </c>
      <c r="D19" s="9" t="str">
        <f t="shared" si="18"/>
        <v>Mikołaj Tatanka</v>
      </c>
      <c r="E19" s="54" t="str">
        <f t="shared" si="19"/>
        <v>2/O DPO</v>
      </c>
      <c r="F19" s="57" t="str">
        <f t="shared" si="19"/>
        <v>GNQ</v>
      </c>
      <c r="G19" s="124">
        <f t="shared" si="19"/>
        <v>26472</v>
      </c>
      <c r="H19" s="260" t="str">
        <f t="shared" si="19"/>
        <v>Calgary</v>
      </c>
      <c r="I19" s="261"/>
      <c r="J19" s="132" t="str">
        <f t="shared" si="23"/>
        <v>M</v>
      </c>
      <c r="K19" s="131" t="str">
        <f t="shared" si="20"/>
        <v>PP</v>
      </c>
      <c r="L19" s="131" t="str">
        <f t="shared" si="13"/>
        <v>hPeK4WvPCX</v>
      </c>
      <c r="M19" s="129" t="str">
        <f t="shared" si="21"/>
        <v>GNQ</v>
      </c>
      <c r="N19" s="126">
        <f t="shared" si="22"/>
        <v>45750</v>
      </c>
      <c r="O19" s="66"/>
      <c r="P19" s="122">
        <v>5</v>
      </c>
      <c r="Q19" s="142">
        <v>5</v>
      </c>
      <c r="R19" s="167">
        <f t="shared" si="14"/>
        <v>0</v>
      </c>
      <c r="U19" t="str">
        <f>VLOOKUP(P19,Database!B:M,2,FALSE)</f>
        <v>Brannon</v>
      </c>
      <c r="V19" t="str">
        <f>VLOOKUP(P19,Database!B:M,3,FALSE)</f>
        <v>Mikołaj Tatanka</v>
      </c>
      <c r="W19" t="str">
        <f>VLOOKUP(P19,Database!B:M,4,FALSE)</f>
        <v>2/O DPO</v>
      </c>
      <c r="X19" t="str">
        <f>VLOOKUP(P19,Database!B:M,5,FALSE)</f>
        <v>GNQ</v>
      </c>
      <c r="Y19">
        <f>VLOOKUP(P19,Database!B:M,6,FALSE)</f>
        <v>26472</v>
      </c>
      <c r="Z19" t="str">
        <f>VLOOKUP(P19,Database!B:M,7,FALSE)</f>
        <v>Calgary</v>
      </c>
      <c r="AA19" t="str">
        <f>VLOOKUP(P19,Database!B:M,8,FALSE)</f>
        <v>M</v>
      </c>
      <c r="AB19" t="str">
        <f>VLOOKUP(P19,Database!B:M,9,FALSE)</f>
        <v>PP</v>
      </c>
      <c r="AC19" t="str">
        <f>VLOOKUP(P19,Database!B:M,10,FALSE)</f>
        <v>hPeK4WvPCX</v>
      </c>
      <c r="AD19" t="str">
        <f>VLOOKUP(P19,Database!B:M,11,FALSE)</f>
        <v>GNQ</v>
      </c>
      <c r="AE19" s="58">
        <f>VLOOKUP(P19,Database!B:M,12,FALSE)</f>
        <v>45750</v>
      </c>
      <c r="AF19" t="str">
        <f t="shared" si="2"/>
        <v>Brannon</v>
      </c>
      <c r="AG19" t="str">
        <f t="shared" si="3"/>
        <v>Mikołaj Tatanka</v>
      </c>
      <c r="AH19" t="str">
        <f t="shared" si="4"/>
        <v>2/O DPO</v>
      </c>
      <c r="AI19" t="str">
        <f t="shared" si="5"/>
        <v>GNQ</v>
      </c>
      <c r="AJ19">
        <f t="shared" si="6"/>
        <v>26472</v>
      </c>
      <c r="AK19" t="str">
        <f t="shared" si="7"/>
        <v>Calgary</v>
      </c>
      <c r="AL19" t="str">
        <f t="shared" si="8"/>
        <v>M</v>
      </c>
      <c r="AM19" t="str">
        <f t="shared" si="9"/>
        <v>PP</v>
      </c>
      <c r="AN19" t="str">
        <f t="shared" si="10"/>
        <v>hPeK4WvPCX</v>
      </c>
      <c r="AO19" t="str">
        <f t="shared" si="11"/>
        <v>GNQ</v>
      </c>
      <c r="AP19" s="58">
        <f t="shared" si="12"/>
        <v>45750</v>
      </c>
      <c r="AQ19">
        <v>5</v>
      </c>
      <c r="AS19">
        <f>VLOOKUP(P19,Database!B:M,1,FALSE)</f>
        <v>5</v>
      </c>
      <c r="AT19" s="161">
        <f>VLOOKUP(P19,Database!B:Z,13,FALSE)</f>
        <v>0</v>
      </c>
      <c r="AU19" s="161">
        <f t="shared" ca="1" si="15"/>
        <v>44935</v>
      </c>
      <c r="AV19" s="161">
        <f t="shared" si="16"/>
        <v>0</v>
      </c>
    </row>
    <row r="20" spans="2:48" ht="20.100000000000001" customHeight="1">
      <c r="B20" s="11">
        <f t="shared" si="0"/>
        <v>6</v>
      </c>
      <c r="C20" s="54" t="str">
        <f t="shared" si="17"/>
        <v>Rake</v>
      </c>
      <c r="D20" s="9" t="str">
        <f t="shared" si="18"/>
        <v>Batuhan Khodadad</v>
      </c>
      <c r="E20" s="54" t="str">
        <f t="shared" si="19"/>
        <v>C/E</v>
      </c>
      <c r="F20" s="57" t="str">
        <f t="shared" si="19"/>
        <v>PRT</v>
      </c>
      <c r="G20" s="124">
        <f t="shared" si="19"/>
        <v>34640</v>
      </c>
      <c r="H20" s="260" t="str">
        <f t="shared" si="19"/>
        <v>Riyadh</v>
      </c>
      <c r="I20" s="261"/>
      <c r="J20" s="130" t="str">
        <f t="shared" si="23"/>
        <v>F</v>
      </c>
      <c r="K20" s="131" t="str">
        <f t="shared" si="20"/>
        <v>PP</v>
      </c>
      <c r="L20" s="131" t="str">
        <f t="shared" si="13"/>
        <v>ZNhrhsG6qh</v>
      </c>
      <c r="M20" s="129" t="str">
        <f t="shared" si="21"/>
        <v>PRT</v>
      </c>
      <c r="N20" s="126">
        <f t="shared" si="22"/>
        <v>45651</v>
      </c>
      <c r="O20" s="66"/>
      <c r="P20" s="122">
        <v>6</v>
      </c>
      <c r="Q20" s="142">
        <v>6</v>
      </c>
      <c r="R20" s="167">
        <f t="shared" si="14"/>
        <v>0</v>
      </c>
      <c r="U20" t="str">
        <f>VLOOKUP(P20,Database!B:M,2,FALSE)</f>
        <v>Rake</v>
      </c>
      <c r="V20" t="str">
        <f>VLOOKUP(P20,Database!B:M,3,FALSE)</f>
        <v>Batuhan Khodadad</v>
      </c>
      <c r="W20" t="str">
        <f>VLOOKUP(P20,Database!B:M,4,FALSE)</f>
        <v>C/E</v>
      </c>
      <c r="X20" t="str">
        <f>VLOOKUP(P20,Database!B:M,5,FALSE)</f>
        <v>PRT</v>
      </c>
      <c r="Y20">
        <f>VLOOKUP(P20,Database!B:M,6,FALSE)</f>
        <v>34640</v>
      </c>
      <c r="Z20" t="str">
        <f>VLOOKUP(P20,Database!B:M,7,FALSE)</f>
        <v>Riyadh</v>
      </c>
      <c r="AA20" t="str">
        <f>VLOOKUP(P20,Database!B:M,8,FALSE)</f>
        <v>F</v>
      </c>
      <c r="AB20" t="str">
        <f>VLOOKUP(P20,Database!B:M,9,FALSE)</f>
        <v>PP</v>
      </c>
      <c r="AC20" t="str">
        <f>VLOOKUP(P20,Database!B:M,10,FALSE)</f>
        <v>ZNhrhsG6qh</v>
      </c>
      <c r="AD20" t="str">
        <f>VLOOKUP(P20,Database!B:M,11,FALSE)</f>
        <v>PRT</v>
      </c>
      <c r="AE20" s="58">
        <f>VLOOKUP(P20,Database!B:M,12,FALSE)</f>
        <v>45651</v>
      </c>
      <c r="AF20" t="str">
        <f t="shared" si="2"/>
        <v>Rake</v>
      </c>
      <c r="AG20" t="str">
        <f t="shared" si="3"/>
        <v>Batuhan Khodadad</v>
      </c>
      <c r="AH20" t="str">
        <f t="shared" si="4"/>
        <v>C/E</v>
      </c>
      <c r="AI20" t="str">
        <f t="shared" si="5"/>
        <v>PRT</v>
      </c>
      <c r="AJ20">
        <f t="shared" si="6"/>
        <v>34640</v>
      </c>
      <c r="AK20" t="str">
        <f t="shared" si="7"/>
        <v>Riyadh</v>
      </c>
      <c r="AL20" t="str">
        <f t="shared" si="8"/>
        <v>F</v>
      </c>
      <c r="AM20" t="str">
        <f t="shared" si="9"/>
        <v>PP</v>
      </c>
      <c r="AN20" t="str">
        <f t="shared" si="10"/>
        <v>ZNhrhsG6qh</v>
      </c>
      <c r="AO20" t="str">
        <f t="shared" si="11"/>
        <v>PRT</v>
      </c>
      <c r="AP20" s="58">
        <f t="shared" si="12"/>
        <v>45651</v>
      </c>
      <c r="AQ20">
        <v>6</v>
      </c>
      <c r="AS20">
        <f>VLOOKUP(P20,Database!B:M,1,FALSE)</f>
        <v>6</v>
      </c>
      <c r="AT20" s="161">
        <f>VLOOKUP(P20,Database!B:Z,13,FALSE)</f>
        <v>0</v>
      </c>
      <c r="AU20" s="161">
        <f t="shared" ca="1" si="15"/>
        <v>44935</v>
      </c>
      <c r="AV20" s="161">
        <f t="shared" si="16"/>
        <v>0</v>
      </c>
    </row>
    <row r="21" spans="2:48" ht="20.100000000000001" customHeight="1">
      <c r="B21" s="11">
        <f t="shared" si="0"/>
        <v>7</v>
      </c>
      <c r="C21" s="54" t="str">
        <f t="shared" si="17"/>
        <v>Morozov</v>
      </c>
      <c r="D21" s="9" t="str">
        <f t="shared" si="18"/>
        <v>Murray Valya</v>
      </c>
      <c r="E21" s="54" t="str">
        <f t="shared" ref="E21:E27" si="24">AH21</f>
        <v>2/E</v>
      </c>
      <c r="F21" s="57" t="str">
        <f t="shared" ref="F21:G58" si="25">AI21</f>
        <v>CIV</v>
      </c>
      <c r="G21" s="124">
        <f t="shared" ref="G21:G30" si="26">AJ21</f>
        <v>37930</v>
      </c>
      <c r="H21" s="260" t="str">
        <f t="shared" ref="H21:H58" si="27">AK21</f>
        <v>Quezon City</v>
      </c>
      <c r="I21" s="261"/>
      <c r="J21" s="132" t="str">
        <f t="shared" si="23"/>
        <v>M</v>
      </c>
      <c r="K21" s="131" t="str">
        <f t="shared" si="20"/>
        <v>PP</v>
      </c>
      <c r="L21" s="131" t="str">
        <f t="shared" si="13"/>
        <v>TAFrgvZvu3</v>
      </c>
      <c r="M21" s="129" t="str">
        <f t="shared" si="21"/>
        <v>CIV</v>
      </c>
      <c r="N21" s="126">
        <f t="shared" si="22"/>
        <v>46282</v>
      </c>
      <c r="O21" s="66"/>
      <c r="P21" s="122">
        <v>7</v>
      </c>
      <c r="Q21" s="142">
        <v>7</v>
      </c>
      <c r="R21" s="167">
        <f t="shared" si="14"/>
        <v>0</v>
      </c>
      <c r="U21" t="str">
        <f>VLOOKUP(P21,Database!B:M,2,FALSE)</f>
        <v>Morozov</v>
      </c>
      <c r="V21" t="str">
        <f>VLOOKUP(P21,Database!B:M,3,FALSE)</f>
        <v>Murray Valya</v>
      </c>
      <c r="W21" t="str">
        <f>VLOOKUP(P21,Database!B:M,4,FALSE)</f>
        <v>2/E</v>
      </c>
      <c r="X21" t="str">
        <f>VLOOKUP(P21,Database!B:M,5,FALSE)</f>
        <v>CIV</v>
      </c>
      <c r="Y21">
        <f>VLOOKUP(P21,Database!B:M,6,FALSE)</f>
        <v>37930</v>
      </c>
      <c r="Z21" t="str">
        <f>VLOOKUP(P21,Database!B:M,7,FALSE)</f>
        <v>Quezon City</v>
      </c>
      <c r="AA21" t="str">
        <f>VLOOKUP(P21,Database!B:M,8,FALSE)</f>
        <v>M</v>
      </c>
      <c r="AB21" t="str">
        <f>VLOOKUP(P21,Database!B:M,9,FALSE)</f>
        <v>PP</v>
      </c>
      <c r="AC21" t="str">
        <f>VLOOKUP(P21,Database!B:M,10,FALSE)</f>
        <v>TAFrgvZvu3</v>
      </c>
      <c r="AD21" t="str">
        <f>VLOOKUP(P21,Database!B:M,11,FALSE)</f>
        <v>CIV</v>
      </c>
      <c r="AE21" s="58">
        <f>VLOOKUP(P21,Database!B:M,12,FALSE)</f>
        <v>46282</v>
      </c>
      <c r="AF21" t="str">
        <f t="shared" si="2"/>
        <v>Morozov</v>
      </c>
      <c r="AG21" t="str">
        <f t="shared" si="3"/>
        <v>Murray Valya</v>
      </c>
      <c r="AH21" t="str">
        <f t="shared" si="4"/>
        <v>2/E</v>
      </c>
      <c r="AI21" t="str">
        <f t="shared" si="5"/>
        <v>CIV</v>
      </c>
      <c r="AJ21">
        <f t="shared" si="6"/>
        <v>37930</v>
      </c>
      <c r="AK21" t="str">
        <f t="shared" si="7"/>
        <v>Quezon City</v>
      </c>
      <c r="AL21" t="str">
        <f t="shared" si="8"/>
        <v>M</v>
      </c>
      <c r="AM21" t="str">
        <f t="shared" si="9"/>
        <v>PP</v>
      </c>
      <c r="AN21" t="str">
        <f t="shared" si="10"/>
        <v>TAFrgvZvu3</v>
      </c>
      <c r="AO21" t="str">
        <f t="shared" si="11"/>
        <v>CIV</v>
      </c>
      <c r="AP21" s="58">
        <f t="shared" si="12"/>
        <v>46282</v>
      </c>
      <c r="AQ21">
        <v>7</v>
      </c>
      <c r="AS21">
        <f>VLOOKUP(P21,Database!B:M,1,FALSE)</f>
        <v>7</v>
      </c>
      <c r="AT21" s="161">
        <f>VLOOKUP(P21,Database!B:Z,13,FALSE)</f>
        <v>0</v>
      </c>
      <c r="AU21" s="161">
        <f t="shared" ca="1" si="15"/>
        <v>44935</v>
      </c>
      <c r="AV21" s="161">
        <f t="shared" si="16"/>
        <v>0</v>
      </c>
    </row>
    <row r="22" spans="2:48" ht="20.100000000000001" customHeight="1">
      <c r="B22" s="11">
        <f t="shared" si="0"/>
        <v>8</v>
      </c>
      <c r="C22" s="54" t="str">
        <f t="shared" si="17"/>
        <v>van Wieren</v>
      </c>
      <c r="D22" s="9" t="str">
        <f t="shared" si="18"/>
        <v>Jessenia Caterina</v>
      </c>
      <c r="E22" s="54" t="str">
        <f t="shared" si="24"/>
        <v>3rd Eng</v>
      </c>
      <c r="F22" s="57" t="str">
        <f t="shared" si="25"/>
        <v>TCA</v>
      </c>
      <c r="G22" s="124">
        <f t="shared" si="26"/>
        <v>25205</v>
      </c>
      <c r="H22" s="260" t="str">
        <f t="shared" si="27"/>
        <v>Chaozhou</v>
      </c>
      <c r="I22" s="261"/>
      <c r="J22" s="130" t="str">
        <f t="shared" si="23"/>
        <v>F</v>
      </c>
      <c r="K22" s="131" t="str">
        <f t="shared" si="20"/>
        <v>PP</v>
      </c>
      <c r="L22" s="131" t="str">
        <f t="shared" si="13"/>
        <v>dkcP5PWAMR</v>
      </c>
      <c r="M22" s="129" t="str">
        <f t="shared" si="21"/>
        <v>TCA</v>
      </c>
      <c r="N22" s="126">
        <f t="shared" si="22"/>
        <v>45929</v>
      </c>
      <c r="O22" s="66"/>
      <c r="P22" s="122">
        <v>8</v>
      </c>
      <c r="Q22" s="142">
        <v>8</v>
      </c>
      <c r="R22" s="167">
        <f t="shared" si="14"/>
        <v>0</v>
      </c>
      <c r="U22" t="str">
        <f>VLOOKUP(P22,Database!B:M,2,FALSE)</f>
        <v>van Wieren</v>
      </c>
      <c r="V22" t="str">
        <f>VLOOKUP(P22,Database!B:M,3,FALSE)</f>
        <v>Jessenia Caterina</v>
      </c>
      <c r="W22" t="str">
        <f>VLOOKUP(P22,Database!B:M,4,FALSE)</f>
        <v>3rd Eng</v>
      </c>
      <c r="X22" t="str">
        <f>VLOOKUP(P22,Database!B:M,5,FALSE)</f>
        <v>TCA</v>
      </c>
      <c r="Y22">
        <f>VLOOKUP(P22,Database!B:M,6,FALSE)</f>
        <v>25205</v>
      </c>
      <c r="Z22" t="str">
        <f>VLOOKUP(P22,Database!B:M,7,FALSE)</f>
        <v>Chaozhou</v>
      </c>
      <c r="AA22" t="str">
        <f>VLOOKUP(P22,Database!B:M,8,FALSE)</f>
        <v>F</v>
      </c>
      <c r="AB22" t="str">
        <f>VLOOKUP(P22,Database!B:M,9,FALSE)</f>
        <v>PP</v>
      </c>
      <c r="AC22" t="str">
        <f>VLOOKUP(P22,Database!B:M,10,FALSE)</f>
        <v>dkcP5PWAMR</v>
      </c>
      <c r="AD22" t="str">
        <f>VLOOKUP(P22,Database!B:M,11,FALSE)</f>
        <v>TCA</v>
      </c>
      <c r="AE22" s="58">
        <f>VLOOKUP(P22,Database!B:M,12,FALSE)</f>
        <v>45929</v>
      </c>
      <c r="AF22" t="str">
        <f t="shared" si="2"/>
        <v>van Wieren</v>
      </c>
      <c r="AG22" t="str">
        <f t="shared" si="3"/>
        <v>Jessenia Caterina</v>
      </c>
      <c r="AH22" t="str">
        <f t="shared" si="4"/>
        <v>3rd Eng</v>
      </c>
      <c r="AI22" t="str">
        <f t="shared" si="5"/>
        <v>TCA</v>
      </c>
      <c r="AJ22">
        <f t="shared" si="6"/>
        <v>25205</v>
      </c>
      <c r="AK22" t="str">
        <f t="shared" si="7"/>
        <v>Chaozhou</v>
      </c>
      <c r="AL22" t="str">
        <f t="shared" si="8"/>
        <v>F</v>
      </c>
      <c r="AM22" t="str">
        <f t="shared" si="9"/>
        <v>PP</v>
      </c>
      <c r="AN22" t="str">
        <f t="shared" si="10"/>
        <v>dkcP5PWAMR</v>
      </c>
      <c r="AO22" t="str">
        <f t="shared" si="11"/>
        <v>TCA</v>
      </c>
      <c r="AP22" s="58">
        <f t="shared" si="12"/>
        <v>45929</v>
      </c>
      <c r="AQ22">
        <v>8</v>
      </c>
      <c r="AS22">
        <f>VLOOKUP(P22,Database!B:M,1,FALSE)</f>
        <v>8</v>
      </c>
      <c r="AT22" s="161">
        <f>VLOOKUP(P22,Database!B:Z,13,FALSE)</f>
        <v>0</v>
      </c>
      <c r="AU22" s="161">
        <f t="shared" ca="1" si="15"/>
        <v>44935</v>
      </c>
      <c r="AV22" s="161">
        <f t="shared" si="16"/>
        <v>0</v>
      </c>
    </row>
    <row r="23" spans="2:48" ht="20.100000000000001" customHeight="1">
      <c r="B23" s="11">
        <f t="shared" si="0"/>
        <v>9</v>
      </c>
      <c r="C23" s="54" t="str">
        <f t="shared" si="17"/>
        <v>Evangelista</v>
      </c>
      <c r="D23" s="9" t="str">
        <f t="shared" si="18"/>
        <v>Veniamin Kyros</v>
      </c>
      <c r="E23" s="54" t="str">
        <f t="shared" si="24"/>
        <v>MM</v>
      </c>
      <c r="F23" s="57" t="str">
        <f t="shared" si="25"/>
        <v>GAB</v>
      </c>
      <c r="G23" s="124">
        <f t="shared" si="26"/>
        <v>24392</v>
      </c>
      <c r="H23" s="260" t="str">
        <f t="shared" si="27"/>
        <v>Yaounde</v>
      </c>
      <c r="I23" s="261"/>
      <c r="J23" s="132" t="str">
        <f t="shared" si="23"/>
        <v>M</v>
      </c>
      <c r="K23" s="131" t="str">
        <f t="shared" si="20"/>
        <v>PP</v>
      </c>
      <c r="L23" s="131" t="str">
        <f t="shared" si="13"/>
        <v>MmdApg7tJA</v>
      </c>
      <c r="M23" s="129" t="str">
        <f t="shared" si="21"/>
        <v>GAB</v>
      </c>
      <c r="N23" s="126">
        <f t="shared" si="22"/>
        <v>46517</v>
      </c>
      <c r="O23" s="66"/>
      <c r="P23" s="122">
        <v>9</v>
      </c>
      <c r="Q23" s="142">
        <v>9</v>
      </c>
      <c r="R23" s="167">
        <f t="shared" si="14"/>
        <v>0</v>
      </c>
      <c r="U23" t="str">
        <f>VLOOKUP(P23,Database!B:M,2,FALSE)</f>
        <v>Evangelista</v>
      </c>
      <c r="V23" t="str">
        <f>VLOOKUP(P23,Database!B:M,3,FALSE)</f>
        <v>Veniamin Kyros</v>
      </c>
      <c r="W23" t="str">
        <f>VLOOKUP(P23,Database!B:M,4,FALSE)</f>
        <v>MM</v>
      </c>
      <c r="X23" t="str">
        <f>VLOOKUP(P23,Database!B:M,5,FALSE)</f>
        <v>GAB</v>
      </c>
      <c r="Y23">
        <f>VLOOKUP(P23,Database!B:M,6,FALSE)</f>
        <v>24392</v>
      </c>
      <c r="Z23" t="str">
        <f>VLOOKUP(P23,Database!B:M,7,FALSE)</f>
        <v>Yaounde</v>
      </c>
      <c r="AA23" t="str">
        <f>VLOOKUP(P23,Database!B:M,8,FALSE)</f>
        <v>M</v>
      </c>
      <c r="AB23" t="str">
        <f>VLOOKUP(P23,Database!B:M,9,FALSE)</f>
        <v>PP</v>
      </c>
      <c r="AC23" t="str">
        <f>VLOOKUP(P23,Database!B:M,10,FALSE)</f>
        <v>MmdApg7tJA</v>
      </c>
      <c r="AD23" t="str">
        <f>VLOOKUP(P23,Database!B:M,11,FALSE)</f>
        <v>GAB</v>
      </c>
      <c r="AE23" s="58">
        <f>VLOOKUP(P23,Database!B:M,12,FALSE)</f>
        <v>46517</v>
      </c>
      <c r="AF23" t="str">
        <f t="shared" si="2"/>
        <v>Evangelista</v>
      </c>
      <c r="AG23" t="str">
        <f t="shared" si="3"/>
        <v>Veniamin Kyros</v>
      </c>
      <c r="AH23" t="str">
        <f t="shared" si="4"/>
        <v>MM</v>
      </c>
      <c r="AI23" t="str">
        <f t="shared" si="5"/>
        <v>GAB</v>
      </c>
      <c r="AJ23">
        <f t="shared" si="6"/>
        <v>24392</v>
      </c>
      <c r="AK23" t="str">
        <f t="shared" si="7"/>
        <v>Yaounde</v>
      </c>
      <c r="AL23" t="str">
        <f t="shared" si="8"/>
        <v>M</v>
      </c>
      <c r="AM23" t="str">
        <f t="shared" si="9"/>
        <v>PP</v>
      </c>
      <c r="AN23" t="str">
        <f t="shared" si="10"/>
        <v>MmdApg7tJA</v>
      </c>
      <c r="AO23" t="str">
        <f t="shared" si="11"/>
        <v>GAB</v>
      </c>
      <c r="AP23" s="58">
        <f t="shared" si="12"/>
        <v>46517</v>
      </c>
      <c r="AQ23">
        <v>9</v>
      </c>
      <c r="AS23">
        <f>VLOOKUP(P23,Database!B:M,1,FALSE)</f>
        <v>9</v>
      </c>
      <c r="AT23" s="161">
        <f>VLOOKUP(P23,Database!B:Z,13,FALSE)</f>
        <v>0</v>
      </c>
      <c r="AU23" s="161">
        <f t="shared" ca="1" si="15"/>
        <v>44935</v>
      </c>
      <c r="AV23" s="161">
        <f t="shared" si="16"/>
        <v>0</v>
      </c>
    </row>
    <row r="24" spans="2:48" ht="20.100000000000001" customHeight="1">
      <c r="B24" s="11">
        <f t="shared" si="0"/>
        <v>10</v>
      </c>
      <c r="C24" s="54" t="str">
        <f t="shared" si="17"/>
        <v>Szweda</v>
      </c>
      <c r="D24" s="9" t="str">
        <f t="shared" si="18"/>
        <v>Enki 'Azazyahu</v>
      </c>
      <c r="E24" s="54" t="str">
        <f t="shared" si="24"/>
        <v>Cook</v>
      </c>
      <c r="F24" s="57" t="str">
        <f t="shared" si="25"/>
        <v>SGS</v>
      </c>
      <c r="G24" s="124">
        <f t="shared" si="26"/>
        <v>35608</v>
      </c>
      <c r="H24" s="260" t="str">
        <f t="shared" si="27"/>
        <v>Shenyang</v>
      </c>
      <c r="I24" s="261"/>
      <c r="J24" s="130" t="str">
        <f t="shared" si="23"/>
        <v>M</v>
      </c>
      <c r="K24" s="131" t="str">
        <f t="shared" si="20"/>
        <v>PP</v>
      </c>
      <c r="L24" s="131" t="str">
        <f t="shared" si="13"/>
        <v>gtNgjQv9La</v>
      </c>
      <c r="M24" s="129" t="str">
        <f t="shared" si="21"/>
        <v>SGS</v>
      </c>
      <c r="N24" s="126">
        <f t="shared" si="22"/>
        <v>48398</v>
      </c>
      <c r="O24" s="66"/>
      <c r="P24" s="122">
        <v>10</v>
      </c>
      <c r="Q24" s="142">
        <v>10</v>
      </c>
      <c r="R24" s="167">
        <f t="shared" si="14"/>
        <v>0</v>
      </c>
      <c r="U24" t="str">
        <f>VLOOKUP(P24,Database!B:M,2,FALSE)</f>
        <v>Szweda</v>
      </c>
      <c r="V24" t="str">
        <f>VLOOKUP(P24,Database!B:M,3,FALSE)</f>
        <v>Enki 'Azazyahu</v>
      </c>
      <c r="W24" t="str">
        <f>VLOOKUP(P24,Database!B:M,4,FALSE)</f>
        <v>Cook</v>
      </c>
      <c r="X24" t="str">
        <f>VLOOKUP(P24,Database!B:M,5,FALSE)</f>
        <v>SGS</v>
      </c>
      <c r="Y24">
        <f>VLOOKUP(P24,Database!B:M,6,FALSE)</f>
        <v>35608</v>
      </c>
      <c r="Z24" t="str">
        <f>VLOOKUP(P24,Database!B:M,7,FALSE)</f>
        <v>Shenyang</v>
      </c>
      <c r="AA24" t="str">
        <f>VLOOKUP(P24,Database!B:M,8,FALSE)</f>
        <v>M</v>
      </c>
      <c r="AB24" t="str">
        <f>VLOOKUP(P24,Database!B:M,9,FALSE)</f>
        <v>PP</v>
      </c>
      <c r="AC24" t="str">
        <f>VLOOKUP(P24,Database!B:M,10,FALSE)</f>
        <v>gtNgjQv9La</v>
      </c>
      <c r="AD24" t="str">
        <f>VLOOKUP(P24,Database!B:M,11,FALSE)</f>
        <v>SGS</v>
      </c>
      <c r="AE24" s="58">
        <f>VLOOKUP(P24,Database!B:M,12,FALSE)</f>
        <v>48398</v>
      </c>
      <c r="AF24" t="str">
        <f t="shared" si="2"/>
        <v>Szweda</v>
      </c>
      <c r="AG24" t="str">
        <f t="shared" si="3"/>
        <v>Enki 'Azazyahu</v>
      </c>
      <c r="AH24" t="str">
        <f t="shared" si="4"/>
        <v>Cook</v>
      </c>
      <c r="AI24" t="str">
        <f t="shared" si="5"/>
        <v>SGS</v>
      </c>
      <c r="AJ24">
        <f t="shared" si="6"/>
        <v>35608</v>
      </c>
      <c r="AK24" t="str">
        <f t="shared" si="7"/>
        <v>Shenyang</v>
      </c>
      <c r="AL24" t="str">
        <f t="shared" si="8"/>
        <v>M</v>
      </c>
      <c r="AM24" t="str">
        <f t="shared" si="9"/>
        <v>PP</v>
      </c>
      <c r="AN24" t="str">
        <f t="shared" si="10"/>
        <v>gtNgjQv9La</v>
      </c>
      <c r="AO24" t="str">
        <f t="shared" si="11"/>
        <v>SGS</v>
      </c>
      <c r="AP24" s="58">
        <f t="shared" si="12"/>
        <v>48398</v>
      </c>
      <c r="AQ24">
        <v>10</v>
      </c>
      <c r="AS24">
        <f>VLOOKUP(P24,Database!B:M,1,FALSE)</f>
        <v>10</v>
      </c>
      <c r="AT24" s="161">
        <f>VLOOKUP(P24,Database!B:Z,13,FALSE)</f>
        <v>0</v>
      </c>
      <c r="AU24" s="161">
        <f t="shared" ca="1" si="15"/>
        <v>44935</v>
      </c>
      <c r="AV24" s="161">
        <f t="shared" si="16"/>
        <v>0</v>
      </c>
    </row>
    <row r="25" spans="2:48" ht="20.100000000000001" customHeight="1">
      <c r="B25" s="11">
        <f t="shared" si="0"/>
        <v>11</v>
      </c>
      <c r="C25" s="54" t="str">
        <f t="shared" si="17"/>
        <v>Nozawa</v>
      </c>
      <c r="D25" s="9" t="str">
        <f t="shared" si="18"/>
        <v>AlbertaUche</v>
      </c>
      <c r="E25" s="54" t="str">
        <f t="shared" si="24"/>
        <v>Cook</v>
      </c>
      <c r="F25" s="57" t="str">
        <f t="shared" si="25"/>
        <v>GIN</v>
      </c>
      <c r="G25" s="124">
        <f t="shared" si="26"/>
        <v>35091</v>
      </c>
      <c r="H25" s="260" t="str">
        <f t="shared" si="27"/>
        <v>Ekurhuleni</v>
      </c>
      <c r="I25" s="261"/>
      <c r="J25" s="132" t="str">
        <f t="shared" si="23"/>
        <v>F</v>
      </c>
      <c r="K25" s="131" t="str">
        <f t="shared" si="20"/>
        <v>PP</v>
      </c>
      <c r="L25" s="131" t="str">
        <f t="shared" si="13"/>
        <v>WXvZGhVVG7</v>
      </c>
      <c r="M25" s="129" t="str">
        <f t="shared" si="21"/>
        <v>GIN</v>
      </c>
      <c r="N25" s="126">
        <f t="shared" si="22"/>
        <v>46065</v>
      </c>
      <c r="O25" s="66"/>
      <c r="P25" s="122">
        <v>11</v>
      </c>
      <c r="Q25" s="142">
        <v>11</v>
      </c>
      <c r="R25" s="167">
        <f t="shared" si="14"/>
        <v>0</v>
      </c>
      <c r="U25" t="str">
        <f>VLOOKUP(P25,Database!B:M,2,FALSE)</f>
        <v>Nozawa</v>
      </c>
      <c r="V25" t="str">
        <f>VLOOKUP(P25,Database!B:M,3,FALSE)</f>
        <v>AlbertaUche</v>
      </c>
      <c r="W25" t="str">
        <f>VLOOKUP(P25,Database!B:M,4,FALSE)</f>
        <v>Cook</v>
      </c>
      <c r="X25" t="str">
        <f>VLOOKUP(P25,Database!B:M,5,FALSE)</f>
        <v>GIN</v>
      </c>
      <c r="Y25">
        <f>VLOOKUP(P25,Database!B:M,6,FALSE)</f>
        <v>35091</v>
      </c>
      <c r="Z25" t="str">
        <f>VLOOKUP(P25,Database!B:M,7,FALSE)</f>
        <v>Ekurhuleni</v>
      </c>
      <c r="AA25" t="str">
        <f>VLOOKUP(P25,Database!B:M,8,FALSE)</f>
        <v>F</v>
      </c>
      <c r="AB25" t="str">
        <f>VLOOKUP(P25,Database!B:M,9,FALSE)</f>
        <v>PP</v>
      </c>
      <c r="AC25" t="str">
        <f>VLOOKUP(P25,Database!B:M,10,FALSE)</f>
        <v>WXvZGhVVG7</v>
      </c>
      <c r="AD25" t="str">
        <f>VLOOKUP(P25,Database!B:M,11,FALSE)</f>
        <v>GIN</v>
      </c>
      <c r="AE25" s="58">
        <f>VLOOKUP(P25,Database!B:M,12,FALSE)</f>
        <v>46065</v>
      </c>
      <c r="AF25" t="str">
        <f t="shared" si="2"/>
        <v>Nozawa</v>
      </c>
      <c r="AG25" t="str">
        <f t="shared" si="3"/>
        <v>AlbertaUche</v>
      </c>
      <c r="AH25" t="str">
        <f t="shared" si="4"/>
        <v>Cook</v>
      </c>
      <c r="AI25" t="str">
        <f t="shared" si="5"/>
        <v>GIN</v>
      </c>
      <c r="AJ25">
        <f t="shared" si="6"/>
        <v>35091</v>
      </c>
      <c r="AK25" t="str">
        <f t="shared" si="7"/>
        <v>Ekurhuleni</v>
      </c>
      <c r="AL25" t="str">
        <f t="shared" si="8"/>
        <v>F</v>
      </c>
      <c r="AM25" t="str">
        <f t="shared" si="9"/>
        <v>PP</v>
      </c>
      <c r="AN25" t="str">
        <f t="shared" si="10"/>
        <v>WXvZGhVVG7</v>
      </c>
      <c r="AO25" t="str">
        <f t="shared" si="11"/>
        <v>GIN</v>
      </c>
      <c r="AP25" s="58">
        <f t="shared" si="12"/>
        <v>46065</v>
      </c>
      <c r="AQ25">
        <v>11</v>
      </c>
      <c r="AS25">
        <f>VLOOKUP(P25,Database!B:M,1,FALSE)</f>
        <v>11</v>
      </c>
      <c r="AT25" s="161">
        <f>VLOOKUP(P25,Database!B:Z,13,FALSE)</f>
        <v>0</v>
      </c>
      <c r="AU25" s="161">
        <f t="shared" ca="1" si="15"/>
        <v>44935</v>
      </c>
      <c r="AV25" s="161">
        <f t="shared" si="16"/>
        <v>0</v>
      </c>
    </row>
    <row r="26" spans="2:48" ht="20.100000000000001" customHeight="1">
      <c r="B26" s="11">
        <f t="shared" si="0"/>
        <v>12</v>
      </c>
      <c r="C26" s="54" t="str">
        <f t="shared" si="17"/>
        <v>Crespo</v>
      </c>
      <c r="D26" s="9" t="str">
        <f t="shared" si="18"/>
        <v>HonorataMarko</v>
      </c>
      <c r="E26" s="54" t="str">
        <f t="shared" si="24"/>
        <v>Bosun</v>
      </c>
      <c r="F26" s="57" t="str">
        <f t="shared" si="25"/>
        <v>MDA</v>
      </c>
      <c r="G26" s="124">
        <f t="shared" si="26"/>
        <v>31137</v>
      </c>
      <c r="H26" s="260" t="str">
        <f t="shared" si="27"/>
        <v>Dallas</v>
      </c>
      <c r="I26" s="261"/>
      <c r="J26" s="130" t="str">
        <f t="shared" si="23"/>
        <v>M</v>
      </c>
      <c r="K26" s="131" t="str">
        <f t="shared" si="20"/>
        <v>PP</v>
      </c>
      <c r="L26" s="131" t="str">
        <f t="shared" si="13"/>
        <v>T6Dj6ky8KQ</v>
      </c>
      <c r="M26" s="129" t="str">
        <f t="shared" si="21"/>
        <v>MDA</v>
      </c>
      <c r="N26" s="126">
        <f t="shared" si="22"/>
        <v>45903</v>
      </c>
      <c r="O26" s="66"/>
      <c r="P26" s="122">
        <v>12</v>
      </c>
      <c r="Q26" s="142">
        <v>12</v>
      </c>
      <c r="R26" s="167">
        <f t="shared" si="14"/>
        <v>0</v>
      </c>
      <c r="U26" t="str">
        <f>VLOOKUP(P26,Database!B:M,2,FALSE)</f>
        <v>Crespo</v>
      </c>
      <c r="V26" t="str">
        <f>VLOOKUP(P26,Database!B:M,3,FALSE)</f>
        <v>HonorataMarko</v>
      </c>
      <c r="W26" t="str">
        <f>VLOOKUP(P26,Database!B:M,4,FALSE)</f>
        <v>Bosun</v>
      </c>
      <c r="X26" t="str">
        <f>VLOOKUP(P26,Database!B:M,5,FALSE)</f>
        <v>MDA</v>
      </c>
      <c r="Y26">
        <f>VLOOKUP(P26,Database!B:M,6,FALSE)</f>
        <v>31137</v>
      </c>
      <c r="Z26" t="str">
        <f>VLOOKUP(P26,Database!B:M,7,FALSE)</f>
        <v>Dallas</v>
      </c>
      <c r="AA26" t="str">
        <f>VLOOKUP(P26,Database!B:M,8,FALSE)</f>
        <v>M</v>
      </c>
      <c r="AB26" t="str">
        <f>VLOOKUP(P26,Database!B:M,9,FALSE)</f>
        <v>PP</v>
      </c>
      <c r="AC26" t="str">
        <f>VLOOKUP(P26,Database!B:M,10,FALSE)</f>
        <v>T6Dj6ky8KQ</v>
      </c>
      <c r="AD26" t="str">
        <f>VLOOKUP(P26,Database!B:M,11,FALSE)</f>
        <v>MDA</v>
      </c>
      <c r="AE26" s="58">
        <f>VLOOKUP(P26,Database!B:M,12,FALSE)</f>
        <v>45903</v>
      </c>
      <c r="AF26" t="str">
        <f t="shared" si="2"/>
        <v>Crespo</v>
      </c>
      <c r="AG26" t="str">
        <f t="shared" si="3"/>
        <v>HonorataMarko</v>
      </c>
      <c r="AH26" t="str">
        <f t="shared" si="4"/>
        <v>Bosun</v>
      </c>
      <c r="AI26" t="str">
        <f t="shared" si="5"/>
        <v>MDA</v>
      </c>
      <c r="AJ26">
        <f t="shared" si="6"/>
        <v>31137</v>
      </c>
      <c r="AK26" t="str">
        <f t="shared" si="7"/>
        <v>Dallas</v>
      </c>
      <c r="AL26" t="str">
        <f t="shared" si="8"/>
        <v>M</v>
      </c>
      <c r="AM26" t="str">
        <f t="shared" si="9"/>
        <v>PP</v>
      </c>
      <c r="AN26" t="str">
        <f t="shared" si="10"/>
        <v>T6Dj6ky8KQ</v>
      </c>
      <c r="AO26" t="str">
        <f t="shared" si="11"/>
        <v>MDA</v>
      </c>
      <c r="AP26" s="58">
        <f t="shared" si="12"/>
        <v>45903</v>
      </c>
      <c r="AQ26">
        <v>12</v>
      </c>
      <c r="AS26">
        <f>VLOOKUP(P26,Database!B:M,1,FALSE)</f>
        <v>12</v>
      </c>
      <c r="AT26" s="161">
        <f>VLOOKUP(P26,Database!B:Z,13,FALSE)</f>
        <v>0</v>
      </c>
      <c r="AU26" s="161">
        <f t="shared" ca="1" si="15"/>
        <v>44935</v>
      </c>
      <c r="AV26" s="161">
        <f t="shared" si="16"/>
        <v>0</v>
      </c>
    </row>
    <row r="27" spans="2:48" ht="20.100000000000001" customHeight="1">
      <c r="B27" s="11">
        <f t="shared" si="0"/>
        <v>13</v>
      </c>
      <c r="C27" s="54" t="str">
        <f t="shared" si="17"/>
        <v>Szép</v>
      </c>
      <c r="D27" s="9" t="str">
        <f t="shared" si="18"/>
        <v>DanuškaLuken</v>
      </c>
      <c r="E27" s="9" t="str">
        <f t="shared" si="24"/>
        <v>AB Crane</v>
      </c>
      <c r="F27" s="57" t="str">
        <f t="shared" si="25"/>
        <v>PAK</v>
      </c>
      <c r="G27" s="124">
        <f t="shared" si="26"/>
        <v>23917</v>
      </c>
      <c r="H27" s="260" t="str">
        <f t="shared" si="27"/>
        <v>Changsha</v>
      </c>
      <c r="I27" s="261"/>
      <c r="J27" s="132" t="str">
        <f t="shared" si="23"/>
        <v>F</v>
      </c>
      <c r="K27" s="131" t="str">
        <f t="shared" si="20"/>
        <v>PP</v>
      </c>
      <c r="L27" s="131" t="str">
        <f t="shared" si="13"/>
        <v>vkdzPf44J6</v>
      </c>
      <c r="M27" s="129" t="str">
        <f t="shared" si="21"/>
        <v>PAK</v>
      </c>
      <c r="N27" s="126">
        <f t="shared" si="22"/>
        <v>48120</v>
      </c>
      <c r="O27" s="66"/>
      <c r="P27" s="122">
        <v>13</v>
      </c>
      <c r="Q27" s="142">
        <v>13</v>
      </c>
      <c r="R27" s="167">
        <f t="shared" si="14"/>
        <v>0</v>
      </c>
      <c r="U27" t="str">
        <f>VLOOKUP(P27,Database!B:M,2,FALSE)</f>
        <v>Szép</v>
      </c>
      <c r="V27" t="str">
        <f>VLOOKUP(P27,Database!B:M,3,FALSE)</f>
        <v>DanuškaLuken</v>
      </c>
      <c r="W27" t="str">
        <f>VLOOKUP(P27,Database!B:M,4,FALSE)</f>
        <v>AB Crane</v>
      </c>
      <c r="X27" t="str">
        <f>VLOOKUP(P27,Database!B:M,5,FALSE)</f>
        <v>PAK</v>
      </c>
      <c r="Y27">
        <f>VLOOKUP(P27,Database!B:M,6,FALSE)</f>
        <v>23917</v>
      </c>
      <c r="Z27" t="str">
        <f>VLOOKUP(P27,Database!B:M,7,FALSE)</f>
        <v>Changsha</v>
      </c>
      <c r="AA27" t="str">
        <f>VLOOKUP(P27,Database!B:M,8,FALSE)</f>
        <v>F</v>
      </c>
      <c r="AB27" t="str">
        <f>VLOOKUP(P27,Database!B:M,9,FALSE)</f>
        <v>PP</v>
      </c>
      <c r="AC27" t="str">
        <f>VLOOKUP(P27,Database!B:M,10,FALSE)</f>
        <v>vkdzPf44J6</v>
      </c>
      <c r="AD27" t="str">
        <f>VLOOKUP(P27,Database!B:M,11,FALSE)</f>
        <v>PAK</v>
      </c>
      <c r="AE27" s="58">
        <f>VLOOKUP(P27,Database!B:M,12,FALSE)</f>
        <v>48120</v>
      </c>
      <c r="AF27" t="str">
        <f t="shared" si="2"/>
        <v>Szép</v>
      </c>
      <c r="AG27" t="str">
        <f t="shared" si="3"/>
        <v>DanuškaLuken</v>
      </c>
      <c r="AH27" t="str">
        <f t="shared" si="4"/>
        <v>AB Crane</v>
      </c>
      <c r="AI27" t="str">
        <f t="shared" si="5"/>
        <v>PAK</v>
      </c>
      <c r="AJ27">
        <f t="shared" si="6"/>
        <v>23917</v>
      </c>
      <c r="AK27" t="str">
        <f t="shared" si="7"/>
        <v>Changsha</v>
      </c>
      <c r="AL27" t="str">
        <f t="shared" si="8"/>
        <v>F</v>
      </c>
      <c r="AM27" t="str">
        <f t="shared" si="9"/>
        <v>PP</v>
      </c>
      <c r="AN27" t="str">
        <f t="shared" si="10"/>
        <v>vkdzPf44J6</v>
      </c>
      <c r="AO27" t="str">
        <f t="shared" si="11"/>
        <v>PAK</v>
      </c>
      <c r="AP27" s="58">
        <f t="shared" si="12"/>
        <v>48120</v>
      </c>
      <c r="AQ27">
        <v>13</v>
      </c>
      <c r="AS27">
        <f>VLOOKUP(P27,Database!B:M,1,FALSE)</f>
        <v>13</v>
      </c>
      <c r="AT27" s="161">
        <f>VLOOKUP(P27,Database!B:Z,13,FALSE)</f>
        <v>0</v>
      </c>
      <c r="AU27" s="161">
        <f t="shared" ca="1" si="15"/>
        <v>44935</v>
      </c>
      <c r="AV27" s="161">
        <f t="shared" si="16"/>
        <v>0</v>
      </c>
    </row>
    <row r="28" spans="2:48" ht="20.100000000000001" customHeight="1">
      <c r="B28" s="11">
        <f t="shared" si="0"/>
        <v>14</v>
      </c>
      <c r="C28" s="54" t="str">
        <f t="shared" si="17"/>
        <v>Shinoda</v>
      </c>
      <c r="D28" s="9" t="str">
        <f t="shared" si="18"/>
        <v>JessaEnea</v>
      </c>
      <c r="E28" s="9" t="str">
        <f t="shared" ref="E28:E58" si="28">AH28</f>
        <v>AB</v>
      </c>
      <c r="F28" s="57" t="str">
        <f t="shared" si="25"/>
        <v>FRA</v>
      </c>
      <c r="G28" s="124">
        <f t="shared" si="26"/>
        <v>20815</v>
      </c>
      <c r="H28" s="260" t="str">
        <f t="shared" si="27"/>
        <v>Peshawar</v>
      </c>
      <c r="I28" s="261"/>
      <c r="J28" s="130" t="str">
        <f t="shared" si="23"/>
        <v>M</v>
      </c>
      <c r="K28" s="131" t="str">
        <f t="shared" si="20"/>
        <v>PP</v>
      </c>
      <c r="L28" s="131" t="str">
        <f t="shared" si="13"/>
        <v>LWhzAhASY7</v>
      </c>
      <c r="M28" s="129" t="str">
        <f t="shared" si="21"/>
        <v>FRA</v>
      </c>
      <c r="N28" s="126">
        <f t="shared" si="22"/>
        <v>48325</v>
      </c>
      <c r="O28" s="66"/>
      <c r="P28" s="122">
        <v>14</v>
      </c>
      <c r="Q28" s="142">
        <v>14</v>
      </c>
      <c r="R28" s="167">
        <f t="shared" si="14"/>
        <v>0</v>
      </c>
      <c r="U28" t="str">
        <f>VLOOKUP(P28,Database!B:M,2,FALSE)</f>
        <v>Shinoda</v>
      </c>
      <c r="V28" t="str">
        <f>VLOOKUP(P28,Database!B:M,3,FALSE)</f>
        <v>JessaEnea</v>
      </c>
      <c r="W28" t="str">
        <f>VLOOKUP(P28,Database!B:M,4,FALSE)</f>
        <v>AB</v>
      </c>
      <c r="X28" t="str">
        <f>VLOOKUP(P28,Database!B:M,5,FALSE)</f>
        <v>FRA</v>
      </c>
      <c r="Y28">
        <f>VLOOKUP(P28,Database!B:M,6,FALSE)</f>
        <v>20815</v>
      </c>
      <c r="Z28" t="str">
        <f>VLOOKUP(P28,Database!B:M,7,FALSE)</f>
        <v>Peshawar</v>
      </c>
      <c r="AA28" t="str">
        <f>VLOOKUP(P28,Database!B:M,8,FALSE)</f>
        <v>M</v>
      </c>
      <c r="AB28" t="str">
        <f>VLOOKUP(P28,Database!B:M,9,FALSE)</f>
        <v>PP</v>
      </c>
      <c r="AC28" t="str">
        <f>VLOOKUP(P28,Database!B:M,10,FALSE)</f>
        <v>LWhzAhASY7</v>
      </c>
      <c r="AD28" t="str">
        <f>VLOOKUP(P28,Database!B:M,11,FALSE)</f>
        <v>FRA</v>
      </c>
      <c r="AE28" s="58">
        <f>VLOOKUP(P28,Database!B:M,12,FALSE)</f>
        <v>48325</v>
      </c>
      <c r="AF28" t="str">
        <f t="shared" si="2"/>
        <v>Shinoda</v>
      </c>
      <c r="AG28" t="str">
        <f t="shared" si="3"/>
        <v>JessaEnea</v>
      </c>
      <c r="AH28" t="str">
        <f t="shared" si="4"/>
        <v>AB</v>
      </c>
      <c r="AI28" t="str">
        <f t="shared" si="5"/>
        <v>FRA</v>
      </c>
      <c r="AJ28">
        <f t="shared" si="6"/>
        <v>20815</v>
      </c>
      <c r="AK28" t="str">
        <f t="shared" si="7"/>
        <v>Peshawar</v>
      </c>
      <c r="AL28" t="str">
        <f t="shared" si="8"/>
        <v>M</v>
      </c>
      <c r="AM28" t="str">
        <f t="shared" si="9"/>
        <v>PP</v>
      </c>
      <c r="AN28" t="str">
        <f t="shared" si="10"/>
        <v>LWhzAhASY7</v>
      </c>
      <c r="AO28" t="str">
        <f t="shared" si="11"/>
        <v>FRA</v>
      </c>
      <c r="AP28" s="58">
        <f t="shared" si="12"/>
        <v>48325</v>
      </c>
      <c r="AQ28">
        <v>14</v>
      </c>
      <c r="AS28">
        <f>VLOOKUP(P28,Database!B:M,1,FALSE)</f>
        <v>14</v>
      </c>
      <c r="AT28" s="161">
        <f>VLOOKUP(P28,Database!B:Z,13,FALSE)</f>
        <v>0</v>
      </c>
      <c r="AU28" s="161">
        <f t="shared" ca="1" si="15"/>
        <v>44935</v>
      </c>
      <c r="AV28" s="161">
        <f t="shared" si="16"/>
        <v>0</v>
      </c>
    </row>
    <row r="29" spans="2:48" ht="20.100000000000001" customHeight="1">
      <c r="B29" s="11">
        <f t="shared" si="0"/>
        <v>15</v>
      </c>
      <c r="C29" s="54" t="str">
        <f t="shared" si="17"/>
        <v>Furlan</v>
      </c>
      <c r="D29" s="9" t="str">
        <f t="shared" si="18"/>
        <v>IvkaWilla</v>
      </c>
      <c r="E29" s="9" t="str">
        <f t="shared" si="28"/>
        <v>AB</v>
      </c>
      <c r="F29" s="57" t="str">
        <f t="shared" si="25"/>
        <v>MDG</v>
      </c>
      <c r="G29" s="124">
        <f t="shared" si="26"/>
        <v>23815</v>
      </c>
      <c r="H29" s="260" t="str">
        <f t="shared" si="27"/>
        <v>Palembang</v>
      </c>
      <c r="I29" s="261"/>
      <c r="J29" s="132" t="str">
        <f t="shared" si="23"/>
        <v>M</v>
      </c>
      <c r="K29" s="131" t="str">
        <f t="shared" si="20"/>
        <v>PP</v>
      </c>
      <c r="L29" s="131" t="str">
        <f t="shared" si="13"/>
        <v>vxVbNYPs73</v>
      </c>
      <c r="M29" s="129" t="str">
        <f t="shared" si="21"/>
        <v>MDG</v>
      </c>
      <c r="N29" s="126">
        <f t="shared" si="22"/>
        <v>45494</v>
      </c>
      <c r="O29" s="66"/>
      <c r="P29" s="122">
        <v>15</v>
      </c>
      <c r="Q29" s="142">
        <v>15</v>
      </c>
      <c r="R29" s="167">
        <f t="shared" si="14"/>
        <v>0</v>
      </c>
      <c r="U29" t="str">
        <f>VLOOKUP(P29,Database!B:M,2,FALSE)</f>
        <v>Furlan</v>
      </c>
      <c r="V29" t="str">
        <f>VLOOKUP(P29,Database!B:M,3,FALSE)</f>
        <v>IvkaWilla</v>
      </c>
      <c r="W29" t="str">
        <f>VLOOKUP(P29,Database!B:M,4,FALSE)</f>
        <v>AB</v>
      </c>
      <c r="X29" t="str">
        <f>VLOOKUP(P29,Database!B:M,5,FALSE)</f>
        <v>MDG</v>
      </c>
      <c r="Y29">
        <f>VLOOKUP(P29,Database!B:M,6,FALSE)</f>
        <v>23815</v>
      </c>
      <c r="Z29" t="str">
        <f>VLOOKUP(P29,Database!B:M,7,FALSE)</f>
        <v>Palembang</v>
      </c>
      <c r="AA29" t="str">
        <f>VLOOKUP(P29,Database!B:M,8,FALSE)</f>
        <v>M</v>
      </c>
      <c r="AB29" t="str">
        <f>VLOOKUP(P29,Database!B:M,9,FALSE)</f>
        <v>PP</v>
      </c>
      <c r="AC29" t="str">
        <f>VLOOKUP(P29,Database!B:M,10,FALSE)</f>
        <v>vxVbNYPs73</v>
      </c>
      <c r="AD29" t="str">
        <f>VLOOKUP(P29,Database!B:M,11,FALSE)</f>
        <v>MDG</v>
      </c>
      <c r="AE29" s="58">
        <f>VLOOKUP(P29,Database!B:M,12,FALSE)</f>
        <v>45494</v>
      </c>
      <c r="AF29" t="str">
        <f t="shared" si="2"/>
        <v>Furlan</v>
      </c>
      <c r="AG29" t="str">
        <f t="shared" si="3"/>
        <v>IvkaWilla</v>
      </c>
      <c r="AH29" t="str">
        <f t="shared" si="4"/>
        <v>AB</v>
      </c>
      <c r="AI29" t="str">
        <f t="shared" si="5"/>
        <v>MDG</v>
      </c>
      <c r="AJ29">
        <f t="shared" si="6"/>
        <v>23815</v>
      </c>
      <c r="AK29" t="str">
        <f t="shared" si="7"/>
        <v>Palembang</v>
      </c>
      <c r="AL29" t="str">
        <f t="shared" si="8"/>
        <v>M</v>
      </c>
      <c r="AM29" t="str">
        <f t="shared" si="9"/>
        <v>PP</v>
      </c>
      <c r="AN29" t="str">
        <f t="shared" si="10"/>
        <v>vxVbNYPs73</v>
      </c>
      <c r="AO29" t="str">
        <f t="shared" si="11"/>
        <v>MDG</v>
      </c>
      <c r="AP29" s="58">
        <f t="shared" si="12"/>
        <v>45494</v>
      </c>
      <c r="AQ29">
        <v>15</v>
      </c>
      <c r="AS29">
        <f>VLOOKUP(P29,Database!B:M,1,FALSE)</f>
        <v>15</v>
      </c>
      <c r="AT29" s="161">
        <f>VLOOKUP(P29,Database!B:Z,13,FALSE)</f>
        <v>0</v>
      </c>
      <c r="AU29" s="161">
        <f t="shared" ca="1" si="15"/>
        <v>44935</v>
      </c>
      <c r="AV29" s="161">
        <f t="shared" si="16"/>
        <v>0</v>
      </c>
    </row>
    <row r="30" spans="2:48" ht="20.100000000000001" customHeight="1">
      <c r="B30" s="11">
        <f t="shared" si="0"/>
        <v>16</v>
      </c>
      <c r="C30" s="54" t="str">
        <f t="shared" si="17"/>
        <v>Salomon</v>
      </c>
      <c r="D30" s="9" t="str">
        <f t="shared" si="18"/>
        <v>PerchuhiGomer</v>
      </c>
      <c r="E30" s="9" t="str">
        <f t="shared" si="28"/>
        <v>PC</v>
      </c>
      <c r="F30" s="57" t="str">
        <f t="shared" si="25"/>
        <v>ALB</v>
      </c>
      <c r="G30" s="124">
        <f t="shared" si="26"/>
        <v>37447</v>
      </c>
      <c r="H30" s="260" t="str">
        <f t="shared" si="27"/>
        <v>Jaipur</v>
      </c>
      <c r="I30" s="261"/>
      <c r="J30" s="130" t="str">
        <f t="shared" si="23"/>
        <v>F</v>
      </c>
      <c r="K30" s="131" t="str">
        <f t="shared" si="20"/>
        <v>PP</v>
      </c>
      <c r="L30" s="131" t="str">
        <f t="shared" si="13"/>
        <v>Xh3WBgC5Ec</v>
      </c>
      <c r="M30" s="129" t="str">
        <f t="shared" si="21"/>
        <v>ALB</v>
      </c>
      <c r="N30" s="126">
        <f t="shared" si="22"/>
        <v>46217</v>
      </c>
      <c r="O30" s="66"/>
      <c r="P30" s="122">
        <v>16</v>
      </c>
      <c r="Q30" s="142">
        <v>16</v>
      </c>
      <c r="R30" s="167">
        <f t="shared" si="14"/>
        <v>0</v>
      </c>
      <c r="U30" t="str">
        <f>VLOOKUP(P30,Database!B:M,2,FALSE)</f>
        <v>Salomon</v>
      </c>
      <c r="V30" t="str">
        <f>VLOOKUP(P30,Database!B:M,3,FALSE)</f>
        <v>PerchuhiGomer</v>
      </c>
      <c r="W30" t="str">
        <f>VLOOKUP(P30,Database!B:M,4,FALSE)</f>
        <v>PC</v>
      </c>
      <c r="X30" t="str">
        <f>VLOOKUP(P30,Database!B:M,5,FALSE)</f>
        <v>ALB</v>
      </c>
      <c r="Y30">
        <f>VLOOKUP(P30,Database!B:M,6,FALSE)</f>
        <v>37447</v>
      </c>
      <c r="Z30" t="str">
        <f>VLOOKUP(P30,Database!B:M,7,FALSE)</f>
        <v>Jaipur</v>
      </c>
      <c r="AA30" t="str">
        <f>VLOOKUP(P30,Database!B:M,8,FALSE)</f>
        <v>F</v>
      </c>
      <c r="AB30" t="str">
        <f>VLOOKUP(P30,Database!B:M,9,FALSE)</f>
        <v>PP</v>
      </c>
      <c r="AC30" t="str">
        <f>VLOOKUP(P30,Database!B:M,10,FALSE)</f>
        <v>Xh3WBgC5Ec</v>
      </c>
      <c r="AD30" t="str">
        <f>VLOOKUP(P30,Database!B:M,11,FALSE)</f>
        <v>ALB</v>
      </c>
      <c r="AE30" s="58">
        <f>VLOOKUP(P30,Database!B:M,12,FALSE)</f>
        <v>46217</v>
      </c>
      <c r="AF30" t="str">
        <f t="shared" si="2"/>
        <v>Salomon</v>
      </c>
      <c r="AG30" t="str">
        <f t="shared" si="3"/>
        <v>PerchuhiGomer</v>
      </c>
      <c r="AH30" t="str">
        <f t="shared" si="4"/>
        <v>PC</v>
      </c>
      <c r="AI30" t="str">
        <f t="shared" si="5"/>
        <v>ALB</v>
      </c>
      <c r="AJ30">
        <f t="shared" si="6"/>
        <v>37447</v>
      </c>
      <c r="AK30" t="str">
        <f t="shared" si="7"/>
        <v>Jaipur</v>
      </c>
      <c r="AL30" t="str">
        <f t="shared" si="8"/>
        <v>F</v>
      </c>
      <c r="AM30" t="str">
        <f t="shared" si="9"/>
        <v>PP</v>
      </c>
      <c r="AN30" t="str">
        <f t="shared" si="10"/>
        <v>Xh3WBgC5Ec</v>
      </c>
      <c r="AO30" t="str">
        <f t="shared" si="11"/>
        <v>ALB</v>
      </c>
      <c r="AP30" s="58">
        <f t="shared" si="12"/>
        <v>46217</v>
      </c>
      <c r="AQ30">
        <v>16</v>
      </c>
      <c r="AS30">
        <f>VLOOKUP(P30,Database!B:M,1,FALSE)</f>
        <v>16</v>
      </c>
      <c r="AT30" s="161">
        <f>VLOOKUP(P30,Database!B:Z,13,FALSE)</f>
        <v>0</v>
      </c>
      <c r="AU30" s="161">
        <f t="shared" ca="1" si="15"/>
        <v>44935</v>
      </c>
      <c r="AV30" s="161">
        <f t="shared" si="16"/>
        <v>0</v>
      </c>
    </row>
    <row r="31" spans="2:48" ht="20.100000000000001" customHeight="1">
      <c r="B31" s="11">
        <f>IF(P31=0," ",AQ31)</f>
        <v>17</v>
      </c>
      <c r="C31" s="54" t="str">
        <f t="shared" si="17"/>
        <v>Sala</v>
      </c>
      <c r="D31" s="9" t="str">
        <f t="shared" si="18"/>
        <v>DavidAmanda</v>
      </c>
      <c r="E31" s="9" t="str">
        <f t="shared" si="28"/>
        <v xml:space="preserve">data </v>
      </c>
      <c r="F31" s="57" t="str">
        <f t="shared" si="25"/>
        <v>BES</v>
      </c>
      <c r="G31" s="124">
        <f t="shared" si="25"/>
        <v>37874</v>
      </c>
      <c r="H31" s="260" t="str">
        <f t="shared" si="27"/>
        <v>Bucharest</v>
      </c>
      <c r="I31" s="261"/>
      <c r="J31" s="132" t="str">
        <f t="shared" si="23"/>
        <v>F</v>
      </c>
      <c r="K31" s="131" t="str">
        <f t="shared" si="20"/>
        <v>PP</v>
      </c>
      <c r="L31" s="131" t="str">
        <f t="shared" si="13"/>
        <v>pz98V9YejR</v>
      </c>
      <c r="M31" s="129" t="str">
        <f t="shared" si="21"/>
        <v>BES</v>
      </c>
      <c r="N31" s="126">
        <f t="shared" si="22"/>
        <v>46979</v>
      </c>
      <c r="O31" s="66"/>
      <c r="P31" s="122">
        <v>17</v>
      </c>
      <c r="Q31" s="142">
        <v>17</v>
      </c>
      <c r="R31" s="167">
        <f t="shared" si="14"/>
        <v>0</v>
      </c>
      <c r="U31" t="str">
        <f>VLOOKUP(P31,Database!B:M,2,FALSE)</f>
        <v>Sala</v>
      </c>
      <c r="V31" t="str">
        <f>VLOOKUP(P31,Database!B:M,3,FALSE)</f>
        <v>DavidAmanda</v>
      </c>
      <c r="W31" t="str">
        <f>VLOOKUP(P31,Database!B:M,4,FALSE)</f>
        <v xml:space="preserve">data </v>
      </c>
      <c r="X31" t="str">
        <f>VLOOKUP(P31,Database!B:M,5,FALSE)</f>
        <v>BES</v>
      </c>
      <c r="Y31">
        <f>VLOOKUP(P31,Database!B:M,6,FALSE)</f>
        <v>37874</v>
      </c>
      <c r="Z31" t="str">
        <f>VLOOKUP(P31,Database!B:M,7,FALSE)</f>
        <v>Bucharest</v>
      </c>
      <c r="AA31" t="str">
        <f>VLOOKUP(P31,Database!B:M,8,FALSE)</f>
        <v>F</v>
      </c>
      <c r="AB31" t="str">
        <f>VLOOKUP(P31,Database!B:M,9,FALSE)</f>
        <v>PP</v>
      </c>
      <c r="AC31" t="str">
        <f>VLOOKUP(P31,Database!B:M,10,FALSE)</f>
        <v>pz98V9YejR</v>
      </c>
      <c r="AD31" t="str">
        <f>VLOOKUP(P31,Database!B:M,11,FALSE)</f>
        <v>BES</v>
      </c>
      <c r="AE31" s="58">
        <f>VLOOKUP(P31,Database!B:M,12,FALSE)</f>
        <v>46979</v>
      </c>
      <c r="AF31" t="str">
        <f>IF(P31=0," ",U31)</f>
        <v>Sala</v>
      </c>
      <c r="AG31" t="str">
        <f>IF(P31=0," ",V31)</f>
        <v>DavidAmanda</v>
      </c>
      <c r="AH31" t="str">
        <f>IF(P31=0," ",W31)</f>
        <v xml:space="preserve">data </v>
      </c>
      <c r="AI31" t="str">
        <f>IF(P31=0," ",X31)</f>
        <v>BES</v>
      </c>
      <c r="AJ31">
        <f>IF(P31=0," ",Y31)</f>
        <v>37874</v>
      </c>
      <c r="AK31" t="str">
        <f>IF(P31=0," ",Z31)</f>
        <v>Bucharest</v>
      </c>
      <c r="AL31" t="str">
        <f>IF(P31=0," ",AA31)</f>
        <v>F</v>
      </c>
      <c r="AM31" t="str">
        <f>IF(P31=0," ",AB31)</f>
        <v>PP</v>
      </c>
      <c r="AN31" t="str">
        <f>IF(P31=0," ",AC31)</f>
        <v>pz98V9YejR</v>
      </c>
      <c r="AO31" t="str">
        <f>IF(P31=0," ",AD31)</f>
        <v>BES</v>
      </c>
      <c r="AP31" s="58">
        <f>IF(P31=0," ",AE31)</f>
        <v>46979</v>
      </c>
      <c r="AQ31">
        <v>17</v>
      </c>
      <c r="AS31">
        <f>VLOOKUP(P31,Database!B:M,1,FALSE)</f>
        <v>17</v>
      </c>
      <c r="AT31" s="161">
        <f>VLOOKUP(P31,Database!B:Z,13,FALSE)</f>
        <v>0</v>
      </c>
      <c r="AU31" s="161">
        <f t="shared" ca="1" si="15"/>
        <v>44935</v>
      </c>
      <c r="AV31" s="161">
        <f>IF(P31=0,"",AT31)</f>
        <v>0</v>
      </c>
    </row>
    <row r="32" spans="2:48" ht="20.100000000000001" customHeight="1">
      <c r="B32" s="11">
        <f>IF(P32=0," ",AQ32)</f>
        <v>18</v>
      </c>
      <c r="C32" s="54" t="str">
        <f t="shared" si="17"/>
        <v>MacNevin</v>
      </c>
      <c r="D32" s="9" t="str">
        <f t="shared" si="18"/>
        <v>ApostolKanti</v>
      </c>
      <c r="E32" s="9" t="str">
        <f t="shared" si="28"/>
        <v>Surveyor</v>
      </c>
      <c r="F32" s="57" t="str">
        <f t="shared" si="25"/>
        <v>MAR</v>
      </c>
      <c r="G32" s="124">
        <f t="shared" si="25"/>
        <v>33612</v>
      </c>
      <c r="H32" s="260" t="str">
        <f t="shared" si="27"/>
        <v>Philadelphia</v>
      </c>
      <c r="I32" s="261"/>
      <c r="J32" s="130" t="str">
        <f t="shared" si="23"/>
        <v>F</v>
      </c>
      <c r="K32" s="131" t="str">
        <f t="shared" si="20"/>
        <v>PP</v>
      </c>
      <c r="L32" s="131" t="str">
        <f t="shared" si="13"/>
        <v>H3nnfEZZaB</v>
      </c>
      <c r="M32" s="129" t="str">
        <f t="shared" si="21"/>
        <v>MAR</v>
      </c>
      <c r="N32" s="126">
        <f t="shared" si="22"/>
        <v>47270</v>
      </c>
      <c r="O32" s="66"/>
      <c r="P32" s="122">
        <v>18</v>
      </c>
      <c r="Q32" s="142">
        <v>18</v>
      </c>
      <c r="R32" s="167">
        <f t="shared" si="14"/>
        <v>0</v>
      </c>
      <c r="U32" t="str">
        <f>VLOOKUP(P32,Database!B:M,2,FALSE)</f>
        <v>MacNevin</v>
      </c>
      <c r="V32" t="str">
        <f>VLOOKUP(P32,Database!B:M,3,FALSE)</f>
        <v>ApostolKanti</v>
      </c>
      <c r="W32" t="str">
        <f>VLOOKUP(P32,Database!B:M,4,FALSE)</f>
        <v>Surveyor</v>
      </c>
      <c r="X32" t="str">
        <f>VLOOKUP(P32,Database!B:M,5,FALSE)</f>
        <v>MAR</v>
      </c>
      <c r="Y32">
        <f>VLOOKUP(P32,Database!B:M,6,FALSE)</f>
        <v>33612</v>
      </c>
      <c r="Z32" t="str">
        <f>VLOOKUP(P32,Database!B:M,7,FALSE)</f>
        <v>Philadelphia</v>
      </c>
      <c r="AA32" t="str">
        <f>VLOOKUP(P32,Database!B:M,8,FALSE)</f>
        <v>F</v>
      </c>
      <c r="AB32" t="str">
        <f>VLOOKUP(P32,Database!B:M,9,FALSE)</f>
        <v>PP</v>
      </c>
      <c r="AC32" t="str">
        <f>VLOOKUP(P32,Database!B:M,10,FALSE)</f>
        <v>H3nnfEZZaB</v>
      </c>
      <c r="AD32" t="str">
        <f>VLOOKUP(P32,Database!B:M,11,FALSE)</f>
        <v>MAR</v>
      </c>
      <c r="AE32" s="58">
        <f>VLOOKUP(P32,Database!B:M,12,FALSE)</f>
        <v>47270</v>
      </c>
      <c r="AF32" t="str">
        <f>IF(P32=0," ",U32)</f>
        <v>MacNevin</v>
      </c>
      <c r="AG32" t="str">
        <f>IF(P32=0," ",V32)</f>
        <v>ApostolKanti</v>
      </c>
      <c r="AH32" t="str">
        <f>IF(P32=0," ",W32)</f>
        <v>Surveyor</v>
      </c>
      <c r="AI32" t="str">
        <f>IF(P32=0," ",X32)</f>
        <v>MAR</v>
      </c>
      <c r="AJ32">
        <f>IF(P32=0," ",Y32)</f>
        <v>33612</v>
      </c>
      <c r="AK32" t="str">
        <f>IF(P32=0," ",Z32)</f>
        <v>Philadelphia</v>
      </c>
      <c r="AL32" t="str">
        <f>IF(P32=0," ",AA32)</f>
        <v>F</v>
      </c>
      <c r="AM32" t="str">
        <f>IF(P32=0," ",AB32)</f>
        <v>PP</v>
      </c>
      <c r="AN32" t="str">
        <f>IF(P32=0," ",AC32)</f>
        <v>H3nnfEZZaB</v>
      </c>
      <c r="AO32" t="str">
        <f>IF(P32=0," ",AD32)</f>
        <v>MAR</v>
      </c>
      <c r="AP32" s="58">
        <f>IF(P32=0," ",AE32)</f>
        <v>47270</v>
      </c>
      <c r="AQ32">
        <v>18</v>
      </c>
      <c r="AS32">
        <f>VLOOKUP(P32,Database!B:M,1,FALSE)</f>
        <v>18</v>
      </c>
      <c r="AT32" s="161">
        <f>VLOOKUP(P32,Database!B:Z,13,FALSE)</f>
        <v>0</v>
      </c>
      <c r="AU32" s="161">
        <f t="shared" ca="1" si="15"/>
        <v>44935</v>
      </c>
      <c r="AV32" s="161">
        <f>IF(P32=0,"",AT32)</f>
        <v>0</v>
      </c>
    </row>
    <row r="33" spans="2:48" ht="20.100000000000001" customHeight="1">
      <c r="B33" s="11">
        <f t="shared" si="0"/>
        <v>19</v>
      </c>
      <c r="C33" s="54" t="str">
        <f t="shared" si="17"/>
        <v>Kauffmann</v>
      </c>
      <c r="D33" s="9" t="str">
        <f t="shared" si="18"/>
        <v>WłodekIina</v>
      </c>
      <c r="E33" s="54" t="str">
        <f t="shared" si="28"/>
        <v>Surveyor</v>
      </c>
      <c r="F33" s="57" t="str">
        <f t="shared" si="25"/>
        <v>NAM</v>
      </c>
      <c r="G33" s="124">
        <f t="shared" si="25"/>
        <v>20190</v>
      </c>
      <c r="H33" s="260" t="str">
        <f t="shared" si="27"/>
        <v>Guayaquil</v>
      </c>
      <c r="I33" s="261"/>
      <c r="J33" s="132" t="str">
        <f t="shared" si="23"/>
        <v>M</v>
      </c>
      <c r="K33" s="131" t="str">
        <f t="shared" si="20"/>
        <v>PP</v>
      </c>
      <c r="L33" s="131" t="str">
        <f t="shared" si="13"/>
        <v>dQNZA5MA6U</v>
      </c>
      <c r="M33" s="129" t="str">
        <f t="shared" si="21"/>
        <v>NAM</v>
      </c>
      <c r="N33" s="126">
        <f t="shared" si="22"/>
        <v>48414</v>
      </c>
      <c r="O33" s="66"/>
      <c r="P33" s="122">
        <v>19</v>
      </c>
      <c r="Q33" s="142">
        <v>19</v>
      </c>
      <c r="R33" s="167">
        <f t="shared" si="14"/>
        <v>0</v>
      </c>
      <c r="U33" t="str">
        <f>VLOOKUP(P33,Database!B:M,2,FALSE)</f>
        <v>Kauffmann</v>
      </c>
      <c r="V33" t="str">
        <f>VLOOKUP(P33,Database!B:M,3,FALSE)</f>
        <v>WłodekIina</v>
      </c>
      <c r="W33" t="str">
        <f>VLOOKUP(P33,Database!B:M,4,FALSE)</f>
        <v>Surveyor</v>
      </c>
      <c r="X33" t="str">
        <f>VLOOKUP(P33,Database!B:M,5,FALSE)</f>
        <v>NAM</v>
      </c>
      <c r="Y33">
        <f>VLOOKUP(P33,Database!B:M,6,FALSE)</f>
        <v>20190</v>
      </c>
      <c r="Z33" t="str">
        <f>VLOOKUP(P33,Database!B:M,7,FALSE)</f>
        <v>Guayaquil</v>
      </c>
      <c r="AA33" t="str">
        <f>VLOOKUP(P33,Database!B:M,8,FALSE)</f>
        <v>M</v>
      </c>
      <c r="AB33" t="str">
        <f>VLOOKUP(P33,Database!B:M,9,FALSE)</f>
        <v>PP</v>
      </c>
      <c r="AC33" t="str">
        <f>VLOOKUP(P33,Database!B:M,10,FALSE)</f>
        <v>dQNZA5MA6U</v>
      </c>
      <c r="AD33" t="str">
        <f>VLOOKUP(P33,Database!B:M,11,FALSE)</f>
        <v>NAM</v>
      </c>
      <c r="AE33" s="58">
        <f>VLOOKUP(P33,Database!B:M,12,FALSE)</f>
        <v>48414</v>
      </c>
      <c r="AF33" t="str">
        <f t="shared" si="2"/>
        <v>Kauffmann</v>
      </c>
      <c r="AG33" t="str">
        <f t="shared" si="3"/>
        <v>WłodekIina</v>
      </c>
      <c r="AH33" t="str">
        <f t="shared" si="4"/>
        <v>Surveyor</v>
      </c>
      <c r="AI33" t="str">
        <f t="shared" si="5"/>
        <v>NAM</v>
      </c>
      <c r="AJ33">
        <f t="shared" si="6"/>
        <v>20190</v>
      </c>
      <c r="AK33" t="str">
        <f t="shared" si="7"/>
        <v>Guayaquil</v>
      </c>
      <c r="AL33" t="str">
        <f t="shared" si="8"/>
        <v>M</v>
      </c>
      <c r="AM33" t="str">
        <f t="shared" si="9"/>
        <v>PP</v>
      </c>
      <c r="AN33" t="str">
        <f t="shared" si="10"/>
        <v>dQNZA5MA6U</v>
      </c>
      <c r="AO33" t="str">
        <f t="shared" si="11"/>
        <v>NAM</v>
      </c>
      <c r="AP33" s="58">
        <f t="shared" si="12"/>
        <v>48414</v>
      </c>
      <c r="AQ33">
        <v>19</v>
      </c>
      <c r="AS33">
        <f>VLOOKUP(P33,Database!B:M,1,FALSE)</f>
        <v>19</v>
      </c>
      <c r="AT33" s="161">
        <f>VLOOKUP(P33,Database!B:Z,13,FALSE)</f>
        <v>0</v>
      </c>
      <c r="AU33" s="161">
        <f t="shared" ca="1" si="15"/>
        <v>44935</v>
      </c>
      <c r="AV33" s="161">
        <f t="shared" si="16"/>
        <v>0</v>
      </c>
    </row>
    <row r="34" spans="2:48" ht="20.100000000000001" customHeight="1">
      <c r="B34" s="11">
        <f t="shared" ref="B34:B39" si="29">IF(P34=0," ",AQ34)</f>
        <v>20</v>
      </c>
      <c r="C34" s="54" t="str">
        <f t="shared" si="17"/>
        <v>Longo</v>
      </c>
      <c r="D34" s="9" t="str">
        <f t="shared" si="18"/>
        <v>SilvijaNisha</v>
      </c>
      <c r="E34" s="54" t="str">
        <f t="shared" si="28"/>
        <v>Data</v>
      </c>
      <c r="F34" s="57" t="str">
        <f t="shared" si="25"/>
        <v>TKM</v>
      </c>
      <c r="G34" s="124">
        <f t="shared" si="25"/>
        <v>19695</v>
      </c>
      <c r="H34" s="260" t="str">
        <f t="shared" si="27"/>
        <v>Busan</v>
      </c>
      <c r="I34" s="261"/>
      <c r="J34" s="130" t="str">
        <f t="shared" si="23"/>
        <v>M</v>
      </c>
      <c r="K34" s="131" t="str">
        <f t="shared" si="20"/>
        <v>PP</v>
      </c>
      <c r="L34" s="131" t="str">
        <f t="shared" si="13"/>
        <v>4D7npeDWRf</v>
      </c>
      <c r="M34" s="129" t="str">
        <f t="shared" si="21"/>
        <v>TKM</v>
      </c>
      <c r="N34" s="126">
        <f t="shared" si="22"/>
        <v>46411</v>
      </c>
      <c r="O34" s="66"/>
      <c r="P34" s="122">
        <v>20</v>
      </c>
      <c r="Q34" s="142">
        <v>20</v>
      </c>
      <c r="R34" s="167">
        <f t="shared" si="14"/>
        <v>0</v>
      </c>
      <c r="U34" t="str">
        <f>VLOOKUP(P34,Database!B:M,2,FALSE)</f>
        <v>Longo</v>
      </c>
      <c r="V34" t="str">
        <f>VLOOKUP(P34,Database!B:M,3,FALSE)</f>
        <v>SilvijaNisha</v>
      </c>
      <c r="W34" t="str">
        <f>VLOOKUP(P34,Database!B:M,4,FALSE)</f>
        <v>Data</v>
      </c>
      <c r="X34" t="str">
        <f>VLOOKUP(P34,Database!B:M,5,FALSE)</f>
        <v>TKM</v>
      </c>
      <c r="Y34">
        <f>VLOOKUP(P34,Database!B:M,6,FALSE)</f>
        <v>19695</v>
      </c>
      <c r="Z34" t="str">
        <f>VLOOKUP(P34,Database!B:M,7,FALSE)</f>
        <v>Busan</v>
      </c>
      <c r="AA34" t="str">
        <f>VLOOKUP(P34,Database!B:M,8,FALSE)</f>
        <v>M</v>
      </c>
      <c r="AB34" t="str">
        <f>VLOOKUP(P34,Database!B:M,9,FALSE)</f>
        <v>PP</v>
      </c>
      <c r="AC34" t="str">
        <f>VLOOKUP(P34,Database!B:M,10,FALSE)</f>
        <v>4D7npeDWRf</v>
      </c>
      <c r="AD34" t="str">
        <f>VLOOKUP(P34,Database!B:M,11,FALSE)</f>
        <v>TKM</v>
      </c>
      <c r="AE34" s="58">
        <f>VLOOKUP(P34,Database!B:M,12,FALSE)</f>
        <v>46411</v>
      </c>
      <c r="AF34" t="str">
        <f t="shared" ref="AF34:AF39" si="30">IF(P34=0," ",U34)</f>
        <v>Longo</v>
      </c>
      <c r="AG34" t="str">
        <f t="shared" ref="AG34:AG39" si="31">IF(P34=0," ",V34)</f>
        <v>SilvijaNisha</v>
      </c>
      <c r="AH34" t="str">
        <f t="shared" ref="AH34:AH39" si="32">IF(P34=0," ",W34)</f>
        <v>Data</v>
      </c>
      <c r="AI34" t="str">
        <f t="shared" ref="AI34:AI39" si="33">IF(P34=0," ",X34)</f>
        <v>TKM</v>
      </c>
      <c r="AJ34">
        <f t="shared" ref="AJ34:AJ39" si="34">IF(P34=0," ",Y34)</f>
        <v>19695</v>
      </c>
      <c r="AK34" t="str">
        <f t="shared" ref="AK34:AK39" si="35">IF(P34=0," ",Z34)</f>
        <v>Busan</v>
      </c>
      <c r="AL34" t="str">
        <f t="shared" ref="AL34:AL39" si="36">IF(P34=0," ",AA34)</f>
        <v>M</v>
      </c>
      <c r="AM34" t="str">
        <f t="shared" ref="AM34:AM39" si="37">IF(P34=0," ",AB34)</f>
        <v>PP</v>
      </c>
      <c r="AN34" t="str">
        <f t="shared" ref="AN34:AN39" si="38">IF(P34=0," ",AC34)</f>
        <v>4D7npeDWRf</v>
      </c>
      <c r="AO34" t="str">
        <f t="shared" ref="AO34:AO39" si="39">IF(P34=0," ",AD34)</f>
        <v>TKM</v>
      </c>
      <c r="AP34" s="58">
        <f t="shared" ref="AP34:AP39" si="40">IF(P34=0," ",AE34)</f>
        <v>46411</v>
      </c>
      <c r="AQ34">
        <v>20</v>
      </c>
      <c r="AS34">
        <f>VLOOKUP(P34,Database!B:M,1,FALSE)</f>
        <v>20</v>
      </c>
      <c r="AT34" s="161">
        <f>VLOOKUP(P34,Database!B:Z,13,FALSE)</f>
        <v>0</v>
      </c>
      <c r="AU34" s="161">
        <f t="shared" ca="1" si="15"/>
        <v>44935</v>
      </c>
      <c r="AV34" s="161">
        <f t="shared" ref="AV34:AV39" si="41">IF(P34=0,"",AT34)</f>
        <v>0</v>
      </c>
    </row>
    <row r="35" spans="2:48" ht="20.100000000000001" customHeight="1">
      <c r="B35" s="11">
        <f t="shared" si="29"/>
        <v>21</v>
      </c>
      <c r="C35" s="54" t="str">
        <f t="shared" si="17"/>
        <v>Amador</v>
      </c>
      <c r="D35" s="9" t="str">
        <f t="shared" si="18"/>
        <v>DaudZinat</v>
      </c>
      <c r="E35" s="54" t="str">
        <f t="shared" si="28"/>
        <v>Geo</v>
      </c>
      <c r="F35" s="57" t="str">
        <f t="shared" si="25"/>
        <v>TJK</v>
      </c>
      <c r="G35" s="124">
        <f t="shared" si="25"/>
        <v>23905</v>
      </c>
      <c r="H35" s="260" t="str">
        <f t="shared" si="27"/>
        <v>Zhengzhou</v>
      </c>
      <c r="I35" s="261"/>
      <c r="J35" s="132" t="str">
        <f t="shared" si="23"/>
        <v>F</v>
      </c>
      <c r="K35" s="131" t="str">
        <f t="shared" si="20"/>
        <v>PP</v>
      </c>
      <c r="L35" s="131" t="str">
        <f t="shared" si="13"/>
        <v>2E553AnFAJ</v>
      </c>
      <c r="M35" s="129" t="str">
        <f t="shared" si="21"/>
        <v>TJK</v>
      </c>
      <c r="N35" s="126">
        <f t="shared" si="22"/>
        <v>47987</v>
      </c>
      <c r="O35" s="66"/>
      <c r="P35" s="122">
        <v>21</v>
      </c>
      <c r="Q35" s="142">
        <v>21</v>
      </c>
      <c r="R35" s="167">
        <f t="shared" si="14"/>
        <v>0</v>
      </c>
      <c r="U35" t="str">
        <f>VLOOKUP(P35,Database!B:M,2,FALSE)</f>
        <v>Amador</v>
      </c>
      <c r="V35" t="str">
        <f>VLOOKUP(P35,Database!B:M,3,FALSE)</f>
        <v>DaudZinat</v>
      </c>
      <c r="W35" t="str">
        <f>VLOOKUP(P35,Database!B:M,4,FALSE)</f>
        <v>Geo</v>
      </c>
      <c r="X35" t="str">
        <f>VLOOKUP(P35,Database!B:M,5,FALSE)</f>
        <v>TJK</v>
      </c>
      <c r="Y35">
        <f>VLOOKUP(P35,Database!B:M,6,FALSE)</f>
        <v>23905</v>
      </c>
      <c r="Z35" t="str">
        <f>VLOOKUP(P35,Database!B:M,7,FALSE)</f>
        <v>Zhengzhou</v>
      </c>
      <c r="AA35" t="str">
        <f>VLOOKUP(P35,Database!B:M,8,FALSE)</f>
        <v>F</v>
      </c>
      <c r="AB35" t="str">
        <f>VLOOKUP(P35,Database!B:M,9,FALSE)</f>
        <v>PP</v>
      </c>
      <c r="AC35" t="str">
        <f>VLOOKUP(P35,Database!B:M,10,FALSE)</f>
        <v>2E553AnFAJ</v>
      </c>
      <c r="AD35" t="str">
        <f>VLOOKUP(P35,Database!B:M,11,FALSE)</f>
        <v>TJK</v>
      </c>
      <c r="AE35" s="58">
        <f>VLOOKUP(P35,Database!B:M,12,FALSE)</f>
        <v>47987</v>
      </c>
      <c r="AF35" t="str">
        <f t="shared" si="30"/>
        <v>Amador</v>
      </c>
      <c r="AG35" t="str">
        <f t="shared" si="31"/>
        <v>DaudZinat</v>
      </c>
      <c r="AH35" t="str">
        <f t="shared" si="32"/>
        <v>Geo</v>
      </c>
      <c r="AI35" t="str">
        <f t="shared" si="33"/>
        <v>TJK</v>
      </c>
      <c r="AJ35">
        <f t="shared" si="34"/>
        <v>23905</v>
      </c>
      <c r="AK35" t="str">
        <f t="shared" si="35"/>
        <v>Zhengzhou</v>
      </c>
      <c r="AL35" t="str">
        <f t="shared" si="36"/>
        <v>F</v>
      </c>
      <c r="AM35" t="str">
        <f t="shared" si="37"/>
        <v>PP</v>
      </c>
      <c r="AN35" t="str">
        <f t="shared" si="38"/>
        <v>2E553AnFAJ</v>
      </c>
      <c r="AO35" t="str">
        <f t="shared" si="39"/>
        <v>TJK</v>
      </c>
      <c r="AP35" s="58">
        <f t="shared" si="40"/>
        <v>47987</v>
      </c>
      <c r="AQ35">
        <v>21</v>
      </c>
      <c r="AS35">
        <f>VLOOKUP(P35,Database!B:M,1,FALSE)</f>
        <v>21</v>
      </c>
      <c r="AT35" s="161">
        <f>VLOOKUP(P35,Database!B:Z,13,FALSE)</f>
        <v>0</v>
      </c>
      <c r="AU35" s="161">
        <f t="shared" ca="1" si="15"/>
        <v>44935</v>
      </c>
      <c r="AV35" s="161">
        <f t="shared" si="41"/>
        <v>0</v>
      </c>
    </row>
    <row r="36" spans="2:48" ht="20.100000000000001" customHeight="1">
      <c r="B36" s="11">
        <f t="shared" si="29"/>
        <v>22</v>
      </c>
      <c r="C36" s="54" t="str">
        <f t="shared" si="17"/>
        <v>Braden</v>
      </c>
      <c r="D36" s="9" t="str">
        <f t="shared" si="18"/>
        <v>KaoruCosmas</v>
      </c>
      <c r="E36" s="54" t="str">
        <f t="shared" si="28"/>
        <v>Survey</v>
      </c>
      <c r="F36" s="57" t="str">
        <f t="shared" si="25"/>
        <v>ETH</v>
      </c>
      <c r="G36" s="124">
        <f t="shared" si="25"/>
        <v>30328</v>
      </c>
      <c r="H36" s="260" t="str">
        <f t="shared" si="27"/>
        <v>Tainan</v>
      </c>
      <c r="I36" s="261"/>
      <c r="J36" s="130" t="str">
        <f t="shared" si="23"/>
        <v>M</v>
      </c>
      <c r="K36" s="131" t="str">
        <f t="shared" si="20"/>
        <v>PP</v>
      </c>
      <c r="L36" s="131" t="str">
        <f t="shared" si="13"/>
        <v>MynubbJgHN</v>
      </c>
      <c r="M36" s="129" t="str">
        <f t="shared" si="21"/>
        <v>ETH</v>
      </c>
      <c r="N36" s="126">
        <f t="shared" si="22"/>
        <v>46943</v>
      </c>
      <c r="O36" s="66"/>
      <c r="P36" s="122">
        <v>22</v>
      </c>
      <c r="Q36" s="142">
        <v>22</v>
      </c>
      <c r="R36" s="167">
        <f t="shared" si="14"/>
        <v>0</v>
      </c>
      <c r="U36" t="str">
        <f>VLOOKUP(P36,Database!B:M,2,FALSE)</f>
        <v>Braden</v>
      </c>
      <c r="V36" t="str">
        <f>VLOOKUP(P36,Database!B:M,3,FALSE)</f>
        <v>KaoruCosmas</v>
      </c>
      <c r="W36" t="str">
        <f>VLOOKUP(P36,Database!B:M,4,FALSE)</f>
        <v>Survey</v>
      </c>
      <c r="X36" t="str">
        <f>VLOOKUP(P36,Database!B:M,5,FALSE)</f>
        <v>ETH</v>
      </c>
      <c r="Y36">
        <f>VLOOKUP(P36,Database!B:M,6,FALSE)</f>
        <v>30328</v>
      </c>
      <c r="Z36" t="str">
        <f>VLOOKUP(P36,Database!B:M,7,FALSE)</f>
        <v>Tainan</v>
      </c>
      <c r="AA36" t="str">
        <f>VLOOKUP(P36,Database!B:M,8,FALSE)</f>
        <v>M</v>
      </c>
      <c r="AB36" t="str">
        <f>VLOOKUP(P36,Database!B:M,9,FALSE)</f>
        <v>PP</v>
      </c>
      <c r="AC36" t="str">
        <f>VLOOKUP(P36,Database!B:M,10,FALSE)</f>
        <v>MynubbJgHN</v>
      </c>
      <c r="AD36" t="str">
        <f>VLOOKUP(P36,Database!B:M,11,FALSE)</f>
        <v>ETH</v>
      </c>
      <c r="AE36" s="58">
        <f>VLOOKUP(P36,Database!B:M,12,FALSE)</f>
        <v>46943</v>
      </c>
      <c r="AF36" t="str">
        <f t="shared" si="30"/>
        <v>Braden</v>
      </c>
      <c r="AG36" t="str">
        <f t="shared" si="31"/>
        <v>KaoruCosmas</v>
      </c>
      <c r="AH36" t="str">
        <f t="shared" si="32"/>
        <v>Survey</v>
      </c>
      <c r="AI36" t="str">
        <f t="shared" si="33"/>
        <v>ETH</v>
      </c>
      <c r="AJ36">
        <f t="shared" si="34"/>
        <v>30328</v>
      </c>
      <c r="AK36" t="str">
        <f t="shared" si="35"/>
        <v>Tainan</v>
      </c>
      <c r="AL36" t="str">
        <f t="shared" si="36"/>
        <v>M</v>
      </c>
      <c r="AM36" t="str">
        <f t="shared" si="37"/>
        <v>PP</v>
      </c>
      <c r="AN36" t="str">
        <f t="shared" si="38"/>
        <v>MynubbJgHN</v>
      </c>
      <c r="AO36" t="str">
        <f t="shared" si="39"/>
        <v>ETH</v>
      </c>
      <c r="AP36" s="58">
        <f t="shared" si="40"/>
        <v>46943</v>
      </c>
      <c r="AQ36">
        <v>22</v>
      </c>
      <c r="AS36">
        <f>VLOOKUP(P36,Database!B:M,1,FALSE)</f>
        <v>22</v>
      </c>
      <c r="AT36" s="161">
        <f>VLOOKUP(P36,Database!B:Z,13,FALSE)</f>
        <v>0</v>
      </c>
      <c r="AU36" s="161">
        <f t="shared" ca="1" si="15"/>
        <v>44935</v>
      </c>
      <c r="AV36" s="161">
        <f t="shared" si="41"/>
        <v>0</v>
      </c>
    </row>
    <row r="37" spans="2:48" ht="20.100000000000001" customHeight="1">
      <c r="B37" s="11">
        <f t="shared" si="29"/>
        <v>23</v>
      </c>
      <c r="C37" s="54" t="str">
        <f t="shared" si="17"/>
        <v>Iliescu</v>
      </c>
      <c r="D37" s="9" t="str">
        <f t="shared" si="18"/>
        <v>EmilianAgostinho</v>
      </c>
      <c r="E37" s="54" t="str">
        <f t="shared" si="28"/>
        <v>ROV</v>
      </c>
      <c r="F37" s="57" t="str">
        <f t="shared" si="25"/>
        <v>CZE</v>
      </c>
      <c r="G37" s="124">
        <f t="shared" si="25"/>
        <v>22398</v>
      </c>
      <c r="H37" s="260" t="str">
        <f t="shared" si="27"/>
        <v>Hong Kong</v>
      </c>
      <c r="I37" s="261"/>
      <c r="J37" s="132" t="str">
        <f t="shared" si="23"/>
        <v>M</v>
      </c>
      <c r="K37" s="131" t="str">
        <f t="shared" si="20"/>
        <v>PP</v>
      </c>
      <c r="L37" s="131" t="str">
        <f t="shared" si="13"/>
        <v>4yGzcVRn27</v>
      </c>
      <c r="M37" s="129" t="str">
        <f t="shared" si="21"/>
        <v>CZE</v>
      </c>
      <c r="N37" s="126">
        <f t="shared" si="22"/>
        <v>46553</v>
      </c>
      <c r="O37" s="66"/>
      <c r="P37" s="122">
        <v>23</v>
      </c>
      <c r="Q37" s="142">
        <v>23</v>
      </c>
      <c r="R37" s="167">
        <f t="shared" si="14"/>
        <v>0</v>
      </c>
      <c r="U37" t="str">
        <f>VLOOKUP(P37,Database!B:M,2,FALSE)</f>
        <v>Iliescu</v>
      </c>
      <c r="V37" t="str">
        <f>VLOOKUP(P37,Database!B:M,3,FALSE)</f>
        <v>EmilianAgostinho</v>
      </c>
      <c r="W37" t="str">
        <f>VLOOKUP(P37,Database!B:M,4,FALSE)</f>
        <v>ROV</v>
      </c>
      <c r="X37" t="str">
        <f>VLOOKUP(P37,Database!B:M,5,FALSE)</f>
        <v>CZE</v>
      </c>
      <c r="Y37">
        <f>VLOOKUP(P37,Database!B:M,6,FALSE)</f>
        <v>22398</v>
      </c>
      <c r="Z37" t="str">
        <f>VLOOKUP(P37,Database!B:M,7,FALSE)</f>
        <v>Hong Kong</v>
      </c>
      <c r="AA37" t="str">
        <f>VLOOKUP(P37,Database!B:M,8,FALSE)</f>
        <v>M</v>
      </c>
      <c r="AB37" t="str">
        <f>VLOOKUP(P37,Database!B:M,9,FALSE)</f>
        <v>PP</v>
      </c>
      <c r="AC37" t="str">
        <f>VLOOKUP(P37,Database!B:M,10,FALSE)</f>
        <v>4yGzcVRn27</v>
      </c>
      <c r="AD37" t="str">
        <f>VLOOKUP(P37,Database!B:M,11,FALSE)</f>
        <v>CZE</v>
      </c>
      <c r="AE37" s="58">
        <f>VLOOKUP(P37,Database!B:M,12,FALSE)</f>
        <v>46553</v>
      </c>
      <c r="AF37" t="str">
        <f t="shared" si="30"/>
        <v>Iliescu</v>
      </c>
      <c r="AG37" t="str">
        <f t="shared" si="31"/>
        <v>EmilianAgostinho</v>
      </c>
      <c r="AH37" t="str">
        <f t="shared" si="32"/>
        <v>ROV</v>
      </c>
      <c r="AI37" t="str">
        <f t="shared" si="33"/>
        <v>CZE</v>
      </c>
      <c r="AJ37">
        <f t="shared" si="34"/>
        <v>22398</v>
      </c>
      <c r="AK37" t="str">
        <f t="shared" si="35"/>
        <v>Hong Kong</v>
      </c>
      <c r="AL37" t="str">
        <f t="shared" si="36"/>
        <v>M</v>
      </c>
      <c r="AM37" t="str">
        <f t="shared" si="37"/>
        <v>PP</v>
      </c>
      <c r="AN37" t="str">
        <f t="shared" si="38"/>
        <v>4yGzcVRn27</v>
      </c>
      <c r="AO37" t="str">
        <f t="shared" si="39"/>
        <v>CZE</v>
      </c>
      <c r="AP37" s="58">
        <f t="shared" si="40"/>
        <v>46553</v>
      </c>
      <c r="AQ37">
        <v>23</v>
      </c>
      <c r="AS37">
        <f>VLOOKUP(P37,Database!B:M,1,FALSE)</f>
        <v>23</v>
      </c>
      <c r="AT37" s="161">
        <f>VLOOKUP(P37,Database!B:Z,13,FALSE)</f>
        <v>0</v>
      </c>
      <c r="AU37" s="161">
        <f t="shared" ca="1" si="15"/>
        <v>44935</v>
      </c>
      <c r="AV37" s="161">
        <f t="shared" si="41"/>
        <v>0</v>
      </c>
    </row>
    <row r="38" spans="2:48" ht="20.100000000000001" customHeight="1">
      <c r="B38" s="11">
        <f t="shared" si="29"/>
        <v>24</v>
      </c>
      <c r="C38" s="54" t="str">
        <f t="shared" si="17"/>
        <v>Christian</v>
      </c>
      <c r="D38" s="9" t="str">
        <f t="shared" si="18"/>
        <v>VilhjálmurTerje</v>
      </c>
      <c r="E38" s="9" t="str">
        <f t="shared" si="28"/>
        <v>ROV</v>
      </c>
      <c r="F38" s="57" t="str">
        <f t="shared" si="25"/>
        <v>FJI</v>
      </c>
      <c r="G38" s="124">
        <f t="shared" si="25"/>
        <v>32472</v>
      </c>
      <c r="H38" s="260" t="str">
        <f t="shared" si="27"/>
        <v>Fuzhou</v>
      </c>
      <c r="I38" s="261"/>
      <c r="J38" s="130" t="str">
        <f t="shared" si="23"/>
        <v>F</v>
      </c>
      <c r="K38" s="131" t="str">
        <f t="shared" si="20"/>
        <v>PP</v>
      </c>
      <c r="L38" s="131" t="str">
        <f t="shared" si="13"/>
        <v>uFqehB88At</v>
      </c>
      <c r="M38" s="129" t="str">
        <f t="shared" si="21"/>
        <v>FJI</v>
      </c>
      <c r="N38" s="126">
        <f t="shared" si="22"/>
        <v>47018</v>
      </c>
      <c r="O38" s="66"/>
      <c r="P38" s="122">
        <v>24</v>
      </c>
      <c r="Q38" s="142">
        <v>24</v>
      </c>
      <c r="R38" s="167">
        <f t="shared" si="14"/>
        <v>0</v>
      </c>
      <c r="U38" t="str">
        <f>VLOOKUP(P38,Database!B:M,2,FALSE)</f>
        <v>Christian</v>
      </c>
      <c r="V38" t="str">
        <f>VLOOKUP(P38,Database!B:M,3,FALSE)</f>
        <v>VilhjálmurTerje</v>
      </c>
      <c r="W38" t="str">
        <f>VLOOKUP(P38,Database!B:M,4,FALSE)</f>
        <v>ROV</v>
      </c>
      <c r="X38" t="str">
        <f>VLOOKUP(P38,Database!B:M,5,FALSE)</f>
        <v>FJI</v>
      </c>
      <c r="Y38">
        <f>VLOOKUP(P38,Database!B:M,6,FALSE)</f>
        <v>32472</v>
      </c>
      <c r="Z38" t="str">
        <f>VLOOKUP(P38,Database!B:M,7,FALSE)</f>
        <v>Fuzhou</v>
      </c>
      <c r="AA38" t="str">
        <f>VLOOKUP(P38,Database!B:M,8,FALSE)</f>
        <v>F</v>
      </c>
      <c r="AB38" t="str">
        <f>VLOOKUP(P38,Database!B:M,9,FALSE)</f>
        <v>PP</v>
      </c>
      <c r="AC38" t="str">
        <f>VLOOKUP(P38,Database!B:M,10,FALSE)</f>
        <v>uFqehB88At</v>
      </c>
      <c r="AD38" t="str">
        <f>VLOOKUP(P38,Database!B:M,11,FALSE)</f>
        <v>FJI</v>
      </c>
      <c r="AE38" s="58">
        <f>VLOOKUP(P38,Database!B:M,12,FALSE)</f>
        <v>47018</v>
      </c>
      <c r="AF38" t="str">
        <f t="shared" si="30"/>
        <v>Christian</v>
      </c>
      <c r="AG38" t="str">
        <f t="shared" si="31"/>
        <v>VilhjálmurTerje</v>
      </c>
      <c r="AH38" t="str">
        <f t="shared" si="32"/>
        <v>ROV</v>
      </c>
      <c r="AI38" t="str">
        <f t="shared" si="33"/>
        <v>FJI</v>
      </c>
      <c r="AJ38">
        <f t="shared" si="34"/>
        <v>32472</v>
      </c>
      <c r="AK38" t="str">
        <f t="shared" si="35"/>
        <v>Fuzhou</v>
      </c>
      <c r="AL38" t="str">
        <f t="shared" si="36"/>
        <v>F</v>
      </c>
      <c r="AM38" t="str">
        <f t="shared" si="37"/>
        <v>PP</v>
      </c>
      <c r="AN38" t="str">
        <f t="shared" si="38"/>
        <v>uFqehB88At</v>
      </c>
      <c r="AO38" t="str">
        <f t="shared" si="39"/>
        <v>FJI</v>
      </c>
      <c r="AP38" s="58">
        <f t="shared" si="40"/>
        <v>47018</v>
      </c>
      <c r="AQ38">
        <v>24</v>
      </c>
      <c r="AS38">
        <f>VLOOKUP(P38,Database!B:M,1,FALSE)</f>
        <v>24</v>
      </c>
      <c r="AT38" s="161">
        <f>VLOOKUP(P38,Database!B:Z,13,FALSE)</f>
        <v>0</v>
      </c>
      <c r="AU38" s="161">
        <f t="shared" ca="1" si="15"/>
        <v>44935</v>
      </c>
      <c r="AV38" s="161">
        <f t="shared" si="41"/>
        <v>0</v>
      </c>
    </row>
    <row r="39" spans="2:48" ht="20.100000000000001" customHeight="1">
      <c r="B39" s="11">
        <f t="shared" si="29"/>
        <v>25</v>
      </c>
      <c r="C39" s="54" t="str">
        <f t="shared" si="17"/>
        <v>Clark</v>
      </c>
      <c r="D39" s="9" t="str">
        <f t="shared" si="18"/>
        <v>LilliaAnte</v>
      </c>
      <c r="E39" s="9" t="str">
        <f t="shared" si="28"/>
        <v>ROV</v>
      </c>
      <c r="F39" s="57" t="str">
        <f t="shared" si="25"/>
        <v>SPM</v>
      </c>
      <c r="G39" s="124">
        <f t="shared" si="25"/>
        <v>37471</v>
      </c>
      <c r="H39" s="260" t="str">
        <f t="shared" si="27"/>
        <v>Harare</v>
      </c>
      <c r="I39" s="261"/>
      <c r="J39" s="132" t="str">
        <f t="shared" si="23"/>
        <v>F</v>
      </c>
      <c r="K39" s="131" t="str">
        <f t="shared" si="20"/>
        <v>PP</v>
      </c>
      <c r="L39" s="131" t="str">
        <f t="shared" si="13"/>
        <v>dt83pMJrUE</v>
      </c>
      <c r="M39" s="129" t="str">
        <f t="shared" si="21"/>
        <v>SPM</v>
      </c>
      <c r="N39" s="126">
        <f t="shared" si="22"/>
        <v>47887</v>
      </c>
      <c r="O39" s="66"/>
      <c r="P39" s="122">
        <v>25</v>
      </c>
      <c r="Q39" s="142">
        <v>25</v>
      </c>
      <c r="R39" s="167">
        <f t="shared" si="14"/>
        <v>0</v>
      </c>
      <c r="U39" t="str">
        <f>VLOOKUP(P39,Database!B:M,2,FALSE)</f>
        <v>Clark</v>
      </c>
      <c r="V39" t="str">
        <f>VLOOKUP(P39,Database!B:M,3,FALSE)</f>
        <v>LilliaAnte</v>
      </c>
      <c r="W39" t="str">
        <f>VLOOKUP(P39,Database!B:M,4,FALSE)</f>
        <v>ROV</v>
      </c>
      <c r="X39" t="str">
        <f>VLOOKUP(P39,Database!B:M,5,FALSE)</f>
        <v>SPM</v>
      </c>
      <c r="Y39">
        <f>VLOOKUP(P39,Database!B:M,6,FALSE)</f>
        <v>37471</v>
      </c>
      <c r="Z39" t="str">
        <f>VLOOKUP(P39,Database!B:M,7,FALSE)</f>
        <v>Harare</v>
      </c>
      <c r="AA39" t="str">
        <f>VLOOKUP(P39,Database!B:M,8,FALSE)</f>
        <v>F</v>
      </c>
      <c r="AB39" t="str">
        <f>VLOOKUP(P39,Database!B:M,9,FALSE)</f>
        <v>PP</v>
      </c>
      <c r="AC39" t="str">
        <f>VLOOKUP(P39,Database!B:M,10,FALSE)</f>
        <v>dt83pMJrUE</v>
      </c>
      <c r="AD39" t="str">
        <f>VLOOKUP(P39,Database!B:M,11,FALSE)</f>
        <v>SPM</v>
      </c>
      <c r="AE39" s="58">
        <f>VLOOKUP(P39,Database!B:M,12,FALSE)</f>
        <v>47887</v>
      </c>
      <c r="AF39" t="str">
        <f t="shared" si="30"/>
        <v>Clark</v>
      </c>
      <c r="AG39" t="str">
        <f t="shared" si="31"/>
        <v>LilliaAnte</v>
      </c>
      <c r="AH39" t="str">
        <f t="shared" si="32"/>
        <v>ROV</v>
      </c>
      <c r="AI39" t="str">
        <f t="shared" si="33"/>
        <v>SPM</v>
      </c>
      <c r="AJ39">
        <f t="shared" si="34"/>
        <v>37471</v>
      </c>
      <c r="AK39" t="str">
        <f t="shared" si="35"/>
        <v>Harare</v>
      </c>
      <c r="AL39" t="str">
        <f t="shared" si="36"/>
        <v>F</v>
      </c>
      <c r="AM39" t="str">
        <f t="shared" si="37"/>
        <v>PP</v>
      </c>
      <c r="AN39" t="str">
        <f t="shared" si="38"/>
        <v>dt83pMJrUE</v>
      </c>
      <c r="AO39" t="str">
        <f t="shared" si="39"/>
        <v>SPM</v>
      </c>
      <c r="AP39" s="58">
        <f t="shared" si="40"/>
        <v>47887</v>
      </c>
      <c r="AQ39">
        <v>25</v>
      </c>
      <c r="AS39">
        <f>VLOOKUP(P39,Database!B:M,1,FALSE)</f>
        <v>25</v>
      </c>
      <c r="AT39" s="161">
        <f>VLOOKUP(P39,Database!B:Z,13,FALSE)</f>
        <v>0</v>
      </c>
      <c r="AU39" s="161">
        <f t="shared" ca="1" si="15"/>
        <v>44935</v>
      </c>
      <c r="AV39" s="161">
        <f t="shared" si="41"/>
        <v>0</v>
      </c>
    </row>
    <row r="40" spans="2:48" ht="20.100000000000001" customHeight="1">
      <c r="B40" s="11">
        <f t="shared" si="0"/>
        <v>26</v>
      </c>
      <c r="C40" s="54" t="str">
        <f t="shared" si="17"/>
        <v>Spini</v>
      </c>
      <c r="D40" s="9" t="str">
        <f t="shared" si="18"/>
        <v>IdirAbiola</v>
      </c>
      <c r="E40" s="9" t="str">
        <f t="shared" si="28"/>
        <v>ROV Sup</v>
      </c>
      <c r="F40" s="57" t="str">
        <f t="shared" si="25"/>
        <v>GUY</v>
      </c>
      <c r="G40" s="124">
        <f t="shared" si="25"/>
        <v>23335</v>
      </c>
      <c r="H40" s="260" t="str">
        <f t="shared" si="27"/>
        <v>Kampala</v>
      </c>
      <c r="I40" s="261"/>
      <c r="J40" s="130" t="str">
        <f t="shared" si="23"/>
        <v>M</v>
      </c>
      <c r="K40" s="131" t="str">
        <f t="shared" si="20"/>
        <v>PP</v>
      </c>
      <c r="L40" s="131" t="str">
        <f t="shared" si="13"/>
        <v>6xFAL79VwC</v>
      </c>
      <c r="M40" s="129" t="str">
        <f t="shared" si="21"/>
        <v>GUY</v>
      </c>
      <c r="N40" s="126">
        <f t="shared" si="22"/>
        <v>47022</v>
      </c>
      <c r="O40" s="66"/>
      <c r="P40" s="122">
        <v>26</v>
      </c>
      <c r="Q40" s="142">
        <v>26</v>
      </c>
      <c r="R40" s="167">
        <f t="shared" si="14"/>
        <v>0</v>
      </c>
      <c r="U40" t="str">
        <f>VLOOKUP(P40,Database!B:M,2,FALSE)</f>
        <v>Spini</v>
      </c>
      <c r="V40" t="str">
        <f>VLOOKUP(P40,Database!B:M,3,FALSE)</f>
        <v>IdirAbiola</v>
      </c>
      <c r="W40" t="str">
        <f>VLOOKUP(P40,Database!B:M,4,FALSE)</f>
        <v>ROV Sup</v>
      </c>
      <c r="X40" t="str">
        <f>VLOOKUP(P40,Database!B:M,5,FALSE)</f>
        <v>GUY</v>
      </c>
      <c r="Y40">
        <f>VLOOKUP(P40,Database!B:M,6,FALSE)</f>
        <v>23335</v>
      </c>
      <c r="Z40" t="str">
        <f>VLOOKUP(P40,Database!B:M,7,FALSE)</f>
        <v>Kampala</v>
      </c>
      <c r="AA40" t="str">
        <f>VLOOKUP(P40,Database!B:M,8,FALSE)</f>
        <v>M</v>
      </c>
      <c r="AB40" t="str">
        <f>VLOOKUP(P40,Database!B:M,9,FALSE)</f>
        <v>PP</v>
      </c>
      <c r="AC40" t="str">
        <f>VLOOKUP(P40,Database!B:M,10,FALSE)</f>
        <v>6xFAL79VwC</v>
      </c>
      <c r="AD40" t="str">
        <f>VLOOKUP(P40,Database!B:M,11,FALSE)</f>
        <v>GUY</v>
      </c>
      <c r="AE40" s="58">
        <f>VLOOKUP(P40,Database!B:M,12,FALSE)</f>
        <v>47022</v>
      </c>
      <c r="AF40" t="str">
        <f t="shared" si="2"/>
        <v>Spini</v>
      </c>
      <c r="AG40" t="str">
        <f t="shared" si="3"/>
        <v>IdirAbiola</v>
      </c>
      <c r="AH40" t="str">
        <f t="shared" si="4"/>
        <v>ROV Sup</v>
      </c>
      <c r="AI40" t="str">
        <f t="shared" si="5"/>
        <v>GUY</v>
      </c>
      <c r="AJ40">
        <f t="shared" si="6"/>
        <v>23335</v>
      </c>
      <c r="AK40" t="str">
        <f t="shared" si="7"/>
        <v>Kampala</v>
      </c>
      <c r="AL40" t="str">
        <f t="shared" si="8"/>
        <v>M</v>
      </c>
      <c r="AM40" t="str">
        <f t="shared" si="9"/>
        <v>PP</v>
      </c>
      <c r="AN40" t="str">
        <f t="shared" si="10"/>
        <v>6xFAL79VwC</v>
      </c>
      <c r="AO40" t="str">
        <f t="shared" si="11"/>
        <v>GUY</v>
      </c>
      <c r="AP40" s="58">
        <f t="shared" si="12"/>
        <v>47022</v>
      </c>
      <c r="AQ40">
        <v>26</v>
      </c>
      <c r="AS40">
        <f>VLOOKUP(P40,Database!B:M,1,FALSE)</f>
        <v>26</v>
      </c>
      <c r="AT40" s="161">
        <f>VLOOKUP(P40,Database!B:Z,13,FALSE)</f>
        <v>0</v>
      </c>
      <c r="AU40" s="161">
        <f t="shared" ca="1" si="15"/>
        <v>44935</v>
      </c>
      <c r="AV40" s="161">
        <f t="shared" si="16"/>
        <v>0</v>
      </c>
    </row>
    <row r="41" spans="2:48" ht="20.100000000000001" customHeight="1">
      <c r="B41" s="11">
        <f>IF(P41=0," ",AQ41)</f>
        <v>27</v>
      </c>
      <c r="C41" s="54" t="str">
        <f t="shared" si="17"/>
        <v>Alessi</v>
      </c>
      <c r="D41" s="9" t="str">
        <f t="shared" si="18"/>
        <v>AuroraAmonet</v>
      </c>
      <c r="E41" s="9" t="str">
        <f t="shared" si="28"/>
        <v>UXO</v>
      </c>
      <c r="F41" s="57" t="str">
        <f t="shared" si="25"/>
        <v>MHL</v>
      </c>
      <c r="G41" s="124">
        <f t="shared" si="25"/>
        <v>21407</v>
      </c>
      <c r="H41" s="260" t="str">
        <f t="shared" si="27"/>
        <v>Kuala Lumpur</v>
      </c>
      <c r="I41" s="261"/>
      <c r="J41" s="132" t="str">
        <f t="shared" si="23"/>
        <v>M</v>
      </c>
      <c r="K41" s="131" t="str">
        <f t="shared" si="20"/>
        <v>PP</v>
      </c>
      <c r="L41" s="131" t="str">
        <f t="shared" si="13"/>
        <v>BPFPFALjJS</v>
      </c>
      <c r="M41" s="129" t="str">
        <f t="shared" si="21"/>
        <v>MHL</v>
      </c>
      <c r="N41" s="126">
        <f t="shared" si="22"/>
        <v>47304</v>
      </c>
      <c r="O41" s="66"/>
      <c r="P41" s="122">
        <v>27</v>
      </c>
      <c r="Q41" s="142">
        <v>27</v>
      </c>
      <c r="R41" s="167">
        <f t="shared" si="14"/>
        <v>0</v>
      </c>
      <c r="U41" t="str">
        <f>VLOOKUP(P41,Database!B:M,2,FALSE)</f>
        <v>Alessi</v>
      </c>
      <c r="V41" t="str">
        <f>VLOOKUP(P41,Database!B:M,3,FALSE)</f>
        <v>AuroraAmonet</v>
      </c>
      <c r="W41" t="str">
        <f>VLOOKUP(P41,Database!B:M,4,FALSE)</f>
        <v>UXO</v>
      </c>
      <c r="X41" t="str">
        <f>VLOOKUP(P41,Database!B:M,5,FALSE)</f>
        <v>MHL</v>
      </c>
      <c r="Y41">
        <f>VLOOKUP(P41,Database!B:M,6,FALSE)</f>
        <v>21407</v>
      </c>
      <c r="Z41" t="str">
        <f>VLOOKUP(P41,Database!B:M,7,FALSE)</f>
        <v>Kuala Lumpur</v>
      </c>
      <c r="AA41" t="str">
        <f>VLOOKUP(P41,Database!B:M,8,FALSE)</f>
        <v>M</v>
      </c>
      <c r="AB41" t="str">
        <f>VLOOKUP(P41,Database!B:M,9,FALSE)</f>
        <v>PP</v>
      </c>
      <c r="AC41" t="str">
        <f>VLOOKUP(P41,Database!B:M,10,FALSE)</f>
        <v>BPFPFALjJS</v>
      </c>
      <c r="AD41" t="str">
        <f>VLOOKUP(P41,Database!B:M,11,FALSE)</f>
        <v>MHL</v>
      </c>
      <c r="AE41" s="58">
        <f>VLOOKUP(P41,Database!B:M,12,FALSE)</f>
        <v>47304</v>
      </c>
      <c r="AF41" t="str">
        <f>IF(P41=0," ",U41)</f>
        <v>Alessi</v>
      </c>
      <c r="AG41" t="str">
        <f>IF(P41=0," ",V41)</f>
        <v>AuroraAmonet</v>
      </c>
      <c r="AH41" t="str">
        <f>IF(P41=0," ",W41)</f>
        <v>UXO</v>
      </c>
      <c r="AI41" t="str">
        <f>IF(P41=0," ",X41)</f>
        <v>MHL</v>
      </c>
      <c r="AJ41">
        <f>IF(P41=0," ",Y41)</f>
        <v>21407</v>
      </c>
      <c r="AK41" t="str">
        <f>IF(P41=0," ",Z41)</f>
        <v>Kuala Lumpur</v>
      </c>
      <c r="AL41" t="str">
        <f>IF(P41=0," ",AA41)</f>
        <v>M</v>
      </c>
      <c r="AM41" t="str">
        <f>IF(P41=0," ",AB41)</f>
        <v>PP</v>
      </c>
      <c r="AN41" t="str">
        <f>IF(P41=0," ",AC41)</f>
        <v>BPFPFALjJS</v>
      </c>
      <c r="AO41" t="str">
        <f>IF(P41=0," ",AD41)</f>
        <v>MHL</v>
      </c>
      <c r="AP41" s="58">
        <f>IF(P41=0," ",AE41)</f>
        <v>47304</v>
      </c>
      <c r="AQ41">
        <v>27</v>
      </c>
      <c r="AS41">
        <f>VLOOKUP(P41,Database!B:M,1,FALSE)</f>
        <v>27</v>
      </c>
      <c r="AT41" s="161">
        <f>VLOOKUP(P41,Database!B:Z,13,FALSE)</f>
        <v>0</v>
      </c>
      <c r="AU41" s="161">
        <f t="shared" ca="1" si="15"/>
        <v>44935</v>
      </c>
      <c r="AV41" s="161">
        <f>IF(P41=0,"",AT41)</f>
        <v>0</v>
      </c>
    </row>
    <row r="42" spans="2:48" ht="20.100000000000001" customHeight="1">
      <c r="B42" s="11">
        <f>IF(P42=0," ",AQ42)</f>
        <v>28</v>
      </c>
      <c r="C42" s="54" t="str">
        <f t="shared" si="17"/>
        <v>Macek</v>
      </c>
      <c r="D42" s="9" t="str">
        <f t="shared" si="18"/>
        <v>LudwigTakuya</v>
      </c>
      <c r="E42" s="9" t="str">
        <f t="shared" si="28"/>
        <v>Client</v>
      </c>
      <c r="F42" s="57" t="str">
        <f t="shared" si="25"/>
        <v>MDV</v>
      </c>
      <c r="G42" s="124">
        <f t="shared" si="25"/>
        <v>24881</v>
      </c>
      <c r="H42" s="260" t="str">
        <f t="shared" si="27"/>
        <v>Seoul</v>
      </c>
      <c r="I42" s="261"/>
      <c r="J42" s="130" t="str">
        <f t="shared" si="23"/>
        <v>M</v>
      </c>
      <c r="K42" s="131" t="str">
        <f t="shared" si="20"/>
        <v>PP</v>
      </c>
      <c r="L42" s="131" t="str">
        <f t="shared" si="13"/>
        <v>jJbAjxW2zq</v>
      </c>
      <c r="M42" s="129" t="str">
        <f t="shared" si="21"/>
        <v>MDV</v>
      </c>
      <c r="N42" s="126">
        <f t="shared" si="22"/>
        <v>46672</v>
      </c>
      <c r="O42" s="66"/>
      <c r="P42" s="122">
        <v>28</v>
      </c>
      <c r="Q42" s="142">
        <v>28</v>
      </c>
      <c r="R42" s="167">
        <f t="shared" si="14"/>
        <v>0</v>
      </c>
      <c r="U42" t="str">
        <f>VLOOKUP(P42,Database!B:M,2,FALSE)</f>
        <v>Macek</v>
      </c>
      <c r="V42" t="str">
        <f>VLOOKUP(P42,Database!B:M,3,FALSE)</f>
        <v>LudwigTakuya</v>
      </c>
      <c r="W42" t="str">
        <f>VLOOKUP(P42,Database!B:M,4,FALSE)</f>
        <v>Client</v>
      </c>
      <c r="X42" t="str">
        <f>VLOOKUP(P42,Database!B:M,5,FALSE)</f>
        <v>MDV</v>
      </c>
      <c r="Y42">
        <f>VLOOKUP(P42,Database!B:M,6,FALSE)</f>
        <v>24881</v>
      </c>
      <c r="Z42" t="str">
        <f>VLOOKUP(P42,Database!B:M,7,FALSE)</f>
        <v>Seoul</v>
      </c>
      <c r="AA42" t="str">
        <f>VLOOKUP(P42,Database!B:M,8,FALSE)</f>
        <v>M</v>
      </c>
      <c r="AB42" t="str">
        <f>VLOOKUP(P42,Database!B:M,9,FALSE)</f>
        <v>PP</v>
      </c>
      <c r="AC42" t="str">
        <f>VLOOKUP(P42,Database!B:M,10,FALSE)</f>
        <v>jJbAjxW2zq</v>
      </c>
      <c r="AD42" t="str">
        <f>VLOOKUP(P42,Database!B:M,11,FALSE)</f>
        <v>MDV</v>
      </c>
      <c r="AE42" s="58">
        <f>VLOOKUP(P42,Database!B:M,12,FALSE)</f>
        <v>46672</v>
      </c>
      <c r="AF42" t="str">
        <f>IF(P42=0," ",U42)</f>
        <v>Macek</v>
      </c>
      <c r="AG42" t="str">
        <f>IF(P42=0," ",V42)</f>
        <v>LudwigTakuya</v>
      </c>
      <c r="AH42" t="str">
        <f>IF(P42=0," ",W42)</f>
        <v>Client</v>
      </c>
      <c r="AI42" t="str">
        <f>IF(P42=0," ",X42)</f>
        <v>MDV</v>
      </c>
      <c r="AJ42">
        <f>IF(P42=0," ",Y42)</f>
        <v>24881</v>
      </c>
      <c r="AK42" t="str">
        <f>IF(P42=0," ",Z42)</f>
        <v>Seoul</v>
      </c>
      <c r="AL42" t="str">
        <f>IF(P42=0," ",AA42)</f>
        <v>M</v>
      </c>
      <c r="AM42" t="str">
        <f>IF(P42=0," ",AB42)</f>
        <v>PP</v>
      </c>
      <c r="AN42" t="str">
        <f>IF(P42=0," ",AC42)</f>
        <v>jJbAjxW2zq</v>
      </c>
      <c r="AO42" t="str">
        <f>IF(P42=0," ",AD42)</f>
        <v>MDV</v>
      </c>
      <c r="AP42" s="58">
        <f>IF(P42=0," ",AE42)</f>
        <v>46672</v>
      </c>
      <c r="AQ42">
        <v>28</v>
      </c>
      <c r="AS42">
        <f>VLOOKUP(P42,Database!B:M,1,FALSE)</f>
        <v>28</v>
      </c>
      <c r="AT42" s="161">
        <f>VLOOKUP(P42,Database!B:Z,13,FALSE)</f>
        <v>0</v>
      </c>
      <c r="AU42" s="161">
        <f t="shared" ca="1" si="15"/>
        <v>44935</v>
      </c>
      <c r="AV42" s="161">
        <f>IF(P42=0,"",AT42)</f>
        <v>0</v>
      </c>
    </row>
    <row r="43" spans="2:48" ht="20.100000000000001" customHeight="1">
      <c r="B43" s="11">
        <f>IF(P43=0," ",AQ43)</f>
        <v>29</v>
      </c>
      <c r="C43" s="54" t="str">
        <f t="shared" si="17"/>
        <v>Curry</v>
      </c>
      <c r="D43" s="9" t="str">
        <f t="shared" si="18"/>
        <v>DawaAmie</v>
      </c>
      <c r="E43" s="9" t="str">
        <f t="shared" si="28"/>
        <v>UXO</v>
      </c>
      <c r="F43" s="57" t="str">
        <f t="shared" si="25"/>
        <v>TCA</v>
      </c>
      <c r="G43" s="124">
        <f t="shared" si="25"/>
        <v>34926</v>
      </c>
      <c r="H43" s="260" t="str">
        <f t="shared" si="27"/>
        <v>Algiers</v>
      </c>
      <c r="I43" s="261"/>
      <c r="J43" s="132" t="str">
        <f t="shared" si="23"/>
        <v>F</v>
      </c>
      <c r="K43" s="131" t="str">
        <f t="shared" si="20"/>
        <v>PP</v>
      </c>
      <c r="L43" s="131" t="str">
        <f t="shared" si="13"/>
        <v>HazmXtkPx7</v>
      </c>
      <c r="M43" s="129" t="str">
        <f t="shared" si="21"/>
        <v>TCA</v>
      </c>
      <c r="N43" s="126">
        <f t="shared" si="22"/>
        <v>46531</v>
      </c>
      <c r="O43" s="66"/>
      <c r="P43" s="122">
        <v>29</v>
      </c>
      <c r="Q43" s="142">
        <v>29</v>
      </c>
      <c r="R43" s="167">
        <f t="shared" si="14"/>
        <v>0</v>
      </c>
      <c r="U43" t="str">
        <f>VLOOKUP(P43,Database!B:M,2,FALSE)</f>
        <v>Curry</v>
      </c>
      <c r="V43" t="str">
        <f>VLOOKUP(P43,Database!B:M,3,FALSE)</f>
        <v>DawaAmie</v>
      </c>
      <c r="W43" t="str">
        <f>VLOOKUP(P43,Database!B:M,4,FALSE)</f>
        <v>UXO</v>
      </c>
      <c r="X43" t="str">
        <f>VLOOKUP(P43,Database!B:M,5,FALSE)</f>
        <v>TCA</v>
      </c>
      <c r="Y43">
        <f>VLOOKUP(P43,Database!B:M,6,FALSE)</f>
        <v>34926</v>
      </c>
      <c r="Z43" t="str">
        <f>VLOOKUP(P43,Database!B:M,7,FALSE)</f>
        <v>Algiers</v>
      </c>
      <c r="AA43" t="str">
        <f>VLOOKUP(P43,Database!B:M,8,FALSE)</f>
        <v>F</v>
      </c>
      <c r="AB43" t="str">
        <f>VLOOKUP(P43,Database!B:M,9,FALSE)</f>
        <v>PP</v>
      </c>
      <c r="AC43" t="str">
        <f>VLOOKUP(P43,Database!B:M,10,FALSE)</f>
        <v>HazmXtkPx7</v>
      </c>
      <c r="AD43" t="str">
        <f>VLOOKUP(P43,Database!B:M,11,FALSE)</f>
        <v>TCA</v>
      </c>
      <c r="AE43" s="58">
        <f>VLOOKUP(P43,Database!B:M,12,FALSE)</f>
        <v>46531</v>
      </c>
      <c r="AF43" t="str">
        <f>IF(P43=0," ",U43)</f>
        <v>Curry</v>
      </c>
      <c r="AG43" t="str">
        <f>IF(P43=0," ",V43)</f>
        <v>DawaAmie</v>
      </c>
      <c r="AH43" t="str">
        <f>IF(P43=0," ",W43)</f>
        <v>UXO</v>
      </c>
      <c r="AI43" t="str">
        <f>IF(P43=0," ",X43)</f>
        <v>TCA</v>
      </c>
      <c r="AJ43">
        <f>IF(P43=0," ",Y43)</f>
        <v>34926</v>
      </c>
      <c r="AK43" t="str">
        <f>IF(P43=0," ",Z43)</f>
        <v>Algiers</v>
      </c>
      <c r="AL43" t="str">
        <f>IF(P43=0," ",AA43)</f>
        <v>F</v>
      </c>
      <c r="AM43" t="str">
        <f>IF(P43=0," ",AB43)</f>
        <v>PP</v>
      </c>
      <c r="AN43" t="str">
        <f>IF(P43=0," ",AC43)</f>
        <v>HazmXtkPx7</v>
      </c>
      <c r="AO43" t="str">
        <f>IF(P43=0," ",AD43)</f>
        <v>TCA</v>
      </c>
      <c r="AP43" s="58">
        <f>IF(P43=0," ",AE43)</f>
        <v>46531</v>
      </c>
      <c r="AQ43">
        <v>29</v>
      </c>
      <c r="AS43">
        <f>VLOOKUP(P43,Database!B:M,1,FALSE)</f>
        <v>29</v>
      </c>
      <c r="AT43" s="161">
        <f>VLOOKUP(P43,Database!B:Z,13,FALSE)</f>
        <v>0</v>
      </c>
      <c r="AU43" s="161">
        <f t="shared" ca="1" si="15"/>
        <v>44935</v>
      </c>
      <c r="AV43" s="161">
        <f>IF(P43=0,"",AT43)</f>
        <v>0</v>
      </c>
    </row>
    <row r="44" spans="2:48" ht="20.100000000000001" customHeight="1">
      <c r="B44" s="11">
        <f>IF(P44=0," ",AQ44)</f>
        <v>30</v>
      </c>
      <c r="C44" s="54" t="str">
        <f t="shared" si="17"/>
        <v>Gwerder</v>
      </c>
      <c r="D44" s="9" t="str">
        <f t="shared" si="18"/>
        <v>MileJuliana</v>
      </c>
      <c r="E44" s="9" t="str">
        <f t="shared" si="28"/>
        <v>UXO</v>
      </c>
      <c r="F44" s="57" t="str">
        <f t="shared" si="25"/>
        <v>MDG</v>
      </c>
      <c r="G44" s="124">
        <f t="shared" si="25"/>
        <v>36766</v>
      </c>
      <c r="H44" s="260" t="str">
        <f t="shared" si="27"/>
        <v>Caracas</v>
      </c>
      <c r="I44" s="261"/>
      <c r="J44" s="130" t="str">
        <f t="shared" si="23"/>
        <v>F</v>
      </c>
      <c r="K44" s="131" t="str">
        <f t="shared" si="20"/>
        <v>PP</v>
      </c>
      <c r="L44" s="131" t="str">
        <f t="shared" si="13"/>
        <v>URgATaEsgN</v>
      </c>
      <c r="M44" s="129" t="str">
        <f t="shared" si="21"/>
        <v>MDG</v>
      </c>
      <c r="N44" s="126">
        <f t="shared" si="22"/>
        <v>47040</v>
      </c>
      <c r="O44" s="66"/>
      <c r="P44" s="122">
        <v>30</v>
      </c>
      <c r="Q44" s="142">
        <v>30</v>
      </c>
      <c r="R44" s="167">
        <f t="shared" si="14"/>
        <v>0</v>
      </c>
      <c r="U44" t="str">
        <f>VLOOKUP(P44,Database!B:M,2,FALSE)</f>
        <v>Gwerder</v>
      </c>
      <c r="V44" t="str">
        <f>VLOOKUP(P44,Database!B:M,3,FALSE)</f>
        <v>MileJuliana</v>
      </c>
      <c r="W44" t="str">
        <f>VLOOKUP(P44,Database!B:M,4,FALSE)</f>
        <v>UXO</v>
      </c>
      <c r="X44" t="str">
        <f>VLOOKUP(P44,Database!B:M,5,FALSE)</f>
        <v>MDG</v>
      </c>
      <c r="Y44">
        <f>VLOOKUP(P44,Database!B:M,6,FALSE)</f>
        <v>36766</v>
      </c>
      <c r="Z44" t="str">
        <f>VLOOKUP(P44,Database!B:M,7,FALSE)</f>
        <v>Caracas</v>
      </c>
      <c r="AA44" t="str">
        <f>VLOOKUP(P44,Database!B:M,8,FALSE)</f>
        <v>F</v>
      </c>
      <c r="AB44" t="str">
        <f>VLOOKUP(P44,Database!B:M,9,FALSE)</f>
        <v>PP</v>
      </c>
      <c r="AC44" t="str">
        <f>VLOOKUP(P44,Database!B:M,10,FALSE)</f>
        <v>URgATaEsgN</v>
      </c>
      <c r="AD44" t="str">
        <f>VLOOKUP(P44,Database!B:M,11,FALSE)</f>
        <v>MDG</v>
      </c>
      <c r="AE44" s="58">
        <f>VLOOKUP(P44,Database!B:M,12,FALSE)</f>
        <v>47040</v>
      </c>
      <c r="AF44" t="str">
        <f>IF(P44=0," ",U44)</f>
        <v>Gwerder</v>
      </c>
      <c r="AG44" t="str">
        <f>IF(P44=0," ",V44)</f>
        <v>MileJuliana</v>
      </c>
      <c r="AH44" t="str">
        <f>IF(P44=0," ",W44)</f>
        <v>UXO</v>
      </c>
      <c r="AI44" t="str">
        <f>IF(P44=0," ",X44)</f>
        <v>MDG</v>
      </c>
      <c r="AJ44">
        <f>IF(P44=0," ",Y44)</f>
        <v>36766</v>
      </c>
      <c r="AK44" t="str">
        <f>IF(P44=0," ",Z44)</f>
        <v>Caracas</v>
      </c>
      <c r="AL44" t="str">
        <f>IF(P44=0," ",AA44)</f>
        <v>F</v>
      </c>
      <c r="AM44" t="str">
        <f>IF(P44=0," ",AB44)</f>
        <v>PP</v>
      </c>
      <c r="AN44" t="str">
        <f>IF(P44=0," ",AC44)</f>
        <v>URgATaEsgN</v>
      </c>
      <c r="AO44" t="str">
        <f>IF(P44=0," ",AD44)</f>
        <v>MDG</v>
      </c>
      <c r="AP44" s="58">
        <f>IF(P44=0," ",AE44)</f>
        <v>47040</v>
      </c>
      <c r="AQ44">
        <v>30</v>
      </c>
      <c r="AS44">
        <f>VLOOKUP(P44,Database!B:M,1,FALSE)</f>
        <v>30</v>
      </c>
      <c r="AT44" s="161">
        <f>VLOOKUP(P44,Database!B:Z,13,FALSE)</f>
        <v>0</v>
      </c>
      <c r="AU44" s="161">
        <f t="shared" ca="1" si="15"/>
        <v>44935</v>
      </c>
      <c r="AV44" s="161">
        <f>IF(P44=0,"",AT44)</f>
        <v>0</v>
      </c>
    </row>
    <row r="45" spans="2:48" ht="20.100000000000001" customHeight="1">
      <c r="B45" s="11" t="str">
        <f t="shared" si="0"/>
        <v xml:space="preserve"> </v>
      </c>
      <c r="C45" s="54" t="str">
        <f t="shared" si="17"/>
        <v xml:space="preserve"> </v>
      </c>
      <c r="D45" s="9" t="str">
        <f t="shared" si="18"/>
        <v xml:space="preserve"> </v>
      </c>
      <c r="E45" s="9" t="str">
        <f t="shared" si="28"/>
        <v xml:space="preserve"> </v>
      </c>
      <c r="F45" s="57" t="str">
        <f t="shared" si="25"/>
        <v xml:space="preserve"> </v>
      </c>
      <c r="G45" s="124" t="str">
        <f t="shared" si="25"/>
        <v xml:space="preserve"> </v>
      </c>
      <c r="H45" s="260" t="str">
        <f t="shared" si="27"/>
        <v xml:space="preserve"> </v>
      </c>
      <c r="I45" s="261"/>
      <c r="J45" s="132" t="str">
        <f t="shared" si="23"/>
        <v xml:space="preserve"> </v>
      </c>
      <c r="K45" s="131" t="str">
        <f t="shared" si="20"/>
        <v xml:space="preserve"> </v>
      </c>
      <c r="L45" s="131" t="str">
        <f t="shared" si="13"/>
        <v xml:space="preserve"> </v>
      </c>
      <c r="M45" s="129" t="str">
        <f t="shared" si="21"/>
        <v xml:space="preserve"> </v>
      </c>
      <c r="N45" s="126" t="str">
        <f t="shared" si="22"/>
        <v xml:space="preserve"> </v>
      </c>
      <c r="O45" s="66"/>
      <c r="P45" s="122"/>
      <c r="Q45" s="142">
        <v>31</v>
      </c>
      <c r="R45" s="167" t="str">
        <f t="shared" si="14"/>
        <v/>
      </c>
      <c r="U45" t="e">
        <f>VLOOKUP(P45,Database!B:M,2,FALSE)</f>
        <v>#N/A</v>
      </c>
      <c r="V45" t="e">
        <f>VLOOKUP(P45,Database!B:M,3,FALSE)</f>
        <v>#N/A</v>
      </c>
      <c r="W45" t="e">
        <f>VLOOKUP(P45,Database!B:M,4,FALSE)</f>
        <v>#N/A</v>
      </c>
      <c r="X45" t="e">
        <f>VLOOKUP(P45,Database!B:M,5,FALSE)</f>
        <v>#N/A</v>
      </c>
      <c r="Y45" t="e">
        <f>VLOOKUP(P45,Database!B:M,6,FALSE)</f>
        <v>#N/A</v>
      </c>
      <c r="Z45" t="e">
        <f>VLOOKUP(P45,Database!B:M,7,FALSE)</f>
        <v>#N/A</v>
      </c>
      <c r="AA45" t="e">
        <f>VLOOKUP(P45,Database!B:M,8,FALSE)</f>
        <v>#N/A</v>
      </c>
      <c r="AB45" t="e">
        <f>VLOOKUP(P45,Database!B:M,9,FALSE)</f>
        <v>#N/A</v>
      </c>
      <c r="AC45" t="e">
        <f>VLOOKUP(P45,Database!B:M,10,FALSE)</f>
        <v>#N/A</v>
      </c>
      <c r="AD45" t="e">
        <f>VLOOKUP(P45,Database!B:M,11,FALSE)</f>
        <v>#N/A</v>
      </c>
      <c r="AE45" s="58" t="e">
        <f>VLOOKUP(P45,Database!B:M,12,FALSE)</f>
        <v>#N/A</v>
      </c>
      <c r="AF45" t="str">
        <f t="shared" si="2"/>
        <v xml:space="preserve"> </v>
      </c>
      <c r="AG45" t="str">
        <f t="shared" si="3"/>
        <v xml:space="preserve"> </v>
      </c>
      <c r="AH45" t="str">
        <f t="shared" si="4"/>
        <v xml:space="preserve"> </v>
      </c>
      <c r="AI45" t="str">
        <f t="shared" si="5"/>
        <v xml:space="preserve"> </v>
      </c>
      <c r="AJ45" t="str">
        <f t="shared" si="6"/>
        <v xml:space="preserve"> </v>
      </c>
      <c r="AK45" t="str">
        <f t="shared" si="7"/>
        <v xml:space="preserve"> </v>
      </c>
      <c r="AL45" t="str">
        <f t="shared" si="8"/>
        <v xml:space="preserve"> </v>
      </c>
      <c r="AM45" t="str">
        <f t="shared" si="9"/>
        <v xml:space="preserve"> </v>
      </c>
      <c r="AN45" t="str">
        <f t="shared" si="10"/>
        <v xml:space="preserve"> </v>
      </c>
      <c r="AO45" t="str">
        <f t="shared" si="11"/>
        <v xml:space="preserve"> </v>
      </c>
      <c r="AP45" s="58" t="str">
        <f t="shared" si="12"/>
        <v xml:space="preserve"> </v>
      </c>
      <c r="AQ45">
        <v>31</v>
      </c>
      <c r="AS45" t="e">
        <f>VLOOKUP(P45,Database!B:M,1,FALSE)</f>
        <v>#N/A</v>
      </c>
      <c r="AT45" s="161" t="e">
        <f>VLOOKUP(P45,Database!B:Z,13,FALSE)</f>
        <v>#N/A</v>
      </c>
      <c r="AU45" s="161">
        <f t="shared" ca="1" si="15"/>
        <v>44935</v>
      </c>
      <c r="AV45" s="161" t="str">
        <f t="shared" si="16"/>
        <v/>
      </c>
    </row>
    <row r="46" spans="2:48" ht="20.100000000000001" customHeight="1">
      <c r="B46" s="11" t="str">
        <f>IF(P46=0," ",AQ46)</f>
        <v xml:space="preserve"> </v>
      </c>
      <c r="C46" s="54" t="str">
        <f t="shared" si="17"/>
        <v xml:space="preserve"> </v>
      </c>
      <c r="D46" s="9" t="str">
        <f t="shared" si="18"/>
        <v xml:space="preserve"> </v>
      </c>
      <c r="E46" s="9" t="str">
        <f t="shared" si="28"/>
        <v xml:space="preserve"> </v>
      </c>
      <c r="F46" s="57" t="str">
        <f t="shared" si="25"/>
        <v xml:space="preserve"> </v>
      </c>
      <c r="G46" s="124" t="str">
        <f t="shared" si="25"/>
        <v xml:space="preserve"> </v>
      </c>
      <c r="H46" s="260" t="str">
        <f t="shared" si="27"/>
        <v xml:space="preserve"> </v>
      </c>
      <c r="I46" s="261"/>
      <c r="J46" s="130" t="str">
        <f t="shared" si="23"/>
        <v xml:space="preserve"> </v>
      </c>
      <c r="K46" s="131" t="str">
        <f t="shared" si="20"/>
        <v xml:space="preserve"> </v>
      </c>
      <c r="L46" s="131" t="str">
        <f t="shared" si="13"/>
        <v xml:space="preserve"> </v>
      </c>
      <c r="M46" s="129" t="str">
        <f t="shared" si="21"/>
        <v xml:space="preserve"> </v>
      </c>
      <c r="N46" s="126" t="str">
        <f t="shared" si="22"/>
        <v xml:space="preserve"> </v>
      </c>
      <c r="O46" s="66"/>
      <c r="P46" s="122"/>
      <c r="Q46" s="142">
        <v>32</v>
      </c>
      <c r="R46" s="167" t="str">
        <f t="shared" si="14"/>
        <v/>
      </c>
      <c r="U46" t="e">
        <f>VLOOKUP(P46,Database!B:M,2,FALSE)</f>
        <v>#N/A</v>
      </c>
      <c r="V46" t="e">
        <f>VLOOKUP(P46,Database!B:M,3,FALSE)</f>
        <v>#N/A</v>
      </c>
      <c r="W46" t="e">
        <f>VLOOKUP(P46,Database!B:M,4,FALSE)</f>
        <v>#N/A</v>
      </c>
      <c r="X46" t="e">
        <f>VLOOKUP(P46,Database!B:M,5,FALSE)</f>
        <v>#N/A</v>
      </c>
      <c r="Y46" t="e">
        <f>VLOOKUP(P46,Database!B:M,6,FALSE)</f>
        <v>#N/A</v>
      </c>
      <c r="Z46" t="e">
        <f>VLOOKUP(P46,Database!B:M,7,FALSE)</f>
        <v>#N/A</v>
      </c>
      <c r="AA46" t="e">
        <f>VLOOKUP(P46,Database!B:M,8,FALSE)</f>
        <v>#N/A</v>
      </c>
      <c r="AB46" t="e">
        <f>VLOOKUP(P46,Database!B:M,9,FALSE)</f>
        <v>#N/A</v>
      </c>
      <c r="AC46" t="e">
        <f>VLOOKUP(P46,Database!B:M,10,FALSE)</f>
        <v>#N/A</v>
      </c>
      <c r="AD46" t="e">
        <f>VLOOKUP(P46,Database!B:M,11,FALSE)</f>
        <v>#N/A</v>
      </c>
      <c r="AE46" s="58" t="e">
        <f>VLOOKUP(P46,Database!B:M,12,FALSE)</f>
        <v>#N/A</v>
      </c>
      <c r="AF46" t="str">
        <f>IF(P46=0," ",U46)</f>
        <v xml:space="preserve"> </v>
      </c>
      <c r="AG46" t="str">
        <f>IF(P46=0," ",V46)</f>
        <v xml:space="preserve"> </v>
      </c>
      <c r="AH46" t="str">
        <f>IF(P46=0," ",W46)</f>
        <v xml:space="preserve"> </v>
      </c>
      <c r="AI46" t="str">
        <f>IF(P46=0," ",X46)</f>
        <v xml:space="preserve"> </v>
      </c>
      <c r="AJ46" t="str">
        <f>IF(P46=0," ",Y46)</f>
        <v xml:space="preserve"> </v>
      </c>
      <c r="AK46" t="str">
        <f>IF(P46=0," ",Z46)</f>
        <v xml:space="preserve"> </v>
      </c>
      <c r="AL46" t="str">
        <f>IF(P46=0," ",AA46)</f>
        <v xml:space="preserve"> </v>
      </c>
      <c r="AM46" t="str">
        <f>IF(P46=0," ",AB46)</f>
        <v xml:space="preserve"> </v>
      </c>
      <c r="AN46" t="str">
        <f>IF(P46=0," ",AC46)</f>
        <v xml:space="preserve"> </v>
      </c>
      <c r="AO46" t="str">
        <f>IF(P46=0," ",AD46)</f>
        <v xml:space="preserve"> </v>
      </c>
      <c r="AP46" s="58" t="str">
        <f>IF(P46=0," ",AE46)</f>
        <v xml:space="preserve"> </v>
      </c>
      <c r="AQ46">
        <v>32</v>
      </c>
      <c r="AS46" t="e">
        <f>VLOOKUP(P46,Database!B:M,1,FALSE)</f>
        <v>#N/A</v>
      </c>
      <c r="AT46" s="161" t="e">
        <f>VLOOKUP(P46,Database!B:Z,13,FALSE)</f>
        <v>#N/A</v>
      </c>
      <c r="AU46" s="161">
        <f t="shared" ca="1" si="15"/>
        <v>44935</v>
      </c>
      <c r="AV46" s="161" t="str">
        <f>IF(P46=0,"",AT46)</f>
        <v/>
      </c>
    </row>
    <row r="47" spans="2:48" ht="20.100000000000001" customHeight="1">
      <c r="B47" s="11" t="str">
        <f>IF(P47=0," ",AQ47)</f>
        <v xml:space="preserve"> </v>
      </c>
      <c r="C47" s="54" t="str">
        <f t="shared" si="17"/>
        <v xml:space="preserve"> </v>
      </c>
      <c r="D47" s="9" t="str">
        <f t="shared" si="18"/>
        <v xml:space="preserve"> </v>
      </c>
      <c r="E47" s="54" t="str">
        <f t="shared" si="28"/>
        <v xml:space="preserve"> </v>
      </c>
      <c r="F47" s="57" t="str">
        <f t="shared" si="25"/>
        <v xml:space="preserve"> </v>
      </c>
      <c r="G47" s="124" t="str">
        <f t="shared" si="25"/>
        <v xml:space="preserve"> </v>
      </c>
      <c r="H47" s="260" t="str">
        <f t="shared" si="27"/>
        <v xml:space="preserve"> </v>
      </c>
      <c r="I47" s="261"/>
      <c r="J47" s="132" t="str">
        <f t="shared" si="23"/>
        <v xml:space="preserve"> </v>
      </c>
      <c r="K47" s="131" t="str">
        <f t="shared" si="20"/>
        <v xml:space="preserve"> </v>
      </c>
      <c r="L47" s="131" t="str">
        <f t="shared" si="13"/>
        <v xml:space="preserve"> </v>
      </c>
      <c r="M47" s="129" t="str">
        <f t="shared" si="21"/>
        <v xml:space="preserve"> </v>
      </c>
      <c r="N47" s="126" t="str">
        <f t="shared" si="22"/>
        <v xml:space="preserve"> </v>
      </c>
      <c r="O47" s="66"/>
      <c r="P47" s="122"/>
      <c r="Q47" s="142">
        <v>33</v>
      </c>
      <c r="R47" s="167" t="str">
        <f t="shared" si="14"/>
        <v/>
      </c>
      <c r="U47" t="e">
        <f>VLOOKUP(P47,Database!B:M,2,FALSE)</f>
        <v>#N/A</v>
      </c>
      <c r="V47" t="e">
        <f>VLOOKUP(P47,Database!B:M,3,FALSE)</f>
        <v>#N/A</v>
      </c>
      <c r="W47" t="e">
        <f>VLOOKUP(P47,Database!B:M,4,FALSE)</f>
        <v>#N/A</v>
      </c>
      <c r="X47" t="e">
        <f>VLOOKUP(P47,Database!B:M,5,FALSE)</f>
        <v>#N/A</v>
      </c>
      <c r="Y47" t="e">
        <f>VLOOKUP(P47,Database!B:M,6,FALSE)</f>
        <v>#N/A</v>
      </c>
      <c r="Z47" t="e">
        <f>VLOOKUP(P47,Database!B:M,7,FALSE)</f>
        <v>#N/A</v>
      </c>
      <c r="AA47" t="e">
        <f>VLOOKUP(P47,Database!B:M,8,FALSE)</f>
        <v>#N/A</v>
      </c>
      <c r="AB47" t="e">
        <f>VLOOKUP(P47,Database!B:M,9,FALSE)</f>
        <v>#N/A</v>
      </c>
      <c r="AC47" t="e">
        <f>VLOOKUP(P47,Database!B:M,10,FALSE)</f>
        <v>#N/A</v>
      </c>
      <c r="AD47" t="e">
        <f>VLOOKUP(P47,Database!B:M,11,FALSE)</f>
        <v>#N/A</v>
      </c>
      <c r="AE47" s="58" t="e">
        <f>VLOOKUP(P47,Database!B:M,12,FALSE)</f>
        <v>#N/A</v>
      </c>
      <c r="AF47" t="str">
        <f>IF(P47=0," ",U47)</f>
        <v xml:space="preserve"> </v>
      </c>
      <c r="AG47" t="str">
        <f>IF(P47=0," ",V47)</f>
        <v xml:space="preserve"> </v>
      </c>
      <c r="AH47" t="str">
        <f>IF(P47=0," ",W47)</f>
        <v xml:space="preserve"> </v>
      </c>
      <c r="AI47" t="str">
        <f>IF(P47=0," ",X47)</f>
        <v xml:space="preserve"> </v>
      </c>
      <c r="AJ47" t="str">
        <f>IF(P47=0," ",Y47)</f>
        <v xml:space="preserve"> </v>
      </c>
      <c r="AK47" t="str">
        <f>IF(P47=0," ",Z47)</f>
        <v xml:space="preserve"> </v>
      </c>
      <c r="AL47" t="str">
        <f>IF(P47=0," ",AA47)</f>
        <v xml:space="preserve"> </v>
      </c>
      <c r="AM47" t="str">
        <f>IF(P47=0," ",AB47)</f>
        <v xml:space="preserve"> </v>
      </c>
      <c r="AN47" t="str">
        <f>IF(P47=0," ",AC47)</f>
        <v xml:space="preserve"> </v>
      </c>
      <c r="AO47" t="str">
        <f>IF(P47=0," ",AD47)</f>
        <v xml:space="preserve"> </v>
      </c>
      <c r="AP47" s="58" t="str">
        <f>IF(P47=0," ",AE47)</f>
        <v xml:space="preserve"> </v>
      </c>
      <c r="AQ47">
        <v>33</v>
      </c>
      <c r="AS47" t="e">
        <f>VLOOKUP(P47,Database!B:M,1,FALSE)</f>
        <v>#N/A</v>
      </c>
      <c r="AT47" s="161" t="e">
        <f>VLOOKUP(P47,Database!B:Z,13,FALSE)</f>
        <v>#N/A</v>
      </c>
      <c r="AU47" s="161">
        <f t="shared" ca="1" si="15"/>
        <v>44935</v>
      </c>
      <c r="AV47" s="161" t="str">
        <f>IF(P47=0,"",AT47)</f>
        <v/>
      </c>
    </row>
    <row r="48" spans="2:48" ht="20.100000000000001" customHeight="1">
      <c r="B48" s="11" t="str">
        <f t="shared" si="0"/>
        <v xml:space="preserve"> </v>
      </c>
      <c r="C48" s="54" t="str">
        <f t="shared" si="17"/>
        <v xml:space="preserve"> </v>
      </c>
      <c r="D48" s="9" t="str">
        <f t="shared" si="18"/>
        <v xml:space="preserve"> </v>
      </c>
      <c r="E48" s="9" t="str">
        <f t="shared" si="28"/>
        <v xml:space="preserve"> </v>
      </c>
      <c r="F48" s="57" t="str">
        <f t="shared" si="25"/>
        <v xml:space="preserve"> </v>
      </c>
      <c r="G48" s="124" t="str">
        <f t="shared" si="25"/>
        <v xml:space="preserve"> </v>
      </c>
      <c r="H48" s="260" t="str">
        <f t="shared" si="27"/>
        <v xml:space="preserve"> </v>
      </c>
      <c r="I48" s="261"/>
      <c r="J48" s="130" t="str">
        <f t="shared" si="23"/>
        <v xml:space="preserve"> </v>
      </c>
      <c r="K48" s="131" t="str">
        <f t="shared" si="20"/>
        <v xml:space="preserve"> </v>
      </c>
      <c r="L48" s="131" t="str">
        <f t="shared" si="13"/>
        <v xml:space="preserve"> </v>
      </c>
      <c r="M48" s="129" t="str">
        <f t="shared" si="21"/>
        <v xml:space="preserve"> </v>
      </c>
      <c r="N48" s="126" t="str">
        <f t="shared" si="22"/>
        <v xml:space="preserve"> </v>
      </c>
      <c r="O48" s="66"/>
      <c r="P48" s="122"/>
      <c r="Q48" s="142">
        <v>34</v>
      </c>
      <c r="R48" s="167" t="str">
        <f t="shared" si="14"/>
        <v/>
      </c>
      <c r="U48" t="e">
        <f>VLOOKUP(P48,Database!B:M,2,FALSE)</f>
        <v>#N/A</v>
      </c>
      <c r="V48" t="e">
        <f>VLOOKUP(P48,Database!B:M,3,FALSE)</f>
        <v>#N/A</v>
      </c>
      <c r="W48" t="e">
        <f>VLOOKUP(P48,Database!B:M,4,FALSE)</f>
        <v>#N/A</v>
      </c>
      <c r="X48" t="e">
        <f>VLOOKUP(P48,Database!B:M,5,FALSE)</f>
        <v>#N/A</v>
      </c>
      <c r="Y48" t="e">
        <f>VLOOKUP(P48,Database!B:M,6,FALSE)</f>
        <v>#N/A</v>
      </c>
      <c r="Z48" t="e">
        <f>VLOOKUP(P48,Database!B:M,7,FALSE)</f>
        <v>#N/A</v>
      </c>
      <c r="AA48" t="e">
        <f>VLOOKUP(P48,Database!B:M,8,FALSE)</f>
        <v>#N/A</v>
      </c>
      <c r="AB48" t="e">
        <f>VLOOKUP(P48,Database!B:M,9,FALSE)</f>
        <v>#N/A</v>
      </c>
      <c r="AC48" t="e">
        <f>VLOOKUP(P48,Database!B:M,10,FALSE)</f>
        <v>#N/A</v>
      </c>
      <c r="AD48" t="e">
        <f>VLOOKUP(P48,Database!B:M,11,FALSE)</f>
        <v>#N/A</v>
      </c>
      <c r="AE48" s="58" t="e">
        <f>VLOOKUP(P48,Database!B:M,12,FALSE)</f>
        <v>#N/A</v>
      </c>
      <c r="AF48" t="str">
        <f t="shared" si="2"/>
        <v xml:space="preserve"> </v>
      </c>
      <c r="AG48" t="str">
        <f t="shared" si="3"/>
        <v xml:space="preserve"> </v>
      </c>
      <c r="AH48" t="str">
        <f t="shared" si="4"/>
        <v xml:space="preserve"> </v>
      </c>
      <c r="AI48" t="str">
        <f t="shared" si="5"/>
        <v xml:space="preserve"> </v>
      </c>
      <c r="AJ48" t="str">
        <f t="shared" si="6"/>
        <v xml:space="preserve"> </v>
      </c>
      <c r="AK48" t="str">
        <f t="shared" si="7"/>
        <v xml:space="preserve"> </v>
      </c>
      <c r="AL48" t="str">
        <f t="shared" si="8"/>
        <v xml:space="preserve"> </v>
      </c>
      <c r="AM48" t="str">
        <f t="shared" si="9"/>
        <v xml:space="preserve"> </v>
      </c>
      <c r="AN48" t="str">
        <f t="shared" si="10"/>
        <v xml:space="preserve"> </v>
      </c>
      <c r="AO48" t="str">
        <f t="shared" si="11"/>
        <v xml:space="preserve"> </v>
      </c>
      <c r="AP48" s="58" t="str">
        <f t="shared" si="12"/>
        <v xml:space="preserve"> </v>
      </c>
      <c r="AQ48">
        <v>34</v>
      </c>
      <c r="AS48" t="e">
        <f>VLOOKUP(P48,Database!B:M,1,FALSE)</f>
        <v>#N/A</v>
      </c>
      <c r="AT48" s="161" t="e">
        <f>VLOOKUP(P48,Database!B:Z,13,FALSE)</f>
        <v>#N/A</v>
      </c>
      <c r="AU48" s="161">
        <f t="shared" ca="1" si="15"/>
        <v>44935</v>
      </c>
      <c r="AV48" s="161" t="str">
        <f t="shared" si="16"/>
        <v/>
      </c>
    </row>
    <row r="49" spans="2:48" ht="20.100000000000001" customHeight="1">
      <c r="B49" s="11" t="str">
        <f t="shared" si="0"/>
        <v xml:space="preserve"> </v>
      </c>
      <c r="C49" s="54" t="str">
        <f t="shared" si="17"/>
        <v xml:space="preserve"> </v>
      </c>
      <c r="D49" s="9" t="str">
        <f t="shared" si="18"/>
        <v xml:space="preserve"> </v>
      </c>
      <c r="E49" s="9" t="str">
        <f t="shared" si="28"/>
        <v xml:space="preserve"> </v>
      </c>
      <c r="F49" s="57" t="str">
        <f t="shared" si="25"/>
        <v xml:space="preserve"> </v>
      </c>
      <c r="G49" s="124" t="str">
        <f t="shared" si="25"/>
        <v xml:space="preserve"> </v>
      </c>
      <c r="H49" s="260" t="str">
        <f t="shared" si="27"/>
        <v xml:space="preserve"> </v>
      </c>
      <c r="I49" s="261"/>
      <c r="J49" s="132" t="str">
        <f t="shared" si="23"/>
        <v xml:space="preserve"> </v>
      </c>
      <c r="K49" s="131" t="str">
        <f t="shared" si="20"/>
        <v xml:space="preserve"> </v>
      </c>
      <c r="L49" s="131" t="str">
        <f t="shared" si="13"/>
        <v xml:space="preserve"> </v>
      </c>
      <c r="M49" s="129" t="str">
        <f t="shared" si="21"/>
        <v xml:space="preserve"> </v>
      </c>
      <c r="N49" s="126" t="str">
        <f t="shared" si="22"/>
        <v xml:space="preserve"> </v>
      </c>
      <c r="O49" s="66"/>
      <c r="P49" s="122"/>
      <c r="Q49" s="142">
        <v>35</v>
      </c>
      <c r="R49" s="167" t="str">
        <f t="shared" si="14"/>
        <v/>
      </c>
      <c r="U49" t="e">
        <f>VLOOKUP(P49,Database!B:M,2,FALSE)</f>
        <v>#N/A</v>
      </c>
      <c r="V49" t="e">
        <f>VLOOKUP(P49,Database!B:M,3,FALSE)</f>
        <v>#N/A</v>
      </c>
      <c r="W49" t="e">
        <f>VLOOKUP(P49,Database!B:M,4,FALSE)</f>
        <v>#N/A</v>
      </c>
      <c r="X49" t="e">
        <f>VLOOKUP(P49,Database!B:M,5,FALSE)</f>
        <v>#N/A</v>
      </c>
      <c r="Y49" t="e">
        <f>VLOOKUP(P49,Database!B:M,6,FALSE)</f>
        <v>#N/A</v>
      </c>
      <c r="Z49" t="e">
        <f>VLOOKUP(P49,Database!B:M,7,FALSE)</f>
        <v>#N/A</v>
      </c>
      <c r="AA49" t="e">
        <f>VLOOKUP(P49,Database!B:M,8,FALSE)</f>
        <v>#N/A</v>
      </c>
      <c r="AB49" t="e">
        <f>VLOOKUP(P49,Database!B:M,9,FALSE)</f>
        <v>#N/A</v>
      </c>
      <c r="AC49" t="e">
        <f>VLOOKUP(P49,Database!B:M,10,FALSE)</f>
        <v>#N/A</v>
      </c>
      <c r="AD49" t="e">
        <f>VLOOKUP(P49,Database!B:M,11,FALSE)</f>
        <v>#N/A</v>
      </c>
      <c r="AE49" s="58" t="e">
        <f>VLOOKUP(P49,Database!B:M,12,FALSE)</f>
        <v>#N/A</v>
      </c>
      <c r="AF49" t="str">
        <f t="shared" si="2"/>
        <v xml:space="preserve"> </v>
      </c>
      <c r="AG49" t="str">
        <f t="shared" si="3"/>
        <v xml:space="preserve"> </v>
      </c>
      <c r="AH49" t="str">
        <f t="shared" si="4"/>
        <v xml:space="preserve"> </v>
      </c>
      <c r="AI49" t="str">
        <f t="shared" si="5"/>
        <v xml:space="preserve"> </v>
      </c>
      <c r="AJ49" t="str">
        <f t="shared" si="6"/>
        <v xml:space="preserve"> </v>
      </c>
      <c r="AK49" t="str">
        <f t="shared" si="7"/>
        <v xml:space="preserve"> </v>
      </c>
      <c r="AL49" t="str">
        <f t="shared" si="8"/>
        <v xml:space="preserve"> </v>
      </c>
      <c r="AM49" t="str">
        <f t="shared" si="9"/>
        <v xml:space="preserve"> </v>
      </c>
      <c r="AN49" t="str">
        <f t="shared" si="10"/>
        <v xml:space="preserve"> </v>
      </c>
      <c r="AO49" t="str">
        <f t="shared" si="11"/>
        <v xml:space="preserve"> </v>
      </c>
      <c r="AP49" s="58" t="str">
        <f t="shared" si="12"/>
        <v xml:space="preserve"> </v>
      </c>
      <c r="AQ49">
        <v>35</v>
      </c>
      <c r="AS49" t="e">
        <f>VLOOKUP(P49,Database!B:M,1,FALSE)</f>
        <v>#N/A</v>
      </c>
      <c r="AT49" s="161" t="e">
        <f>VLOOKUP(P49,Database!B:Z,13,FALSE)</f>
        <v>#N/A</v>
      </c>
      <c r="AU49" s="161">
        <f t="shared" ca="1" si="15"/>
        <v>44935</v>
      </c>
      <c r="AV49" s="161" t="str">
        <f t="shared" si="16"/>
        <v/>
      </c>
    </row>
    <row r="50" spans="2:48" ht="20.100000000000001" customHeight="1">
      <c r="B50" s="11" t="str">
        <f t="shared" si="0"/>
        <v xml:space="preserve"> </v>
      </c>
      <c r="C50" s="54" t="str">
        <f t="shared" si="17"/>
        <v xml:space="preserve"> </v>
      </c>
      <c r="D50" s="9" t="str">
        <f t="shared" si="18"/>
        <v xml:space="preserve"> </v>
      </c>
      <c r="E50" s="9" t="str">
        <f t="shared" si="28"/>
        <v xml:space="preserve"> </v>
      </c>
      <c r="F50" s="57" t="str">
        <f t="shared" si="25"/>
        <v xml:space="preserve"> </v>
      </c>
      <c r="G50" s="124" t="str">
        <f t="shared" si="25"/>
        <v xml:space="preserve"> </v>
      </c>
      <c r="H50" s="260" t="str">
        <f t="shared" si="27"/>
        <v xml:space="preserve"> </v>
      </c>
      <c r="I50" s="261"/>
      <c r="J50" s="130" t="str">
        <f t="shared" si="23"/>
        <v xml:space="preserve"> </v>
      </c>
      <c r="K50" s="131" t="str">
        <f t="shared" si="20"/>
        <v xml:space="preserve"> </v>
      </c>
      <c r="L50" s="131" t="str">
        <f t="shared" si="13"/>
        <v xml:space="preserve"> </v>
      </c>
      <c r="M50" s="129" t="str">
        <f t="shared" si="21"/>
        <v xml:space="preserve"> </v>
      </c>
      <c r="N50" s="126" t="str">
        <f t="shared" si="22"/>
        <v xml:space="preserve"> </v>
      </c>
      <c r="O50" s="66"/>
      <c r="P50" s="122"/>
      <c r="Q50" s="142">
        <v>36</v>
      </c>
      <c r="R50" s="167" t="str">
        <f t="shared" si="14"/>
        <v/>
      </c>
      <c r="U50" t="e">
        <f>VLOOKUP(P50,Database!B:M,2,FALSE)</f>
        <v>#N/A</v>
      </c>
      <c r="V50" t="e">
        <f>VLOOKUP(P50,Database!B:M,3,FALSE)</f>
        <v>#N/A</v>
      </c>
      <c r="W50" t="e">
        <f>VLOOKUP(P50,Database!B:M,4,FALSE)</f>
        <v>#N/A</v>
      </c>
      <c r="X50" t="e">
        <f>VLOOKUP(P50,Database!B:M,5,FALSE)</f>
        <v>#N/A</v>
      </c>
      <c r="Y50" t="e">
        <f>VLOOKUP(P50,Database!B:M,6,FALSE)</f>
        <v>#N/A</v>
      </c>
      <c r="Z50" t="e">
        <f>VLOOKUP(P50,Database!B:M,7,FALSE)</f>
        <v>#N/A</v>
      </c>
      <c r="AA50" t="e">
        <f>VLOOKUP(P50,Database!B:M,8,FALSE)</f>
        <v>#N/A</v>
      </c>
      <c r="AB50" t="e">
        <f>VLOOKUP(P50,Database!B:M,9,FALSE)</f>
        <v>#N/A</v>
      </c>
      <c r="AC50" t="e">
        <f>VLOOKUP(P50,Database!B:M,10,FALSE)</f>
        <v>#N/A</v>
      </c>
      <c r="AD50" t="e">
        <f>VLOOKUP(P50,Database!B:M,11,FALSE)</f>
        <v>#N/A</v>
      </c>
      <c r="AE50" s="58" t="e">
        <f>VLOOKUP(P50,Database!B:M,12,FALSE)</f>
        <v>#N/A</v>
      </c>
      <c r="AF50" t="str">
        <f t="shared" si="2"/>
        <v xml:space="preserve"> </v>
      </c>
      <c r="AG50" t="str">
        <f t="shared" si="3"/>
        <v xml:space="preserve"> </v>
      </c>
      <c r="AH50" t="str">
        <f t="shared" si="4"/>
        <v xml:space="preserve"> </v>
      </c>
      <c r="AI50" t="str">
        <f t="shared" si="5"/>
        <v xml:space="preserve"> </v>
      </c>
      <c r="AJ50" t="str">
        <f t="shared" si="6"/>
        <v xml:space="preserve"> </v>
      </c>
      <c r="AK50" t="str">
        <f t="shared" si="7"/>
        <v xml:space="preserve"> </v>
      </c>
      <c r="AL50" t="str">
        <f t="shared" si="8"/>
        <v xml:space="preserve"> </v>
      </c>
      <c r="AM50" t="str">
        <f t="shared" si="9"/>
        <v xml:space="preserve"> </v>
      </c>
      <c r="AN50" t="str">
        <f t="shared" si="10"/>
        <v xml:space="preserve"> </v>
      </c>
      <c r="AO50" t="str">
        <f t="shared" si="11"/>
        <v xml:space="preserve"> </v>
      </c>
      <c r="AP50" s="58" t="str">
        <f t="shared" si="12"/>
        <v xml:space="preserve"> </v>
      </c>
      <c r="AQ50">
        <v>36</v>
      </c>
      <c r="AS50" t="e">
        <f>VLOOKUP(P50,Database!B:M,1,FALSE)</f>
        <v>#N/A</v>
      </c>
      <c r="AT50" s="161" t="e">
        <f>VLOOKUP(P50,Database!B:Z,13,FALSE)</f>
        <v>#N/A</v>
      </c>
      <c r="AU50" s="161">
        <f t="shared" ca="1" si="15"/>
        <v>44935</v>
      </c>
      <c r="AV50" s="161" t="str">
        <f t="shared" si="16"/>
        <v/>
      </c>
    </row>
    <row r="51" spans="2:48" ht="20.100000000000001" customHeight="1">
      <c r="B51" s="11" t="str">
        <f t="shared" si="0"/>
        <v xml:space="preserve"> </v>
      </c>
      <c r="C51" s="54" t="str">
        <f t="shared" si="17"/>
        <v xml:space="preserve"> </v>
      </c>
      <c r="D51" s="9" t="str">
        <f t="shared" si="18"/>
        <v xml:space="preserve"> </v>
      </c>
      <c r="E51" s="9" t="str">
        <f t="shared" si="28"/>
        <v xml:space="preserve"> </v>
      </c>
      <c r="F51" s="57" t="str">
        <f t="shared" si="25"/>
        <v xml:space="preserve"> </v>
      </c>
      <c r="G51" s="124" t="str">
        <f t="shared" si="25"/>
        <v xml:space="preserve"> </v>
      </c>
      <c r="H51" s="260" t="str">
        <f t="shared" si="27"/>
        <v xml:space="preserve"> </v>
      </c>
      <c r="I51" s="261"/>
      <c r="J51" s="132" t="str">
        <f t="shared" si="23"/>
        <v xml:space="preserve"> </v>
      </c>
      <c r="K51" s="131" t="str">
        <f t="shared" si="20"/>
        <v xml:space="preserve"> </v>
      </c>
      <c r="L51" s="131" t="str">
        <f t="shared" si="13"/>
        <v xml:space="preserve"> </v>
      </c>
      <c r="M51" s="129" t="str">
        <f t="shared" si="21"/>
        <v xml:space="preserve"> </v>
      </c>
      <c r="N51" s="126" t="str">
        <f t="shared" si="22"/>
        <v xml:space="preserve"> </v>
      </c>
      <c r="O51" s="66"/>
      <c r="P51" s="122"/>
      <c r="Q51" s="142">
        <v>37</v>
      </c>
      <c r="R51" s="167" t="str">
        <f t="shared" si="14"/>
        <v/>
      </c>
      <c r="U51" t="e">
        <f>VLOOKUP(P51,Database!B:M,2,FALSE)</f>
        <v>#N/A</v>
      </c>
      <c r="V51" t="e">
        <f>VLOOKUP(P51,Database!B:M,3,FALSE)</f>
        <v>#N/A</v>
      </c>
      <c r="W51" t="e">
        <f>VLOOKUP(P51,Database!B:M,4,FALSE)</f>
        <v>#N/A</v>
      </c>
      <c r="X51" t="e">
        <f>VLOOKUP(P51,Database!B:M,5,FALSE)</f>
        <v>#N/A</v>
      </c>
      <c r="Y51" t="e">
        <f>VLOOKUP(P51,Database!B:M,6,FALSE)</f>
        <v>#N/A</v>
      </c>
      <c r="Z51" t="e">
        <f>VLOOKUP(P51,Database!B:M,7,FALSE)</f>
        <v>#N/A</v>
      </c>
      <c r="AA51" t="e">
        <f>VLOOKUP(P51,Database!B:M,8,FALSE)</f>
        <v>#N/A</v>
      </c>
      <c r="AB51" t="e">
        <f>VLOOKUP(P51,Database!B:M,9,FALSE)</f>
        <v>#N/A</v>
      </c>
      <c r="AC51" t="e">
        <f>VLOOKUP(P51,Database!B:M,10,FALSE)</f>
        <v>#N/A</v>
      </c>
      <c r="AD51" t="e">
        <f>VLOOKUP(P51,Database!B:M,11,FALSE)</f>
        <v>#N/A</v>
      </c>
      <c r="AE51" s="58" t="e">
        <f>VLOOKUP(P51,Database!B:M,12,FALSE)</f>
        <v>#N/A</v>
      </c>
      <c r="AF51" t="str">
        <f t="shared" si="2"/>
        <v xml:space="preserve"> </v>
      </c>
      <c r="AG51" t="str">
        <f t="shared" si="3"/>
        <v xml:space="preserve"> </v>
      </c>
      <c r="AH51" t="str">
        <f t="shared" si="4"/>
        <v xml:space="preserve"> </v>
      </c>
      <c r="AI51" t="str">
        <f t="shared" si="5"/>
        <v xml:space="preserve"> </v>
      </c>
      <c r="AJ51" t="str">
        <f t="shared" si="6"/>
        <v xml:space="preserve"> </v>
      </c>
      <c r="AK51" t="str">
        <f t="shared" si="7"/>
        <v xml:space="preserve"> </v>
      </c>
      <c r="AL51" t="str">
        <f t="shared" si="8"/>
        <v xml:space="preserve"> </v>
      </c>
      <c r="AM51" t="str">
        <f t="shared" si="9"/>
        <v xml:space="preserve"> </v>
      </c>
      <c r="AN51" t="str">
        <f t="shared" si="10"/>
        <v xml:space="preserve"> </v>
      </c>
      <c r="AO51" t="str">
        <f t="shared" si="11"/>
        <v xml:space="preserve"> </v>
      </c>
      <c r="AP51" s="58" t="str">
        <f t="shared" si="12"/>
        <v xml:space="preserve"> </v>
      </c>
      <c r="AQ51">
        <v>37</v>
      </c>
      <c r="AS51" t="e">
        <f>VLOOKUP(P51,Database!B:M,1,FALSE)</f>
        <v>#N/A</v>
      </c>
      <c r="AT51" s="161" t="e">
        <f>VLOOKUP(P51,Database!B:Z,13,FALSE)</f>
        <v>#N/A</v>
      </c>
      <c r="AU51" s="161">
        <f t="shared" ca="1" si="15"/>
        <v>44935</v>
      </c>
      <c r="AV51" s="161" t="str">
        <f t="shared" si="16"/>
        <v/>
      </c>
    </row>
    <row r="52" spans="2:48" ht="20.100000000000001" customHeight="1">
      <c r="B52" s="11" t="str">
        <f>IF(P52=0," ",AQ52)</f>
        <v xml:space="preserve"> </v>
      </c>
      <c r="C52" s="54" t="str">
        <f t="shared" si="17"/>
        <v xml:space="preserve"> </v>
      </c>
      <c r="D52" s="9" t="str">
        <f t="shared" si="18"/>
        <v xml:space="preserve"> </v>
      </c>
      <c r="E52" s="9" t="str">
        <f t="shared" si="28"/>
        <v xml:space="preserve"> </v>
      </c>
      <c r="F52" s="57" t="str">
        <f t="shared" si="25"/>
        <v xml:space="preserve"> </v>
      </c>
      <c r="G52" s="124" t="str">
        <f t="shared" si="25"/>
        <v xml:space="preserve"> </v>
      </c>
      <c r="H52" s="260" t="str">
        <f t="shared" si="27"/>
        <v xml:space="preserve"> </v>
      </c>
      <c r="I52" s="261"/>
      <c r="J52" s="130" t="str">
        <f t="shared" si="23"/>
        <v xml:space="preserve"> </v>
      </c>
      <c r="K52" s="131" t="str">
        <f t="shared" si="20"/>
        <v xml:space="preserve"> </v>
      </c>
      <c r="L52" s="131" t="str">
        <f t="shared" si="13"/>
        <v xml:space="preserve"> </v>
      </c>
      <c r="M52" s="129" t="str">
        <f t="shared" si="21"/>
        <v xml:space="preserve"> </v>
      </c>
      <c r="N52" s="126" t="str">
        <f t="shared" si="22"/>
        <v xml:space="preserve"> </v>
      </c>
      <c r="O52" s="66"/>
      <c r="P52" s="122"/>
      <c r="Q52" s="142">
        <v>38</v>
      </c>
      <c r="R52" s="167" t="str">
        <f t="shared" si="14"/>
        <v/>
      </c>
      <c r="U52" t="e">
        <f>VLOOKUP(P52,Database!B:M,2,FALSE)</f>
        <v>#N/A</v>
      </c>
      <c r="V52" t="e">
        <f>VLOOKUP(P52,Database!B:M,3,FALSE)</f>
        <v>#N/A</v>
      </c>
      <c r="W52" t="e">
        <f>VLOOKUP(P52,Database!B:M,4,FALSE)</f>
        <v>#N/A</v>
      </c>
      <c r="X52" t="e">
        <f>VLOOKUP(P52,Database!B:M,5,FALSE)</f>
        <v>#N/A</v>
      </c>
      <c r="Y52" t="e">
        <f>VLOOKUP(P52,Database!B:M,6,FALSE)</f>
        <v>#N/A</v>
      </c>
      <c r="Z52" t="e">
        <f>VLOOKUP(P52,Database!B:M,7,FALSE)</f>
        <v>#N/A</v>
      </c>
      <c r="AA52" t="e">
        <f>VLOOKUP(P52,Database!B:M,8,FALSE)</f>
        <v>#N/A</v>
      </c>
      <c r="AB52" t="e">
        <f>VLOOKUP(P52,Database!B:M,9,FALSE)</f>
        <v>#N/A</v>
      </c>
      <c r="AC52" t="e">
        <f>VLOOKUP(P52,Database!B:M,10,FALSE)</f>
        <v>#N/A</v>
      </c>
      <c r="AD52" t="e">
        <f>VLOOKUP(P52,Database!B:M,11,FALSE)</f>
        <v>#N/A</v>
      </c>
      <c r="AE52" s="58" t="e">
        <f>VLOOKUP(P52,Database!B:M,12,FALSE)</f>
        <v>#N/A</v>
      </c>
      <c r="AF52" t="str">
        <f>IF(P52=0," ",U52)</f>
        <v xml:space="preserve"> </v>
      </c>
      <c r="AG52" t="str">
        <f>IF(P52=0," ",V52)</f>
        <v xml:space="preserve"> </v>
      </c>
      <c r="AH52" t="str">
        <f>IF(P52=0," ",W52)</f>
        <v xml:space="preserve"> </v>
      </c>
      <c r="AI52" t="str">
        <f>IF(P52=0," ",X52)</f>
        <v xml:space="preserve"> </v>
      </c>
      <c r="AJ52" t="str">
        <f>IF(P52=0," ",Y52)</f>
        <v xml:space="preserve"> </v>
      </c>
      <c r="AK52" t="str">
        <f>IF(P52=0," ",Z52)</f>
        <v xml:space="preserve"> </v>
      </c>
      <c r="AL52" t="str">
        <f>IF(P52=0," ",AA52)</f>
        <v xml:space="preserve"> </v>
      </c>
      <c r="AM52" t="str">
        <f>IF(P52=0," ",AB52)</f>
        <v xml:space="preserve"> </v>
      </c>
      <c r="AN52" t="str">
        <f>IF(P52=0," ",AC52)</f>
        <v xml:space="preserve"> </v>
      </c>
      <c r="AO52" t="str">
        <f>IF(P52=0," ",AD52)</f>
        <v xml:space="preserve"> </v>
      </c>
      <c r="AP52" s="58" t="str">
        <f>IF(P52=0," ",AE52)</f>
        <v xml:space="preserve"> </v>
      </c>
      <c r="AQ52">
        <v>38</v>
      </c>
      <c r="AS52" t="e">
        <f>VLOOKUP(P52,Database!B:M,1,FALSE)</f>
        <v>#N/A</v>
      </c>
      <c r="AT52" s="161" t="e">
        <f>VLOOKUP(P52,Database!B:Z,13,FALSE)</f>
        <v>#N/A</v>
      </c>
      <c r="AU52" s="161">
        <f t="shared" ca="1" si="15"/>
        <v>44935</v>
      </c>
      <c r="AV52" s="161" t="str">
        <f>IF(P52=0,"",AT52)</f>
        <v/>
      </c>
    </row>
    <row r="53" spans="2:48" ht="20.100000000000001" customHeight="1">
      <c r="B53" s="11" t="str">
        <f t="shared" si="0"/>
        <v xml:space="preserve"> </v>
      </c>
      <c r="C53" s="54" t="str">
        <f t="shared" si="17"/>
        <v xml:space="preserve"> </v>
      </c>
      <c r="D53" s="9" t="str">
        <f t="shared" si="18"/>
        <v xml:space="preserve"> </v>
      </c>
      <c r="E53" s="9" t="str">
        <f t="shared" si="28"/>
        <v xml:space="preserve"> </v>
      </c>
      <c r="F53" s="57" t="str">
        <f t="shared" si="25"/>
        <v xml:space="preserve"> </v>
      </c>
      <c r="G53" s="124" t="str">
        <f t="shared" si="25"/>
        <v xml:space="preserve"> </v>
      </c>
      <c r="H53" s="260" t="str">
        <f t="shared" si="27"/>
        <v xml:space="preserve"> </v>
      </c>
      <c r="I53" s="261"/>
      <c r="J53" s="132" t="str">
        <f t="shared" si="23"/>
        <v xml:space="preserve"> </v>
      </c>
      <c r="K53" s="131" t="str">
        <f t="shared" si="20"/>
        <v xml:space="preserve"> </v>
      </c>
      <c r="L53" s="131" t="str">
        <f t="shared" si="13"/>
        <v xml:space="preserve"> </v>
      </c>
      <c r="M53" s="129" t="str">
        <f t="shared" si="21"/>
        <v xml:space="preserve"> </v>
      </c>
      <c r="N53" s="126" t="str">
        <f t="shared" si="22"/>
        <v xml:space="preserve"> </v>
      </c>
      <c r="O53" s="66"/>
      <c r="P53" s="122"/>
      <c r="Q53" s="142">
        <v>39</v>
      </c>
      <c r="R53" s="167" t="str">
        <f t="shared" si="14"/>
        <v/>
      </c>
      <c r="U53" t="e">
        <f>VLOOKUP(P53,Database!B:M,2,FALSE)</f>
        <v>#N/A</v>
      </c>
      <c r="V53" t="e">
        <f>VLOOKUP(P53,Database!B:M,3,FALSE)</f>
        <v>#N/A</v>
      </c>
      <c r="W53" t="e">
        <f>VLOOKUP(P53,Database!B:M,4,FALSE)</f>
        <v>#N/A</v>
      </c>
      <c r="X53" t="e">
        <f>VLOOKUP(P53,Database!B:M,5,FALSE)</f>
        <v>#N/A</v>
      </c>
      <c r="Y53" t="e">
        <f>VLOOKUP(P53,Database!B:M,6,FALSE)</f>
        <v>#N/A</v>
      </c>
      <c r="Z53" t="e">
        <f>VLOOKUP(P53,Database!B:M,7,FALSE)</f>
        <v>#N/A</v>
      </c>
      <c r="AA53" t="e">
        <f>VLOOKUP(P53,Database!B:M,8,FALSE)</f>
        <v>#N/A</v>
      </c>
      <c r="AB53" t="e">
        <f>VLOOKUP(P53,Database!B:M,9,FALSE)</f>
        <v>#N/A</v>
      </c>
      <c r="AC53" t="e">
        <f>VLOOKUP(P53,Database!B:M,10,FALSE)</f>
        <v>#N/A</v>
      </c>
      <c r="AD53" t="e">
        <f>VLOOKUP(P53,Database!B:M,11,FALSE)</f>
        <v>#N/A</v>
      </c>
      <c r="AE53" s="58" t="e">
        <f>VLOOKUP(P53,Database!B:M,12,FALSE)</f>
        <v>#N/A</v>
      </c>
      <c r="AF53" t="str">
        <f t="shared" si="2"/>
        <v xml:space="preserve"> </v>
      </c>
      <c r="AG53" t="str">
        <f t="shared" si="3"/>
        <v xml:space="preserve"> </v>
      </c>
      <c r="AH53" t="str">
        <f t="shared" si="4"/>
        <v xml:space="preserve"> </v>
      </c>
      <c r="AI53" t="str">
        <f t="shared" si="5"/>
        <v xml:space="preserve"> </v>
      </c>
      <c r="AJ53" t="str">
        <f t="shared" si="6"/>
        <v xml:space="preserve"> </v>
      </c>
      <c r="AK53" t="str">
        <f t="shared" si="7"/>
        <v xml:space="preserve"> </v>
      </c>
      <c r="AL53" t="str">
        <f t="shared" si="8"/>
        <v xml:space="preserve"> </v>
      </c>
      <c r="AM53" t="str">
        <f t="shared" si="9"/>
        <v xml:space="preserve"> </v>
      </c>
      <c r="AN53" t="str">
        <f t="shared" si="10"/>
        <v xml:space="preserve"> </v>
      </c>
      <c r="AO53" t="str">
        <f t="shared" si="11"/>
        <v xml:space="preserve"> </v>
      </c>
      <c r="AP53" s="58" t="str">
        <f t="shared" si="12"/>
        <v xml:space="preserve"> </v>
      </c>
      <c r="AQ53">
        <v>39</v>
      </c>
      <c r="AS53" t="e">
        <f>VLOOKUP(P53,Database!B:M,1,FALSE)</f>
        <v>#N/A</v>
      </c>
      <c r="AT53" s="161" t="e">
        <f>VLOOKUP(P53,Database!B:Z,13,FALSE)</f>
        <v>#N/A</v>
      </c>
      <c r="AU53" s="161">
        <f t="shared" ca="1" si="15"/>
        <v>44935</v>
      </c>
      <c r="AV53" s="161" t="str">
        <f t="shared" si="16"/>
        <v/>
      </c>
    </row>
    <row r="54" spans="2:48" ht="20.100000000000001" customHeight="1">
      <c r="B54" s="11" t="str">
        <f t="shared" si="0"/>
        <v xml:space="preserve"> </v>
      </c>
      <c r="C54" s="54" t="str">
        <f t="shared" si="17"/>
        <v xml:space="preserve"> </v>
      </c>
      <c r="D54" s="9" t="str">
        <f t="shared" si="18"/>
        <v xml:space="preserve"> </v>
      </c>
      <c r="E54" s="9" t="str">
        <f t="shared" si="28"/>
        <v xml:space="preserve"> </v>
      </c>
      <c r="F54" s="57" t="str">
        <f t="shared" si="25"/>
        <v xml:space="preserve"> </v>
      </c>
      <c r="G54" s="124" t="str">
        <f t="shared" si="25"/>
        <v xml:space="preserve"> </v>
      </c>
      <c r="H54" s="260" t="str">
        <f t="shared" si="27"/>
        <v xml:space="preserve"> </v>
      </c>
      <c r="I54" s="261"/>
      <c r="J54" s="130" t="str">
        <f t="shared" si="23"/>
        <v xml:space="preserve"> </v>
      </c>
      <c r="K54" s="131" t="str">
        <f t="shared" si="20"/>
        <v xml:space="preserve"> </v>
      </c>
      <c r="L54" s="131" t="str">
        <f t="shared" si="13"/>
        <v xml:space="preserve"> </v>
      </c>
      <c r="M54" s="129" t="str">
        <f t="shared" si="21"/>
        <v xml:space="preserve"> </v>
      </c>
      <c r="N54" s="126" t="str">
        <f t="shared" si="22"/>
        <v xml:space="preserve"> </v>
      </c>
      <c r="O54" s="66"/>
      <c r="P54" s="122"/>
      <c r="Q54" s="142">
        <v>40</v>
      </c>
      <c r="R54" s="167" t="str">
        <f t="shared" si="14"/>
        <v/>
      </c>
      <c r="U54" t="e">
        <f>VLOOKUP(P54,Database!B:M,2,FALSE)</f>
        <v>#N/A</v>
      </c>
      <c r="V54" t="e">
        <f>VLOOKUP(P54,Database!B:M,3,FALSE)</f>
        <v>#N/A</v>
      </c>
      <c r="W54" t="e">
        <f>VLOOKUP(P54,Database!B:M,4,FALSE)</f>
        <v>#N/A</v>
      </c>
      <c r="X54" t="e">
        <f>VLOOKUP(P54,Database!B:M,5,FALSE)</f>
        <v>#N/A</v>
      </c>
      <c r="Y54" t="e">
        <f>VLOOKUP(P54,Database!B:M,6,FALSE)</f>
        <v>#N/A</v>
      </c>
      <c r="Z54" t="e">
        <f>VLOOKUP(P54,Database!B:M,7,FALSE)</f>
        <v>#N/A</v>
      </c>
      <c r="AA54" t="e">
        <f>VLOOKUP(P54,Database!B:M,8,FALSE)</f>
        <v>#N/A</v>
      </c>
      <c r="AB54" t="e">
        <f>VLOOKUP(P54,Database!B:M,9,FALSE)</f>
        <v>#N/A</v>
      </c>
      <c r="AC54" t="e">
        <f>VLOOKUP(P54,Database!B:M,10,FALSE)</f>
        <v>#N/A</v>
      </c>
      <c r="AD54" t="e">
        <f>VLOOKUP(P54,Database!B:M,11,FALSE)</f>
        <v>#N/A</v>
      </c>
      <c r="AE54" s="58" t="e">
        <f>VLOOKUP(P54,Database!B:M,12,FALSE)</f>
        <v>#N/A</v>
      </c>
      <c r="AF54" t="str">
        <f t="shared" si="2"/>
        <v xml:space="preserve"> </v>
      </c>
      <c r="AG54" t="str">
        <f t="shared" si="3"/>
        <v xml:space="preserve"> </v>
      </c>
      <c r="AH54" t="str">
        <f t="shared" si="4"/>
        <v xml:space="preserve"> </v>
      </c>
      <c r="AI54" t="str">
        <f t="shared" si="5"/>
        <v xml:space="preserve"> </v>
      </c>
      <c r="AJ54" t="str">
        <f t="shared" si="6"/>
        <v xml:space="preserve"> </v>
      </c>
      <c r="AK54" t="str">
        <f t="shared" si="7"/>
        <v xml:space="preserve"> </v>
      </c>
      <c r="AL54" t="str">
        <f t="shared" si="8"/>
        <v xml:space="preserve"> </v>
      </c>
      <c r="AM54" t="str">
        <f t="shared" si="9"/>
        <v xml:space="preserve"> </v>
      </c>
      <c r="AN54" t="str">
        <f t="shared" si="10"/>
        <v xml:space="preserve"> </v>
      </c>
      <c r="AO54" t="str">
        <f t="shared" si="11"/>
        <v xml:space="preserve"> </v>
      </c>
      <c r="AP54" s="58" t="str">
        <f t="shared" si="12"/>
        <v xml:space="preserve"> </v>
      </c>
      <c r="AQ54">
        <v>40</v>
      </c>
      <c r="AS54" t="e">
        <f>VLOOKUP(P54,Database!B:M,1,FALSE)</f>
        <v>#N/A</v>
      </c>
      <c r="AT54" s="161" t="e">
        <f>VLOOKUP(P54,Database!B:Z,13,FALSE)</f>
        <v>#N/A</v>
      </c>
      <c r="AU54" s="161">
        <f t="shared" ca="1" si="15"/>
        <v>44935</v>
      </c>
      <c r="AV54" s="161" t="str">
        <f t="shared" si="16"/>
        <v/>
      </c>
    </row>
    <row r="55" spans="2:48" ht="20.100000000000001" customHeight="1">
      <c r="B55" s="11" t="str">
        <f>IF(P55=0," ",AQ55)</f>
        <v xml:space="preserve"> </v>
      </c>
      <c r="C55" s="54" t="str">
        <f t="shared" si="17"/>
        <v xml:space="preserve"> </v>
      </c>
      <c r="D55" s="9" t="str">
        <f t="shared" si="18"/>
        <v xml:space="preserve"> </v>
      </c>
      <c r="E55" s="9" t="str">
        <f t="shared" si="28"/>
        <v xml:space="preserve"> </v>
      </c>
      <c r="F55" s="57" t="str">
        <f t="shared" si="25"/>
        <v xml:space="preserve"> </v>
      </c>
      <c r="G55" s="124" t="str">
        <f t="shared" si="25"/>
        <v xml:space="preserve"> </v>
      </c>
      <c r="H55" s="260" t="str">
        <f t="shared" si="27"/>
        <v xml:space="preserve"> </v>
      </c>
      <c r="I55" s="261"/>
      <c r="J55" s="132" t="str">
        <f t="shared" si="23"/>
        <v xml:space="preserve"> </v>
      </c>
      <c r="K55" s="131" t="str">
        <f t="shared" si="20"/>
        <v xml:space="preserve"> </v>
      </c>
      <c r="L55" s="131" t="str">
        <f t="shared" si="13"/>
        <v xml:space="preserve"> </v>
      </c>
      <c r="M55" s="129" t="str">
        <f t="shared" si="21"/>
        <v xml:space="preserve"> </v>
      </c>
      <c r="N55" s="126" t="str">
        <f t="shared" si="22"/>
        <v xml:space="preserve"> </v>
      </c>
      <c r="O55" s="66"/>
      <c r="P55" s="143"/>
      <c r="Q55" s="142">
        <v>41</v>
      </c>
      <c r="R55" s="167" t="str">
        <f t="shared" si="14"/>
        <v/>
      </c>
      <c r="U55" t="e">
        <f>VLOOKUP(P55,Database!B:M,2,FALSE)</f>
        <v>#N/A</v>
      </c>
      <c r="V55" t="e">
        <f>VLOOKUP(P55,Database!B:M,3,FALSE)</f>
        <v>#N/A</v>
      </c>
      <c r="W55" t="e">
        <f>VLOOKUP(P55,Database!B:M,4,FALSE)</f>
        <v>#N/A</v>
      </c>
      <c r="X55" t="e">
        <f>VLOOKUP(P55,Database!B:M,5,FALSE)</f>
        <v>#N/A</v>
      </c>
      <c r="Y55" t="e">
        <f>VLOOKUP(P55,Database!B:M,6,FALSE)</f>
        <v>#N/A</v>
      </c>
      <c r="Z55" t="e">
        <f>VLOOKUP(P55,Database!B:M,7,FALSE)</f>
        <v>#N/A</v>
      </c>
      <c r="AA55" t="e">
        <f>VLOOKUP(P55,Database!B:M,8,FALSE)</f>
        <v>#N/A</v>
      </c>
      <c r="AB55" t="e">
        <f>VLOOKUP(P55,Database!B:M,9,FALSE)</f>
        <v>#N/A</v>
      </c>
      <c r="AC55" t="e">
        <f>VLOOKUP(P55,Database!B:M,10,FALSE)</f>
        <v>#N/A</v>
      </c>
      <c r="AD55" t="e">
        <f>VLOOKUP(P55,Database!B:M,11,FALSE)</f>
        <v>#N/A</v>
      </c>
      <c r="AE55" s="58" t="e">
        <f>VLOOKUP(P55,Database!B:M,12,FALSE)</f>
        <v>#N/A</v>
      </c>
      <c r="AF55" t="str">
        <f>IF(P55=0," ",U55)</f>
        <v xml:space="preserve"> </v>
      </c>
      <c r="AG55" t="str">
        <f>IF(P55=0," ",V55)</f>
        <v xml:space="preserve"> </v>
      </c>
      <c r="AH55" t="str">
        <f>IF(P55=0," ",W55)</f>
        <v xml:space="preserve"> </v>
      </c>
      <c r="AI55" t="str">
        <f>IF(P55=0," ",X55)</f>
        <v xml:space="preserve"> </v>
      </c>
      <c r="AJ55" t="str">
        <f>IF(P55=0," ",Y55)</f>
        <v xml:space="preserve"> </v>
      </c>
      <c r="AK55" t="str">
        <f>IF(P55=0," ",Z55)</f>
        <v xml:space="preserve"> </v>
      </c>
      <c r="AL55" t="str">
        <f>IF(P55=0," ",AA55)</f>
        <v xml:space="preserve"> </v>
      </c>
      <c r="AM55" t="str">
        <f>IF(P55=0," ",AB55)</f>
        <v xml:space="preserve"> </v>
      </c>
      <c r="AN55" t="str">
        <f>IF(P55=0," ",AC55)</f>
        <v xml:space="preserve"> </v>
      </c>
      <c r="AO55" t="str">
        <f>IF(P55=0," ",AD55)</f>
        <v xml:space="preserve"> </v>
      </c>
      <c r="AP55" s="58" t="str">
        <f>IF(P55=0," ",AE55)</f>
        <v xml:space="preserve"> </v>
      </c>
      <c r="AQ55">
        <v>41</v>
      </c>
      <c r="AS55" t="e">
        <f>VLOOKUP(P55,Database!B:M,1,FALSE)</f>
        <v>#N/A</v>
      </c>
      <c r="AT55" s="161" t="e">
        <f>VLOOKUP(P55,Database!B:Z,13,FALSE)</f>
        <v>#N/A</v>
      </c>
      <c r="AU55" s="161">
        <f t="shared" ca="1" si="15"/>
        <v>44935</v>
      </c>
      <c r="AV55" s="161" t="str">
        <f>IF(P55=0,"",AT55)</f>
        <v/>
      </c>
    </row>
    <row r="56" spans="2:48" ht="20.100000000000001" customHeight="1">
      <c r="B56" s="11" t="str">
        <f>IF(P56=0," ",AQ56)</f>
        <v xml:space="preserve"> </v>
      </c>
      <c r="C56" s="54" t="str">
        <f t="shared" si="17"/>
        <v xml:space="preserve"> </v>
      </c>
      <c r="D56" s="9" t="str">
        <f t="shared" si="18"/>
        <v xml:space="preserve"> </v>
      </c>
      <c r="E56" s="9" t="str">
        <f t="shared" si="28"/>
        <v xml:space="preserve"> </v>
      </c>
      <c r="F56" s="57" t="str">
        <f t="shared" si="25"/>
        <v xml:space="preserve"> </v>
      </c>
      <c r="G56" s="124" t="str">
        <f t="shared" si="25"/>
        <v xml:space="preserve"> </v>
      </c>
      <c r="H56" s="260" t="str">
        <f t="shared" si="27"/>
        <v xml:space="preserve"> </v>
      </c>
      <c r="I56" s="261"/>
      <c r="J56" s="130" t="str">
        <f t="shared" si="23"/>
        <v xml:space="preserve"> </v>
      </c>
      <c r="K56" s="131" t="str">
        <f t="shared" si="20"/>
        <v xml:space="preserve"> </v>
      </c>
      <c r="L56" s="131" t="str">
        <f t="shared" si="13"/>
        <v xml:space="preserve"> </v>
      </c>
      <c r="M56" s="129" t="str">
        <f t="shared" si="21"/>
        <v xml:space="preserve"> </v>
      </c>
      <c r="N56" s="126" t="str">
        <f t="shared" si="22"/>
        <v xml:space="preserve"> </v>
      </c>
      <c r="O56" s="66"/>
      <c r="P56" s="143"/>
      <c r="Q56" s="142">
        <v>42</v>
      </c>
      <c r="R56" s="167" t="str">
        <f t="shared" si="14"/>
        <v/>
      </c>
      <c r="U56" t="e">
        <f>VLOOKUP(P56,Database!B:M,2,FALSE)</f>
        <v>#N/A</v>
      </c>
      <c r="V56" t="e">
        <f>VLOOKUP(P56,Database!B:M,3,FALSE)</f>
        <v>#N/A</v>
      </c>
      <c r="W56" t="e">
        <f>VLOOKUP(P56,Database!B:M,4,FALSE)</f>
        <v>#N/A</v>
      </c>
      <c r="X56" t="e">
        <f>VLOOKUP(P56,Database!B:M,5,FALSE)</f>
        <v>#N/A</v>
      </c>
      <c r="Y56" t="e">
        <f>VLOOKUP(P56,Database!B:M,6,FALSE)</f>
        <v>#N/A</v>
      </c>
      <c r="Z56" t="e">
        <f>VLOOKUP(P56,Database!B:M,7,FALSE)</f>
        <v>#N/A</v>
      </c>
      <c r="AA56" t="e">
        <f>VLOOKUP(P56,Database!B:M,8,FALSE)</f>
        <v>#N/A</v>
      </c>
      <c r="AB56" t="e">
        <f>VLOOKUP(P56,Database!B:M,9,FALSE)</f>
        <v>#N/A</v>
      </c>
      <c r="AC56" t="e">
        <f>VLOOKUP(P56,Database!B:M,10,FALSE)</f>
        <v>#N/A</v>
      </c>
      <c r="AD56" t="e">
        <f>VLOOKUP(P56,Database!B:M,11,FALSE)</f>
        <v>#N/A</v>
      </c>
      <c r="AE56" s="58" t="e">
        <f>VLOOKUP(P56,Database!B:M,12,FALSE)</f>
        <v>#N/A</v>
      </c>
      <c r="AF56" t="str">
        <f>IF(P56=0," ",U56)</f>
        <v xml:space="preserve"> </v>
      </c>
      <c r="AG56" t="str">
        <f>IF(P56=0," ",V56)</f>
        <v xml:space="preserve"> </v>
      </c>
      <c r="AH56" t="str">
        <f>IF(P56=0," ",W56)</f>
        <v xml:space="preserve"> </v>
      </c>
      <c r="AI56" t="str">
        <f>IF(P56=0," ",X56)</f>
        <v xml:space="preserve"> </v>
      </c>
      <c r="AJ56" t="str">
        <f>IF(P56=0," ",Y56)</f>
        <v xml:space="preserve"> </v>
      </c>
      <c r="AK56" t="str">
        <f>IF(P56=0," ",Z56)</f>
        <v xml:space="preserve"> </v>
      </c>
      <c r="AL56" t="str">
        <f>IF(P56=0," ",AA56)</f>
        <v xml:space="preserve"> </v>
      </c>
      <c r="AM56" t="str">
        <f>IF(P56=0," ",AB56)</f>
        <v xml:space="preserve"> </v>
      </c>
      <c r="AN56" t="str">
        <f>IF(P56=0," ",AC56)</f>
        <v xml:space="preserve"> </v>
      </c>
      <c r="AO56" t="str">
        <f>IF(P56=0," ",AD56)</f>
        <v xml:space="preserve"> </v>
      </c>
      <c r="AP56" s="58" t="str">
        <f>IF(P56=0," ",AE56)</f>
        <v xml:space="preserve"> </v>
      </c>
      <c r="AQ56">
        <v>42</v>
      </c>
      <c r="AS56" t="e">
        <f>VLOOKUP(P56,Database!B:M,1,FALSE)</f>
        <v>#N/A</v>
      </c>
      <c r="AT56" s="161" t="e">
        <f>VLOOKUP(P56,Database!B:Z,13,FALSE)</f>
        <v>#N/A</v>
      </c>
      <c r="AU56" s="161">
        <f t="shared" ca="1" si="15"/>
        <v>44935</v>
      </c>
      <c r="AV56" s="161" t="str">
        <f>IF(P56=0,"",AT56)</f>
        <v/>
      </c>
    </row>
    <row r="57" spans="2:48" ht="20.100000000000001" customHeight="1">
      <c r="B57" s="11" t="str">
        <f>IF(P57=0," ",AQ57)</f>
        <v xml:space="preserve"> </v>
      </c>
      <c r="C57" s="54" t="str">
        <f t="shared" si="17"/>
        <v xml:space="preserve"> </v>
      </c>
      <c r="D57" s="9" t="str">
        <f t="shared" si="18"/>
        <v xml:space="preserve"> </v>
      </c>
      <c r="E57" s="9" t="str">
        <f t="shared" si="28"/>
        <v xml:space="preserve"> </v>
      </c>
      <c r="F57" s="57" t="str">
        <f t="shared" si="25"/>
        <v xml:space="preserve"> </v>
      </c>
      <c r="G57" s="124" t="str">
        <f t="shared" si="25"/>
        <v xml:space="preserve"> </v>
      </c>
      <c r="H57" s="260" t="str">
        <f t="shared" si="27"/>
        <v xml:space="preserve"> </v>
      </c>
      <c r="I57" s="261"/>
      <c r="J57" s="132" t="str">
        <f t="shared" si="23"/>
        <v xml:space="preserve"> </v>
      </c>
      <c r="K57" s="131" t="str">
        <f t="shared" si="20"/>
        <v xml:space="preserve"> </v>
      </c>
      <c r="L57" s="131" t="str">
        <f t="shared" si="13"/>
        <v xml:space="preserve"> </v>
      </c>
      <c r="M57" s="129" t="str">
        <f t="shared" si="21"/>
        <v xml:space="preserve"> </v>
      </c>
      <c r="N57" s="126" t="str">
        <f t="shared" si="22"/>
        <v xml:space="preserve"> </v>
      </c>
      <c r="O57" s="66"/>
      <c r="P57" s="143"/>
      <c r="Q57" s="142">
        <v>43</v>
      </c>
      <c r="R57" s="167" t="str">
        <f t="shared" si="14"/>
        <v/>
      </c>
      <c r="U57" t="e">
        <f>VLOOKUP(P57,Database!B:M,2,FALSE)</f>
        <v>#N/A</v>
      </c>
      <c r="V57" t="e">
        <f>VLOOKUP(P57,Database!B:M,3,FALSE)</f>
        <v>#N/A</v>
      </c>
      <c r="W57" t="e">
        <f>VLOOKUP(P57,Database!B:M,4,FALSE)</f>
        <v>#N/A</v>
      </c>
      <c r="X57" t="e">
        <f>VLOOKUP(P57,Database!B:M,5,FALSE)</f>
        <v>#N/A</v>
      </c>
      <c r="Y57" t="e">
        <f>VLOOKUP(P57,Database!B:M,6,FALSE)</f>
        <v>#N/A</v>
      </c>
      <c r="Z57" t="e">
        <f>VLOOKUP(P57,Database!B:M,7,FALSE)</f>
        <v>#N/A</v>
      </c>
      <c r="AA57" t="e">
        <f>VLOOKUP(P57,Database!B:M,8,FALSE)</f>
        <v>#N/A</v>
      </c>
      <c r="AB57" t="e">
        <f>VLOOKUP(P57,Database!B:M,9,FALSE)</f>
        <v>#N/A</v>
      </c>
      <c r="AC57" t="e">
        <f>VLOOKUP(P57,Database!B:M,10,FALSE)</f>
        <v>#N/A</v>
      </c>
      <c r="AD57" t="e">
        <f>VLOOKUP(P57,Database!B:M,11,FALSE)</f>
        <v>#N/A</v>
      </c>
      <c r="AE57" s="58" t="e">
        <f>VLOOKUP(P57,Database!B:M,12,FALSE)</f>
        <v>#N/A</v>
      </c>
      <c r="AF57" t="str">
        <f>IF(P57=0," ",U57)</f>
        <v xml:space="preserve"> </v>
      </c>
      <c r="AG57" t="str">
        <f>IF(P57=0," ",V57)</f>
        <v xml:space="preserve"> </v>
      </c>
      <c r="AH57" t="str">
        <f>IF(P57=0," ",W57)</f>
        <v xml:space="preserve"> </v>
      </c>
      <c r="AI57" t="str">
        <f>IF(P57=0," ",X57)</f>
        <v xml:space="preserve"> </v>
      </c>
      <c r="AJ57" t="str">
        <f>IF(P57=0," ",Y57)</f>
        <v xml:space="preserve"> </v>
      </c>
      <c r="AK57" t="str">
        <f>IF(P57=0," ",Z57)</f>
        <v xml:space="preserve"> </v>
      </c>
      <c r="AL57" t="str">
        <f>IF(P57=0," ",AA57)</f>
        <v xml:space="preserve"> </v>
      </c>
      <c r="AM57" t="str">
        <f>IF(P57=0," ",AB57)</f>
        <v xml:space="preserve"> </v>
      </c>
      <c r="AN57" t="str">
        <f>IF(P57=0," ",AC57)</f>
        <v xml:space="preserve"> </v>
      </c>
      <c r="AO57" t="str">
        <f>IF(P57=0," ",AD57)</f>
        <v xml:space="preserve"> </v>
      </c>
      <c r="AP57" s="58" t="str">
        <f>IF(P57=0," ",AE57)</f>
        <v xml:space="preserve"> </v>
      </c>
      <c r="AQ57">
        <v>43</v>
      </c>
      <c r="AS57" t="e">
        <f>VLOOKUP(P57,Database!B:M,1,FALSE)</f>
        <v>#N/A</v>
      </c>
      <c r="AT57" s="161" t="e">
        <f>VLOOKUP(P57,Database!B:Z,13,FALSE)</f>
        <v>#N/A</v>
      </c>
      <c r="AU57" s="161">
        <f t="shared" ca="1" si="15"/>
        <v>44935</v>
      </c>
      <c r="AV57" s="161" t="str">
        <f>IF(P57=0,"",AT57)</f>
        <v/>
      </c>
    </row>
    <row r="58" spans="2:48" ht="20.100000000000001" customHeight="1" thickBot="1">
      <c r="B58" s="11" t="str">
        <f>IF(P58=0," ",AQ58)</f>
        <v xml:space="preserve"> </v>
      </c>
      <c r="C58" s="54" t="str">
        <f t="shared" si="17"/>
        <v xml:space="preserve"> </v>
      </c>
      <c r="D58" s="9" t="str">
        <f t="shared" si="18"/>
        <v xml:space="preserve"> </v>
      </c>
      <c r="E58" s="9" t="str">
        <f t="shared" si="28"/>
        <v xml:space="preserve"> </v>
      </c>
      <c r="F58" s="57" t="str">
        <f t="shared" si="25"/>
        <v xml:space="preserve"> </v>
      </c>
      <c r="G58" s="124" t="str">
        <f t="shared" si="25"/>
        <v xml:space="preserve"> </v>
      </c>
      <c r="H58" s="260" t="str">
        <f t="shared" si="27"/>
        <v xml:space="preserve"> </v>
      </c>
      <c r="I58" s="261"/>
      <c r="J58" s="130" t="str">
        <f t="shared" si="23"/>
        <v xml:space="preserve"> </v>
      </c>
      <c r="K58" s="131" t="str">
        <f t="shared" si="20"/>
        <v xml:space="preserve"> </v>
      </c>
      <c r="L58" s="131" t="str">
        <f t="shared" si="13"/>
        <v xml:space="preserve"> </v>
      </c>
      <c r="M58" s="129" t="str">
        <f t="shared" si="21"/>
        <v xml:space="preserve"> </v>
      </c>
      <c r="N58" s="126" t="str">
        <f t="shared" si="22"/>
        <v xml:space="preserve"> </v>
      </c>
      <c r="O58" s="66"/>
      <c r="P58" s="143"/>
      <c r="Q58" s="142">
        <v>44</v>
      </c>
      <c r="R58" s="166" t="str">
        <f t="shared" si="14"/>
        <v/>
      </c>
      <c r="U58" t="e">
        <f>VLOOKUP(P58,Database!B:M,2,FALSE)</f>
        <v>#N/A</v>
      </c>
      <c r="V58" t="e">
        <f>VLOOKUP(P58,Database!B:M,3,FALSE)</f>
        <v>#N/A</v>
      </c>
      <c r="W58" t="e">
        <f>VLOOKUP(P58,Database!B:M,4,FALSE)</f>
        <v>#N/A</v>
      </c>
      <c r="X58" t="e">
        <f>VLOOKUP(P58,Database!B:M,5,FALSE)</f>
        <v>#N/A</v>
      </c>
      <c r="Y58" t="e">
        <f>VLOOKUP(P58,Database!B:M,6,FALSE)</f>
        <v>#N/A</v>
      </c>
      <c r="Z58" t="e">
        <f>VLOOKUP(P58,Database!B:M,7,FALSE)</f>
        <v>#N/A</v>
      </c>
      <c r="AA58" t="e">
        <f>VLOOKUP(P58,Database!B:M,8,FALSE)</f>
        <v>#N/A</v>
      </c>
      <c r="AB58" t="e">
        <f>VLOOKUP(P58,Database!B:M,9,FALSE)</f>
        <v>#N/A</v>
      </c>
      <c r="AC58" t="e">
        <f>VLOOKUP(P58,Database!B:M,10,FALSE)</f>
        <v>#N/A</v>
      </c>
      <c r="AD58" t="e">
        <f>VLOOKUP(P58,Database!B:M,11,FALSE)</f>
        <v>#N/A</v>
      </c>
      <c r="AE58" s="58" t="e">
        <f>VLOOKUP(P58,Database!B:M,12,FALSE)</f>
        <v>#N/A</v>
      </c>
      <c r="AF58" t="str">
        <f>IF(P58=0," ",U58)</f>
        <v xml:space="preserve"> </v>
      </c>
      <c r="AG58" t="str">
        <f>IF(P58=0," ",V58)</f>
        <v xml:space="preserve"> </v>
      </c>
      <c r="AH58" t="str">
        <f>IF(P58=0," ",W58)</f>
        <v xml:space="preserve"> </v>
      </c>
      <c r="AI58" t="str">
        <f>IF(P58=0," ",X58)</f>
        <v xml:space="preserve"> </v>
      </c>
      <c r="AJ58" t="str">
        <f>IF(P58=0," ",Y58)</f>
        <v xml:space="preserve"> </v>
      </c>
      <c r="AK58" t="str">
        <f>IF(P58=0," ",Z58)</f>
        <v xml:space="preserve"> </v>
      </c>
      <c r="AL58" t="str">
        <f>IF(P58=0," ",AA58)</f>
        <v xml:space="preserve"> </v>
      </c>
      <c r="AM58" t="str">
        <f>IF(P58=0," ",AB58)</f>
        <v xml:space="preserve"> </v>
      </c>
      <c r="AN58" t="str">
        <f>IF(P58=0," ",AC58)</f>
        <v xml:space="preserve"> </v>
      </c>
      <c r="AO58" t="str">
        <f>IF(P58=0," ",AD58)</f>
        <v xml:space="preserve"> </v>
      </c>
      <c r="AP58" s="58" t="str">
        <f>IF(P58=0," ",AE58)</f>
        <v xml:space="preserve"> </v>
      </c>
      <c r="AQ58">
        <v>44</v>
      </c>
      <c r="AS58" t="e">
        <f>VLOOKUP(P58,Database!B:M,1,FALSE)</f>
        <v>#N/A</v>
      </c>
      <c r="AT58" s="161" t="e">
        <f>VLOOKUP(P58,Database!B:Z,13,FALSE)</f>
        <v>#N/A</v>
      </c>
      <c r="AU58" s="161">
        <f t="shared" ca="1" si="15"/>
        <v>44935</v>
      </c>
      <c r="AV58" s="161" t="str">
        <f>IF(P58=0,"",AT58)</f>
        <v/>
      </c>
    </row>
    <row r="59" spans="2:48" ht="20.100000000000001" customHeight="1" thickTop="1">
      <c r="B59" s="11"/>
      <c r="C59" s="314" t="s">
        <v>31</v>
      </c>
      <c r="D59" s="315"/>
      <c r="E59" s="140">
        <v>15</v>
      </c>
      <c r="F59" s="10"/>
      <c r="G59" s="57"/>
      <c r="H59" s="264"/>
      <c r="I59" s="265"/>
      <c r="J59" s="81"/>
      <c r="K59" s="91"/>
      <c r="L59" s="9"/>
      <c r="M59" s="9"/>
      <c r="N59" s="74"/>
      <c r="O59" s="66"/>
      <c r="P59" s="66"/>
      <c r="AQ59">
        <f>COUNT(B15:B58)</f>
        <v>30</v>
      </c>
    </row>
    <row r="60" spans="2:48" ht="20.100000000000001" customHeight="1">
      <c r="B60" s="11"/>
      <c r="C60" s="314" t="s">
        <v>36</v>
      </c>
      <c r="D60" s="315"/>
      <c r="E60" s="140">
        <v>20</v>
      </c>
      <c r="F60" s="10"/>
      <c r="G60" s="57"/>
      <c r="H60" s="262"/>
      <c r="I60" s="263"/>
      <c r="J60" s="81"/>
      <c r="K60" s="72"/>
      <c r="L60" s="9"/>
      <c r="M60" s="9"/>
      <c r="N60" s="74"/>
      <c r="O60" s="66"/>
      <c r="P60" s="66"/>
      <c r="AH60" t="str">
        <f>IF(G60=0," ",W60)</f>
        <v xml:space="preserve"> </v>
      </c>
      <c r="AI60" t="str">
        <f>IF(G60=0," ",X60)</f>
        <v xml:space="preserve"> </v>
      </c>
      <c r="AJ60" s="58" t="str">
        <f>IF(G60=0," ",Y60)</f>
        <v xml:space="preserve"> </v>
      </c>
      <c r="AK60" t="str">
        <f>IF(G60=0," ",Z60)</f>
        <v xml:space="preserve"> </v>
      </c>
      <c r="AN60" t="str">
        <f>IF(H60=0," ",AC60)</f>
        <v xml:space="preserve"> </v>
      </c>
    </row>
    <row r="61" spans="2:48" ht="20.100000000000001" customHeight="1" thickBot="1">
      <c r="B61" s="12"/>
      <c r="C61" s="312" t="s">
        <v>37</v>
      </c>
      <c r="D61" s="313"/>
      <c r="E61" s="115">
        <f>AQ59</f>
        <v>30</v>
      </c>
      <c r="F61" s="13"/>
      <c r="G61" s="75"/>
      <c r="H61" s="312"/>
      <c r="I61" s="313"/>
      <c r="J61" s="82"/>
      <c r="K61" s="71"/>
      <c r="L61" s="76"/>
      <c r="M61" s="76"/>
      <c r="N61" s="77"/>
      <c r="O61" s="66"/>
      <c r="P61" s="66"/>
      <c r="AH61" t="str">
        <f>IF(G61=0," ",W61)</f>
        <v xml:space="preserve"> </v>
      </c>
      <c r="AI61" t="str">
        <f>IF(G61=0," ",X61)</f>
        <v xml:space="preserve"> </v>
      </c>
      <c r="AJ61" s="58" t="str">
        <f>IF(G61=0," ",Y61)</f>
        <v xml:space="preserve"> </v>
      </c>
      <c r="AK61" t="str">
        <f>IF(G61=0," ",Z61)</f>
        <v xml:space="preserve"> </v>
      </c>
      <c r="AN61" t="str">
        <f>IF(H61=0," ",AC61)</f>
        <v xml:space="preserve"> </v>
      </c>
    </row>
    <row r="62" spans="2:48" ht="15" customHeight="1" thickTop="1">
      <c r="B62" s="304" t="s">
        <v>87</v>
      </c>
      <c r="C62" s="305"/>
      <c r="D62" s="305"/>
      <c r="E62" s="306"/>
      <c r="F62" s="254" t="s">
        <v>80</v>
      </c>
      <c r="G62" s="255"/>
      <c r="H62" s="258" t="str">
        <f>CONCATENATE(C15,", ",D15)</f>
        <v>Gadhavi, Fergus Leandro</v>
      </c>
      <c r="I62" s="258"/>
      <c r="J62" s="258"/>
      <c r="K62" s="258"/>
      <c r="L62" s="252" t="s">
        <v>79</v>
      </c>
      <c r="M62" s="228">
        <v>44901</v>
      </c>
      <c r="N62" s="229"/>
      <c r="O62" s="73"/>
      <c r="P62" s="73"/>
      <c r="AH62" t="str">
        <f>IF(G62=0," ",W62)</f>
        <v xml:space="preserve"> </v>
      </c>
      <c r="AI62" t="str">
        <f>IF(G62=0," ",X62)</f>
        <v xml:space="preserve"> </v>
      </c>
      <c r="AJ62" s="58" t="str">
        <f>IF(G62=0," ",Y62)</f>
        <v xml:space="preserve"> </v>
      </c>
      <c r="AK62" t="str">
        <f>IF(G62=0," ",Z62)</f>
        <v xml:space="preserve"> </v>
      </c>
    </row>
    <row r="63" spans="2:48" ht="15" customHeight="1" thickBot="1">
      <c r="B63" s="307"/>
      <c r="C63" s="308"/>
      <c r="D63" s="308"/>
      <c r="E63" s="309"/>
      <c r="F63" s="256"/>
      <c r="G63" s="257"/>
      <c r="H63" s="259"/>
      <c r="I63" s="259"/>
      <c r="J63" s="259"/>
      <c r="K63" s="259"/>
      <c r="L63" s="253"/>
      <c r="M63" s="230"/>
      <c r="N63" s="231"/>
      <c r="O63" s="73"/>
      <c r="P63" s="73"/>
      <c r="AH63" t="str">
        <f>IF(G63=0," ",W63)</f>
        <v xml:space="preserve"> </v>
      </c>
      <c r="AI63" t="str">
        <f>IF(G63=0," ",X63)</f>
        <v xml:space="preserve"> </v>
      </c>
      <c r="AJ63" s="58" t="str">
        <f>IF(G63=0," ",Y63)</f>
        <v xml:space="preserve"> </v>
      </c>
      <c r="AK63" t="str">
        <f>IF(G63=0," ",Z63)</f>
        <v xml:space="preserve"> </v>
      </c>
      <c r="AN63" t="str">
        <f>IF(H63=0," ",AC63)</f>
        <v xml:space="preserve"> </v>
      </c>
    </row>
    <row r="64" spans="2:48" ht="12.6" thickTop="1">
      <c r="AH64" t="str">
        <f>IF(G64=0," ",W64)</f>
        <v xml:space="preserve"> </v>
      </c>
      <c r="AI64" t="str">
        <f>IF(G64=0," ",X64)</f>
        <v xml:space="preserve"> </v>
      </c>
      <c r="AJ64" s="58" t="str">
        <f>IF(G64=0," ",Y64)</f>
        <v xml:space="preserve"> </v>
      </c>
      <c r="AK64" t="str">
        <f>IF(G64=0," ",Z64)</f>
        <v xml:space="preserve"> </v>
      </c>
      <c r="AN64" t="str">
        <f>IF(H64=0," ",AC64)</f>
        <v xml:space="preserve"> </v>
      </c>
    </row>
    <row r="68" spans="23:42">
      <c r="W68" s="1"/>
      <c r="X68" s="1"/>
      <c r="Y68" s="59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59"/>
      <c r="AK68" s="1"/>
      <c r="AL68" s="1"/>
      <c r="AM68" s="1"/>
      <c r="AN68" s="1"/>
      <c r="AO68" s="1"/>
      <c r="AP68" s="1"/>
    </row>
  </sheetData>
  <sheetProtection password="C9CF" sheet="1" objects="1" scenarios="1" selectLockedCells="1"/>
  <mergeCells count="92">
    <mergeCell ref="B62:E63"/>
    <mergeCell ref="H15:I15"/>
    <mergeCell ref="H18:I18"/>
    <mergeCell ref="H19:I19"/>
    <mergeCell ref="H20:I20"/>
    <mergeCell ref="C61:D61"/>
    <mergeCell ref="H55:I55"/>
    <mergeCell ref="H54:I54"/>
    <mergeCell ref="H53:I53"/>
    <mergeCell ref="H52:I52"/>
    <mergeCell ref="C59:D59"/>
    <mergeCell ref="C60:D60"/>
    <mergeCell ref="H61:I61"/>
    <mergeCell ref="H58:I58"/>
    <mergeCell ref="H57:I57"/>
    <mergeCell ref="H38:I38"/>
    <mergeCell ref="B1:C4"/>
    <mergeCell ref="H17:I17"/>
    <mergeCell ref="C9:D9"/>
    <mergeCell ref="C10:D10"/>
    <mergeCell ref="B9:B10"/>
    <mergeCell ref="H14:I14"/>
    <mergeCell ref="I6:K6"/>
    <mergeCell ref="H16:I16"/>
    <mergeCell ref="B11:B12"/>
    <mergeCell ref="J11:L11"/>
    <mergeCell ref="J12:L12"/>
    <mergeCell ref="H9:I9"/>
    <mergeCell ref="D1:L2"/>
    <mergeCell ref="D3:L4"/>
    <mergeCell ref="C11:D11"/>
    <mergeCell ref="C12:D12"/>
    <mergeCell ref="H26:I26"/>
    <mergeCell ref="H22:I22"/>
    <mergeCell ref="E12:G12"/>
    <mergeCell ref="E11:G11"/>
    <mergeCell ref="H11:I11"/>
    <mergeCell ref="H21:I21"/>
    <mergeCell ref="H12:I12"/>
    <mergeCell ref="H24:I24"/>
    <mergeCell ref="H23:I23"/>
    <mergeCell ref="H25:I25"/>
    <mergeCell ref="H44:I44"/>
    <mergeCell ref="H27:I27"/>
    <mergeCell ref="H28:I28"/>
    <mergeCell ref="H42:I42"/>
    <mergeCell ref="H41:I41"/>
    <mergeCell ref="H40:I40"/>
    <mergeCell ref="H39:I39"/>
    <mergeCell ref="H35:I35"/>
    <mergeCell ref="H34:I34"/>
    <mergeCell ref="H33:I33"/>
    <mergeCell ref="H32:I32"/>
    <mergeCell ref="H29:I29"/>
    <mergeCell ref="H30:I30"/>
    <mergeCell ref="F62:G63"/>
    <mergeCell ref="H62:K63"/>
    <mergeCell ref="H31:I31"/>
    <mergeCell ref="H50:I50"/>
    <mergeCell ref="H49:I49"/>
    <mergeCell ref="H48:I48"/>
    <mergeCell ref="H47:I47"/>
    <mergeCell ref="H51:I51"/>
    <mergeCell ref="H43:I43"/>
    <mergeCell ref="H37:I37"/>
    <mergeCell ref="H60:I60"/>
    <mergeCell ref="H59:I59"/>
    <mergeCell ref="H56:I56"/>
    <mergeCell ref="H36:I36"/>
    <mergeCell ref="H46:I46"/>
    <mergeCell ref="H45:I45"/>
    <mergeCell ref="M62:N63"/>
    <mergeCell ref="L6:M6"/>
    <mergeCell ref="M12:N12"/>
    <mergeCell ref="Q9:R9"/>
    <mergeCell ref="Q10:R10"/>
    <mergeCell ref="L7:M7"/>
    <mergeCell ref="M9:N9"/>
    <mergeCell ref="M10:N10"/>
    <mergeCell ref="P5:S6"/>
    <mergeCell ref="M11:N11"/>
    <mergeCell ref="J10:L10"/>
    <mergeCell ref="L62:L63"/>
    <mergeCell ref="J9:L9"/>
    <mergeCell ref="Q7:R7"/>
    <mergeCell ref="Q8:R8"/>
    <mergeCell ref="T5:T6"/>
    <mergeCell ref="I7:K7"/>
    <mergeCell ref="T7:T10"/>
    <mergeCell ref="E9:G9"/>
    <mergeCell ref="H10:I10"/>
    <mergeCell ref="E10:G10"/>
  </mergeCells>
  <conditionalFormatting sqref="E61">
    <cfRule type="cellIs" dxfId="15" priority="14" stopIfTrue="1" operator="notEqual">
      <formula>$AQ$59</formula>
    </cfRule>
  </conditionalFormatting>
  <conditionalFormatting sqref="E60">
    <cfRule type="cellIs" dxfId="14" priority="13" stopIfTrue="1" operator="notEqual">
      <formula>SUM($E$61-$E$59)</formula>
    </cfRule>
  </conditionalFormatting>
  <conditionalFormatting sqref="E59">
    <cfRule type="cellIs" dxfId="13" priority="12" stopIfTrue="1" operator="notEqual">
      <formula>SUM($E$61-$E$60)</formula>
    </cfRule>
  </conditionalFormatting>
  <conditionalFormatting sqref="C16:D58 E15:N58">
    <cfRule type="cellIs" dxfId="12" priority="11" stopIfTrue="1" operator="equal">
      <formula>$W$2</formula>
    </cfRule>
  </conditionalFormatting>
  <conditionalFormatting sqref="N15:N58">
    <cfRule type="cellIs" dxfId="11" priority="9" stopIfTrue="1" operator="lessThan">
      <formula>$W$1</formula>
    </cfRule>
  </conditionalFormatting>
  <conditionalFormatting sqref="P15:P58">
    <cfRule type="duplicateValues" dxfId="10" priority="8" stopIfTrue="1"/>
  </conditionalFormatting>
  <conditionalFormatting sqref="M12:N12 M10:N10">
    <cfRule type="duplicateValues" dxfId="9" priority="7" stopIfTrue="1"/>
  </conditionalFormatting>
  <conditionalFormatting sqref="R15:R58">
    <cfRule type="cellIs" dxfId="8" priority="5" operator="lessThanOrEqual">
      <formula>$W$1-365</formula>
    </cfRule>
  </conditionalFormatting>
  <conditionalFormatting sqref="F15:N58">
    <cfRule type="cellIs" dxfId="7" priority="1" operator="equal">
      <formula>$U$2</formula>
    </cfRule>
  </conditionalFormatting>
  <pageMargins left="0.5" right="0.5" top="0.75" bottom="0.75" header="0.3" footer="0.3"/>
  <pageSetup paperSize="9" scale="60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81" r:id="rId4" name="Button 157">
              <controlPr defaultSize="0" print="0" autoFill="0" autoPict="0" macro="[0]!_xludf.search" altText="&lt;&lt;&lt; Search">
                <anchor moveWithCells="1">
                  <from>
                    <xdr:col>19</xdr:col>
                    <xdr:colOff>106680</xdr:colOff>
                    <xdr:row>4</xdr:row>
                    <xdr:rowOff>19050</xdr:rowOff>
                  </from>
                  <to>
                    <xdr:col>19</xdr:col>
                    <xdr:colOff>914400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6" r:id="rId5" name="Button 282">
              <controlPr defaultSize="0" print="0" autoFill="0" autoPict="0" macro="[0]!Module8.Find_First">
                <anchor moveWithCells="1" sizeWithCells="1">
                  <from>
                    <xdr:col>18</xdr:col>
                    <xdr:colOff>19050</xdr:colOff>
                    <xdr:row>6</xdr:row>
                    <xdr:rowOff>19050</xdr:rowOff>
                  </from>
                  <to>
                    <xdr:col>18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2" r:id="rId6" name="Button 288">
              <controlPr defaultSize="0" print="0" autoFill="0" autoPict="0" macro="[0]!Module4.Find_First">
                <anchor moveWithCells="1" sizeWithCells="1">
                  <from>
                    <xdr:col>18</xdr:col>
                    <xdr:colOff>19050</xdr:colOff>
                    <xdr:row>7</xdr:row>
                    <xdr:rowOff>19050</xdr:rowOff>
                  </from>
                  <to>
                    <xdr:col>18</xdr:col>
                    <xdr:colOff>335280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3" r:id="rId7" name="Button 289">
              <controlPr defaultSize="0" print="0" autoFill="0" autoPict="0" macro="[0]!Module6.Find_First">
                <anchor moveWithCells="1" sizeWithCells="1">
                  <from>
                    <xdr:col>18</xdr:col>
                    <xdr:colOff>19050</xdr:colOff>
                    <xdr:row>8</xdr:row>
                    <xdr:rowOff>19050</xdr:rowOff>
                  </from>
                  <to>
                    <xdr:col>18</xdr:col>
                    <xdr:colOff>335280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4" r:id="rId8" name="Button 290">
              <controlPr defaultSize="0" print="0" autoFill="0" autoPict="0" macro="[0]!Module7.Find_First">
                <anchor moveWithCells="1" sizeWithCells="1">
                  <from>
                    <xdr:col>18</xdr:col>
                    <xdr:colOff>19050</xdr:colOff>
                    <xdr:row>9</xdr:row>
                    <xdr:rowOff>19050</xdr:rowOff>
                  </from>
                  <to>
                    <xdr:col>18</xdr:col>
                    <xdr:colOff>335280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9" name="Button 125">
              <controlPr defaultSize="0" print="0" autoFill="0" autoPict="0" macro="[0]!Module3.Find_First">
                <anchor moveWithCells="1" sizeWithCells="1">
                  <from>
                    <xdr:col>19</xdr:col>
                    <xdr:colOff>106680</xdr:colOff>
                    <xdr:row>6</xdr:row>
                    <xdr:rowOff>68580</xdr:rowOff>
                  </from>
                  <to>
                    <xdr:col>19</xdr:col>
                    <xdr:colOff>914400</xdr:colOff>
                    <xdr:row>9</xdr:row>
                    <xdr:rowOff>163830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6" r:id="rId10" name="Button 292">
              <controlPr defaultSize="0" print="0" autoFill="0" autoPict="0" macro="[0]!Macro1">
                <anchor moveWithCells="1" sizeWithCells="1">
                  <from>
                    <xdr:col>18</xdr:col>
                    <xdr:colOff>316230</xdr:colOff>
                    <xdr:row>13</xdr:row>
                    <xdr:rowOff>468630</xdr:rowOff>
                  </from>
                  <to>
                    <xdr:col>19</xdr:col>
                    <xdr:colOff>925830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3DFDA15-5BDD-4A36-BB6B-7CBDC4256A3B}">
            <xm:f>NOT(ISERROR(SEARCH($W$2,R15)))</xm:f>
            <xm:f>$W$2</xm:f>
            <x14:dxf>
              <fill>
                <patternFill>
                  <bgColor rgb="FFFF0000"/>
                </patternFill>
              </fill>
            </x14:dxf>
          </x14:cfRule>
          <xm:sqref>R15:R58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pageSetUpPr fitToPage="1"/>
  </sheetPr>
  <dimension ref="A1:V65"/>
  <sheetViews>
    <sheetView showGridLines="0" showRowColHeaders="0" view="pageBreakPreview" zoomScale="70" zoomScaleNormal="70" zoomScaleSheetLayoutView="70" workbookViewId="0">
      <selection activeCell="B55" sqref="B55"/>
    </sheetView>
  </sheetViews>
  <sheetFormatPr defaultRowHeight="12.3"/>
  <cols>
    <col min="1" max="1" width="7.27734375" customWidth="1"/>
    <col min="2" max="2" width="3.44140625" customWidth="1"/>
    <col min="3" max="3" width="18" customWidth="1"/>
    <col min="4" max="4" width="19.83203125" customWidth="1"/>
    <col min="5" max="5" width="14" customWidth="1"/>
    <col min="6" max="9" width="6.71875" customWidth="1"/>
    <col min="10" max="10" width="12.5546875" customWidth="1"/>
    <col min="11" max="11" width="18" customWidth="1"/>
    <col min="12" max="12" width="6" customWidth="1"/>
    <col min="13" max="15" width="9.1640625" customWidth="1"/>
    <col min="16" max="16" width="9.1640625" hidden="1" customWidth="1"/>
    <col min="17" max="17" width="9.44140625" hidden="1" customWidth="1"/>
    <col min="18" max="22" width="9.1640625" hidden="1" customWidth="1"/>
  </cols>
  <sheetData>
    <row r="1" spans="1:22" ht="15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22" ht="15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22" ht="15.3">
      <c r="A3" s="14"/>
      <c r="B3" s="14"/>
      <c r="C3" s="14"/>
      <c r="D3" s="14"/>
      <c r="E3" s="14"/>
      <c r="F3" s="14"/>
      <c r="G3" s="15"/>
      <c r="H3" s="15"/>
      <c r="I3" s="15"/>
      <c r="J3" s="15"/>
      <c r="K3" s="16" t="s">
        <v>0</v>
      </c>
    </row>
    <row r="4" spans="1:22">
      <c r="A4" s="17"/>
      <c r="B4" s="18" t="s">
        <v>75</v>
      </c>
      <c r="C4" s="19"/>
      <c r="D4" s="19"/>
      <c r="E4" s="20"/>
      <c r="F4" s="19"/>
      <c r="G4" s="19" t="s">
        <v>1</v>
      </c>
      <c r="H4" s="19"/>
      <c r="I4" s="19"/>
      <c r="J4" s="19"/>
      <c r="K4" s="21"/>
    </row>
    <row r="5" spans="1:22" ht="15.75" customHeight="1">
      <c r="A5" s="22"/>
      <c r="B5" s="327" t="s">
        <v>41</v>
      </c>
      <c r="C5" s="328"/>
      <c r="D5" s="328"/>
      <c r="E5" s="329"/>
      <c r="F5" s="14"/>
      <c r="G5" s="23"/>
      <c r="H5" s="23"/>
      <c r="I5" s="316"/>
      <c r="J5" s="23"/>
      <c r="K5" s="24"/>
    </row>
    <row r="6" spans="1:22" ht="15.3">
      <c r="A6" s="22"/>
      <c r="B6" s="322" t="s">
        <v>53</v>
      </c>
      <c r="C6" s="323"/>
      <c r="D6" s="113" t="s">
        <v>54</v>
      </c>
      <c r="E6" s="114" t="s">
        <v>55</v>
      </c>
      <c r="F6" s="14"/>
      <c r="G6" s="23"/>
      <c r="H6" s="23"/>
      <c r="I6" s="316"/>
      <c r="J6" s="14"/>
      <c r="K6" s="24"/>
    </row>
    <row r="7" spans="1:22" ht="15.3">
      <c r="A7" s="22"/>
      <c r="B7" s="324">
        <v>9545663</v>
      </c>
      <c r="C7" s="325"/>
      <c r="D7" s="112" t="s">
        <v>57</v>
      </c>
      <c r="E7" s="94" t="s">
        <v>58</v>
      </c>
      <c r="F7" s="14"/>
      <c r="G7" s="23"/>
      <c r="H7" s="23"/>
      <c r="I7" s="316"/>
      <c r="J7" s="14"/>
      <c r="K7" s="24"/>
    </row>
    <row r="8" spans="1:22" ht="15.3">
      <c r="A8" s="22"/>
      <c r="B8" s="318" t="s">
        <v>77</v>
      </c>
      <c r="C8" s="319"/>
      <c r="D8" s="319"/>
      <c r="E8" s="320"/>
      <c r="F8" s="26"/>
      <c r="G8" s="26"/>
      <c r="H8" s="26"/>
      <c r="I8" s="316"/>
      <c r="J8" s="25"/>
      <c r="K8" s="27"/>
    </row>
    <row r="9" spans="1:22" ht="15.3">
      <c r="A9" s="22"/>
      <c r="B9" s="324" t="s">
        <v>18</v>
      </c>
      <c r="C9" s="326"/>
      <c r="D9" s="326"/>
      <c r="E9" s="325"/>
      <c r="F9" s="28"/>
      <c r="G9" s="28"/>
      <c r="H9" s="28"/>
      <c r="I9" s="317"/>
      <c r="J9" s="29" t="s">
        <v>2</v>
      </c>
      <c r="K9" s="30"/>
    </row>
    <row r="10" spans="1:22" ht="17.399999999999999">
      <c r="A10" s="22"/>
      <c r="B10" s="144" t="s">
        <v>93</v>
      </c>
      <c r="C10" s="31" t="s">
        <v>94</v>
      </c>
      <c r="D10" s="111" t="s">
        <v>96</v>
      </c>
      <c r="E10" s="31" t="s">
        <v>95</v>
      </c>
      <c r="F10" s="32"/>
      <c r="G10" s="32"/>
      <c r="H10" s="32"/>
      <c r="I10" s="33"/>
      <c r="J10" s="33"/>
      <c r="K10" s="34" t="s">
        <v>3</v>
      </c>
    </row>
    <row r="11" spans="1:22" ht="13" customHeight="1">
      <c r="A11" s="22"/>
      <c r="B11" s="101">
        <f>P11</f>
        <v>1</v>
      </c>
      <c r="C11" s="102" t="str">
        <f>R11</f>
        <v>Gadhavi</v>
      </c>
      <c r="D11" s="95" t="str">
        <f>T11</f>
        <v>Fergus Leandro</v>
      </c>
      <c r="E11" s="99" t="str">
        <f>V11</f>
        <v>Captain</v>
      </c>
      <c r="F11" s="35"/>
      <c r="G11" s="35"/>
      <c r="H11" s="35"/>
      <c r="I11" s="35"/>
      <c r="J11" s="36"/>
      <c r="K11" s="36"/>
      <c r="P11">
        <f>IF(Crewlist!B15=0," ",Crewlist!B15)</f>
        <v>1</v>
      </c>
      <c r="R11" t="str">
        <f>IF(Crewlist!C15=0," ",Crewlist!C15)</f>
        <v>Gadhavi</v>
      </c>
      <c r="T11" t="str">
        <f>IF(Crewlist!D15=0," ",Crewlist!D15)</f>
        <v>Fergus Leandro</v>
      </c>
      <c r="V11" t="str">
        <f>IF(Crewlist!E15=0," ",Crewlist!E15)</f>
        <v>Captain</v>
      </c>
    </row>
    <row r="12" spans="1:22" ht="13" customHeight="1">
      <c r="A12" s="22"/>
      <c r="B12" s="52">
        <f>P12</f>
        <v>2</v>
      </c>
      <c r="C12" s="103" t="str">
        <f t="shared" ref="C12:C57" si="0">R12</f>
        <v>Félix</v>
      </c>
      <c r="D12" s="98" t="str">
        <f t="shared" ref="D12:D54" si="1">T12</f>
        <v>Sara Aybek</v>
      </c>
      <c r="E12" s="99" t="str">
        <f t="shared" ref="E12:E54" si="2">V12</f>
        <v>C/O SDPO</v>
      </c>
      <c r="F12" s="35"/>
      <c r="G12" s="35"/>
      <c r="H12" s="35"/>
      <c r="I12" s="35"/>
      <c r="J12" s="37"/>
      <c r="K12" s="38"/>
      <c r="P12">
        <f>IF(Crewlist!B16=0," ",Crewlist!B16)</f>
        <v>2</v>
      </c>
      <c r="R12" t="str">
        <f>IF(Crewlist!C16=0," ",Crewlist!C16)</f>
        <v>Félix</v>
      </c>
      <c r="T12" t="str">
        <f>IF(Crewlist!D16=0," ",Crewlist!D16)</f>
        <v>Sara Aybek</v>
      </c>
      <c r="V12" t="str">
        <f>IF(Crewlist!E16=0," ",Crewlist!E16)</f>
        <v>C/O SDPO</v>
      </c>
    </row>
    <row r="13" spans="1:22" ht="13" customHeight="1">
      <c r="A13" s="22"/>
      <c r="B13" s="52">
        <f t="shared" ref="B13:B54" si="3">P13</f>
        <v>3</v>
      </c>
      <c r="C13" s="103" t="str">
        <f t="shared" si="0"/>
        <v>Garza</v>
      </c>
      <c r="D13" s="93" t="str">
        <f t="shared" si="1"/>
        <v>Daumantas Sawney</v>
      </c>
      <c r="E13" s="106" t="str">
        <f t="shared" si="2"/>
        <v>2/O SDPO</v>
      </c>
      <c r="F13" s="35"/>
      <c r="G13" s="35"/>
      <c r="H13" s="35"/>
      <c r="I13" s="35"/>
      <c r="J13" s="39"/>
      <c r="K13" s="39"/>
      <c r="P13">
        <f>IF(Crewlist!B17=0," ",Crewlist!B17)</f>
        <v>3</v>
      </c>
      <c r="R13" t="str">
        <f>IF(Crewlist!C17=0," ",Crewlist!C17)</f>
        <v>Garza</v>
      </c>
      <c r="T13" t="str">
        <f>IF(Crewlist!D17=0," ",Crewlist!D17)</f>
        <v>Daumantas Sawney</v>
      </c>
      <c r="V13" t="str">
        <f>IF(Crewlist!E17=0," ",Crewlist!E17)</f>
        <v>2/O SDPO</v>
      </c>
    </row>
    <row r="14" spans="1:22" ht="13" customHeight="1">
      <c r="A14" s="22"/>
      <c r="B14" s="52">
        <f t="shared" si="3"/>
        <v>4</v>
      </c>
      <c r="C14" s="103" t="str">
        <f t="shared" si="0"/>
        <v>Thass</v>
      </c>
      <c r="D14" s="93" t="str">
        <f t="shared" si="1"/>
        <v>Shri Danai</v>
      </c>
      <c r="E14" s="106" t="str">
        <f t="shared" si="2"/>
        <v>2/O DPO</v>
      </c>
      <c r="F14" s="35"/>
      <c r="G14" s="35"/>
      <c r="H14" s="35"/>
      <c r="I14" s="35"/>
      <c r="J14" s="40"/>
      <c r="K14" s="40"/>
      <c r="P14">
        <f>IF(Crewlist!B18=0," ",Crewlist!B18)</f>
        <v>4</v>
      </c>
      <c r="R14" t="str">
        <f>IF(Crewlist!C18=0," ",Crewlist!C18)</f>
        <v>Thass</v>
      </c>
      <c r="T14" t="str">
        <f>IF(Crewlist!D18=0," ",Crewlist!D18)</f>
        <v>Shri Danai</v>
      </c>
      <c r="V14" t="str">
        <f>IF(Crewlist!E18=0," ",Crewlist!E18)</f>
        <v>2/O DPO</v>
      </c>
    </row>
    <row r="15" spans="1:22" ht="13" customHeight="1">
      <c r="A15" s="22"/>
      <c r="B15" s="52">
        <f t="shared" si="3"/>
        <v>5</v>
      </c>
      <c r="C15" s="103" t="str">
        <f t="shared" si="0"/>
        <v>Brannon</v>
      </c>
      <c r="D15" s="93" t="str">
        <f t="shared" si="1"/>
        <v>Mikołaj Tatanka</v>
      </c>
      <c r="E15" s="99" t="str">
        <f t="shared" si="2"/>
        <v>2/O DPO</v>
      </c>
      <c r="F15" s="35"/>
      <c r="G15" s="35"/>
      <c r="H15" s="35"/>
      <c r="I15" s="35"/>
      <c r="J15" s="40"/>
      <c r="K15" s="40"/>
      <c r="P15">
        <f>IF(Crewlist!B19=0," ",Crewlist!B19)</f>
        <v>5</v>
      </c>
      <c r="R15" t="str">
        <f>IF(Crewlist!C19=0," ",Crewlist!C19)</f>
        <v>Brannon</v>
      </c>
      <c r="T15" t="str">
        <f>IF(Crewlist!D19=0," ",Crewlist!D19)</f>
        <v>Mikołaj Tatanka</v>
      </c>
      <c r="V15" t="str">
        <f>IF(Crewlist!E19=0," ",Crewlist!E19)</f>
        <v>2/O DPO</v>
      </c>
    </row>
    <row r="16" spans="1:22" ht="13" customHeight="1">
      <c r="A16" s="22"/>
      <c r="B16" s="52">
        <f t="shared" si="3"/>
        <v>6</v>
      </c>
      <c r="C16" s="103" t="str">
        <f t="shared" si="0"/>
        <v>Rake</v>
      </c>
      <c r="D16" s="93" t="str">
        <f t="shared" si="1"/>
        <v>Batuhan Khodadad</v>
      </c>
      <c r="E16" s="99" t="str">
        <f t="shared" si="2"/>
        <v>C/E</v>
      </c>
      <c r="F16" s="35"/>
      <c r="G16" s="35"/>
      <c r="H16" s="35"/>
      <c r="I16" s="35"/>
      <c r="J16" s="40"/>
      <c r="K16" s="40"/>
      <c r="P16">
        <f>IF(Crewlist!B20=0," ",Crewlist!B20)</f>
        <v>6</v>
      </c>
      <c r="R16" t="str">
        <f>IF(Crewlist!C20=0," ",Crewlist!C20)</f>
        <v>Rake</v>
      </c>
      <c r="T16" t="str">
        <f>IF(Crewlist!D20=0," ",Crewlist!D20)</f>
        <v>Batuhan Khodadad</v>
      </c>
      <c r="V16" t="str">
        <f>IF(Crewlist!E20=0," ",Crewlist!E20)</f>
        <v>C/E</v>
      </c>
    </row>
    <row r="17" spans="1:22" ht="13" customHeight="1">
      <c r="A17" s="22"/>
      <c r="B17" s="52">
        <f t="shared" si="3"/>
        <v>7</v>
      </c>
      <c r="C17" s="103" t="str">
        <f t="shared" si="0"/>
        <v>Morozov</v>
      </c>
      <c r="D17" s="93" t="str">
        <f t="shared" si="1"/>
        <v>Murray Valya</v>
      </c>
      <c r="E17" s="99" t="str">
        <f t="shared" si="2"/>
        <v>2/E</v>
      </c>
      <c r="F17" s="35"/>
      <c r="G17" s="35"/>
      <c r="H17" s="35"/>
      <c r="I17" s="35"/>
      <c r="J17" s="40"/>
      <c r="K17" s="40"/>
      <c r="P17">
        <f>IF(Crewlist!B21=0," ",Crewlist!B21)</f>
        <v>7</v>
      </c>
      <c r="R17" t="str">
        <f>IF(Crewlist!C21=0," ",Crewlist!C21)</f>
        <v>Morozov</v>
      </c>
      <c r="T17" t="str">
        <f>IF(Crewlist!D21=0," ",Crewlist!D21)</f>
        <v>Murray Valya</v>
      </c>
      <c r="V17" t="str">
        <f>IF(Crewlist!E21=0," ",Crewlist!E21)</f>
        <v>2/E</v>
      </c>
    </row>
    <row r="18" spans="1:22" ht="13" customHeight="1">
      <c r="A18" s="22"/>
      <c r="B18" s="52">
        <f t="shared" si="3"/>
        <v>8</v>
      </c>
      <c r="C18" s="103" t="str">
        <f t="shared" si="0"/>
        <v>van Wieren</v>
      </c>
      <c r="D18" s="93" t="str">
        <f t="shared" si="1"/>
        <v>Jessenia Caterina</v>
      </c>
      <c r="E18" s="99" t="str">
        <f t="shared" si="2"/>
        <v>3rd Eng</v>
      </c>
      <c r="F18" s="35"/>
      <c r="G18" s="35"/>
      <c r="H18" s="35"/>
      <c r="I18" s="35"/>
      <c r="J18" s="40"/>
      <c r="K18" s="40"/>
      <c r="P18">
        <f>IF(Crewlist!B22=0," ",Crewlist!B22)</f>
        <v>8</v>
      </c>
      <c r="R18" t="str">
        <f>IF(Crewlist!C22=0," ",Crewlist!C22)</f>
        <v>van Wieren</v>
      </c>
      <c r="T18" t="str">
        <f>IF(Crewlist!D22=0," ",Crewlist!D22)</f>
        <v>Jessenia Caterina</v>
      </c>
      <c r="V18" t="str">
        <f>IF(Crewlist!E22=0," ",Crewlist!E22)</f>
        <v>3rd Eng</v>
      </c>
    </row>
    <row r="19" spans="1:22" ht="13" customHeight="1">
      <c r="A19" s="22"/>
      <c r="B19" s="52">
        <f t="shared" si="3"/>
        <v>9</v>
      </c>
      <c r="C19" s="103" t="str">
        <f t="shared" si="0"/>
        <v>Evangelista</v>
      </c>
      <c r="D19" s="93" t="str">
        <f t="shared" si="1"/>
        <v>Veniamin Kyros</v>
      </c>
      <c r="E19" s="106" t="str">
        <f t="shared" si="2"/>
        <v>MM</v>
      </c>
      <c r="F19" s="35"/>
      <c r="G19" s="35"/>
      <c r="H19" s="35"/>
      <c r="I19" s="35"/>
      <c r="J19" s="40"/>
      <c r="K19" s="40"/>
      <c r="P19">
        <f>IF(Crewlist!B23=0," ",Crewlist!B23)</f>
        <v>9</v>
      </c>
      <c r="R19" t="str">
        <f>IF(Crewlist!C23=0," ",Crewlist!C23)</f>
        <v>Evangelista</v>
      </c>
      <c r="T19" t="str">
        <f>IF(Crewlist!D23=0," ",Crewlist!D23)</f>
        <v>Veniamin Kyros</v>
      </c>
      <c r="V19" t="str">
        <f>IF(Crewlist!E23=0," ",Crewlist!E23)</f>
        <v>MM</v>
      </c>
    </row>
    <row r="20" spans="1:22" ht="13" customHeight="1">
      <c r="A20" s="22"/>
      <c r="B20" s="52">
        <f t="shared" si="3"/>
        <v>10</v>
      </c>
      <c r="C20" s="103" t="str">
        <f t="shared" si="0"/>
        <v>Szweda</v>
      </c>
      <c r="D20" s="93" t="str">
        <f t="shared" si="1"/>
        <v>Enki 'Azazyahu</v>
      </c>
      <c r="E20" s="106" t="str">
        <f t="shared" si="2"/>
        <v>Cook</v>
      </c>
      <c r="F20" s="35"/>
      <c r="G20" s="35"/>
      <c r="H20" s="35"/>
      <c r="I20" s="35"/>
      <c r="J20" s="40"/>
      <c r="K20" s="40"/>
      <c r="P20">
        <f>IF(Crewlist!B24=0," ",Crewlist!B24)</f>
        <v>10</v>
      </c>
      <c r="R20" t="str">
        <f>IF(Crewlist!C24=0," ",Crewlist!C24)</f>
        <v>Szweda</v>
      </c>
      <c r="T20" t="str">
        <f>IF(Crewlist!D24=0," ",Crewlist!D24)</f>
        <v>Enki 'Azazyahu</v>
      </c>
      <c r="V20" t="str">
        <f>IF(Crewlist!E24=0," ",Crewlist!E24)</f>
        <v>Cook</v>
      </c>
    </row>
    <row r="21" spans="1:22" ht="13" customHeight="1">
      <c r="A21" s="22"/>
      <c r="B21" s="52">
        <f t="shared" si="3"/>
        <v>11</v>
      </c>
      <c r="C21" s="103" t="str">
        <f t="shared" si="0"/>
        <v>Nozawa</v>
      </c>
      <c r="D21" s="93" t="str">
        <f t="shared" si="1"/>
        <v>AlbertaUche</v>
      </c>
      <c r="E21" s="99" t="str">
        <f t="shared" si="2"/>
        <v>Cook</v>
      </c>
      <c r="F21" s="35"/>
      <c r="G21" s="35"/>
      <c r="H21" s="35"/>
      <c r="I21" s="35"/>
      <c r="J21" s="40"/>
      <c r="K21" s="40"/>
      <c r="P21">
        <f>IF(Crewlist!B25=0," ",Crewlist!B25)</f>
        <v>11</v>
      </c>
      <c r="R21" t="str">
        <f>IF(Crewlist!C25=0," ",Crewlist!C25)</f>
        <v>Nozawa</v>
      </c>
      <c r="T21" t="str">
        <f>IF(Crewlist!D25=0," ",Crewlist!D25)</f>
        <v>AlbertaUche</v>
      </c>
      <c r="V21" t="str">
        <f>IF(Crewlist!E25=0," ",Crewlist!E25)</f>
        <v>Cook</v>
      </c>
    </row>
    <row r="22" spans="1:22" ht="13" customHeight="1">
      <c r="A22" s="22"/>
      <c r="B22" s="52">
        <f t="shared" si="3"/>
        <v>12</v>
      </c>
      <c r="C22" s="103" t="str">
        <f t="shared" si="0"/>
        <v>Crespo</v>
      </c>
      <c r="D22" s="93" t="str">
        <f t="shared" si="1"/>
        <v>HonorataMarko</v>
      </c>
      <c r="E22" s="99" t="str">
        <f t="shared" si="2"/>
        <v>Bosun</v>
      </c>
      <c r="F22" s="35" t="s">
        <v>1</v>
      </c>
      <c r="G22" s="35" t="s">
        <v>1</v>
      </c>
      <c r="H22" s="35" t="s">
        <v>1</v>
      </c>
      <c r="I22" s="36" t="s">
        <v>1</v>
      </c>
      <c r="J22" s="40"/>
      <c r="K22" s="40"/>
      <c r="P22">
        <f>IF(Crewlist!B26=0," ",Crewlist!B26)</f>
        <v>12</v>
      </c>
      <c r="R22" t="str">
        <f>IF(Crewlist!C26=0," ",Crewlist!C26)</f>
        <v>Crespo</v>
      </c>
      <c r="T22" t="str">
        <f>IF(Crewlist!D26=0," ",Crewlist!D26)</f>
        <v>HonorataMarko</v>
      </c>
      <c r="V22" t="str">
        <f>IF(Crewlist!E26=0," ",Crewlist!E26)</f>
        <v>Bosun</v>
      </c>
    </row>
    <row r="23" spans="1:22" ht="13" customHeight="1">
      <c r="A23" s="22"/>
      <c r="B23" s="52">
        <f t="shared" si="3"/>
        <v>13</v>
      </c>
      <c r="C23" s="103" t="str">
        <f t="shared" si="0"/>
        <v>Szép</v>
      </c>
      <c r="D23" s="93" t="str">
        <f t="shared" si="1"/>
        <v>DanuškaLuken</v>
      </c>
      <c r="E23" s="99" t="str">
        <f t="shared" si="2"/>
        <v>AB Crane</v>
      </c>
      <c r="F23" s="41"/>
      <c r="G23" s="42"/>
      <c r="H23" s="42"/>
      <c r="I23" s="40"/>
      <c r="J23" s="40"/>
      <c r="K23" s="40"/>
      <c r="P23">
        <f>IF(Crewlist!B27=0," ",Crewlist!B27)</f>
        <v>13</v>
      </c>
      <c r="R23" t="str">
        <f>IF(Crewlist!C27=0," ",Crewlist!C27)</f>
        <v>Szép</v>
      </c>
      <c r="T23" t="str">
        <f>IF(Crewlist!D27=0," ",Crewlist!D27)</f>
        <v>DanuškaLuken</v>
      </c>
      <c r="V23" t="str">
        <f>IF(Crewlist!E27=0," ",Crewlist!E27)</f>
        <v>AB Crane</v>
      </c>
    </row>
    <row r="24" spans="1:22" ht="13" customHeight="1">
      <c r="A24" s="22"/>
      <c r="B24" s="52">
        <f t="shared" si="3"/>
        <v>14</v>
      </c>
      <c r="C24" s="104" t="str">
        <f t="shared" si="0"/>
        <v>Shinoda</v>
      </c>
      <c r="D24" s="98" t="str">
        <f t="shared" si="1"/>
        <v>JessaEnea</v>
      </c>
      <c r="E24" s="99" t="str">
        <f t="shared" si="2"/>
        <v>AB</v>
      </c>
      <c r="F24" s="41" t="s">
        <v>4</v>
      </c>
      <c r="G24" s="42"/>
      <c r="H24" s="42"/>
      <c r="I24" s="40"/>
      <c r="J24" s="40"/>
      <c r="K24" s="40"/>
      <c r="P24">
        <f>IF(Crewlist!B28=0," ",Crewlist!B28)</f>
        <v>14</v>
      </c>
      <c r="R24" t="str">
        <f>IF(Crewlist!C28=0," ",Crewlist!C28)</f>
        <v>Shinoda</v>
      </c>
      <c r="T24" t="str">
        <f>IF(Crewlist!D28=0," ",Crewlist!D28)</f>
        <v>JessaEnea</v>
      </c>
      <c r="V24" t="str">
        <f>IF(Crewlist!E28=0," ",Crewlist!E28)</f>
        <v>AB</v>
      </c>
    </row>
    <row r="25" spans="1:22" ht="13" customHeight="1">
      <c r="A25" s="22"/>
      <c r="B25" s="52">
        <f t="shared" si="3"/>
        <v>15</v>
      </c>
      <c r="C25" s="103" t="str">
        <f t="shared" si="0"/>
        <v>Furlan</v>
      </c>
      <c r="D25" s="93" t="str">
        <f t="shared" si="1"/>
        <v>IvkaWilla</v>
      </c>
      <c r="E25" s="99" t="str">
        <f t="shared" si="2"/>
        <v>AB</v>
      </c>
      <c r="F25" s="41" t="s">
        <v>4</v>
      </c>
      <c r="G25" s="42"/>
      <c r="H25" s="42"/>
      <c r="I25" s="40"/>
      <c r="J25" s="40"/>
      <c r="K25" s="40"/>
      <c r="P25">
        <f>IF(Crewlist!B29=0," ",Crewlist!B29)</f>
        <v>15</v>
      </c>
      <c r="R25" t="str">
        <f>IF(Crewlist!C29=0," ",Crewlist!C29)</f>
        <v>Furlan</v>
      </c>
      <c r="T25" t="str">
        <f>IF(Crewlist!D29=0," ",Crewlist!D29)</f>
        <v>IvkaWilla</v>
      </c>
      <c r="V25" t="str">
        <f>IF(Crewlist!E29=0," ",Crewlist!E29)</f>
        <v>AB</v>
      </c>
    </row>
    <row r="26" spans="1:22" ht="13" customHeight="1">
      <c r="A26" s="43"/>
      <c r="B26" s="52">
        <f t="shared" si="3"/>
        <v>16</v>
      </c>
      <c r="C26" s="103" t="str">
        <f t="shared" si="0"/>
        <v>Salomon</v>
      </c>
      <c r="D26" s="93" t="str">
        <f t="shared" si="1"/>
        <v>PerchuhiGomer</v>
      </c>
      <c r="E26" s="99" t="str">
        <f t="shared" si="2"/>
        <v>PC</v>
      </c>
      <c r="F26" s="41"/>
      <c r="G26" s="42"/>
      <c r="H26" s="42"/>
      <c r="I26" s="40"/>
      <c r="J26" s="40"/>
      <c r="K26" s="40"/>
      <c r="P26">
        <f>IF(Crewlist!B30=0," ",Crewlist!B30)</f>
        <v>16</v>
      </c>
      <c r="R26" t="str">
        <f>IF(Crewlist!C30=0," ",Crewlist!C30)</f>
        <v>Salomon</v>
      </c>
      <c r="T26" t="str">
        <f>IF(Crewlist!D30=0," ",Crewlist!D30)</f>
        <v>PerchuhiGomer</v>
      </c>
      <c r="V26" t="str">
        <f>IF(Crewlist!E30=0," ",Crewlist!E30)</f>
        <v>PC</v>
      </c>
    </row>
    <row r="27" spans="1:22" ht="13" customHeight="1">
      <c r="A27" s="44"/>
      <c r="B27" s="52">
        <f t="shared" si="3"/>
        <v>17</v>
      </c>
      <c r="C27" s="103" t="str">
        <f t="shared" si="0"/>
        <v>Sala</v>
      </c>
      <c r="D27" s="93" t="str">
        <f t="shared" si="1"/>
        <v>DavidAmanda</v>
      </c>
      <c r="E27" s="99" t="str">
        <f t="shared" si="2"/>
        <v xml:space="preserve">data </v>
      </c>
      <c r="F27" s="41"/>
      <c r="G27" s="35"/>
      <c r="H27" s="35"/>
      <c r="I27" s="35"/>
      <c r="J27" s="39"/>
      <c r="K27" s="39"/>
      <c r="P27">
        <f>IF(Crewlist!B31=0," ",Crewlist!B31)</f>
        <v>17</v>
      </c>
      <c r="R27" t="str">
        <f>IF(Crewlist!C31=0," ",Crewlist!C31)</f>
        <v>Sala</v>
      </c>
      <c r="T27" t="str">
        <f>IF(Crewlist!D31=0," ",Crewlist!D31)</f>
        <v>DavidAmanda</v>
      </c>
      <c r="V27" t="str">
        <f>IF(Crewlist!E31=0," ",Crewlist!E31)</f>
        <v xml:space="preserve">data </v>
      </c>
    </row>
    <row r="28" spans="1:22" ht="13" customHeight="1">
      <c r="A28" s="43"/>
      <c r="B28" s="52">
        <f t="shared" si="3"/>
        <v>18</v>
      </c>
      <c r="C28" s="103" t="str">
        <f t="shared" si="0"/>
        <v>MacNevin</v>
      </c>
      <c r="D28" s="93" t="str">
        <f t="shared" si="1"/>
        <v>ApostolKanti</v>
      </c>
      <c r="E28" s="99" t="str">
        <f t="shared" si="2"/>
        <v>Surveyor</v>
      </c>
      <c r="F28" s="41"/>
      <c r="G28" s="35"/>
      <c r="H28" s="35"/>
      <c r="I28" s="35"/>
      <c r="J28" s="40"/>
      <c r="K28" s="40"/>
      <c r="P28">
        <f>IF(Crewlist!B32=0," ",Crewlist!B32)</f>
        <v>18</v>
      </c>
      <c r="R28" t="str">
        <f>IF(Crewlist!C32=0," ",Crewlist!C32)</f>
        <v>MacNevin</v>
      </c>
      <c r="T28" t="str">
        <f>IF(Crewlist!D32=0," ",Crewlist!D32)</f>
        <v>ApostolKanti</v>
      </c>
      <c r="V28" t="str">
        <f>IF(Crewlist!E32=0," ",Crewlist!E32)</f>
        <v>Surveyor</v>
      </c>
    </row>
    <row r="29" spans="1:22" ht="13" customHeight="1">
      <c r="A29" s="43"/>
      <c r="B29" s="52">
        <f t="shared" si="3"/>
        <v>19</v>
      </c>
      <c r="C29" s="103" t="str">
        <f t="shared" si="0"/>
        <v>Kauffmann</v>
      </c>
      <c r="D29" s="93" t="str">
        <f t="shared" si="1"/>
        <v>WłodekIina</v>
      </c>
      <c r="E29" s="99" t="str">
        <f t="shared" si="2"/>
        <v>Surveyor</v>
      </c>
      <c r="F29" s="41"/>
      <c r="G29" s="35"/>
      <c r="H29" s="35"/>
      <c r="I29" s="35"/>
      <c r="J29" s="40"/>
      <c r="K29" s="40"/>
      <c r="P29">
        <f>IF(Crewlist!B33=0," ",Crewlist!B33)</f>
        <v>19</v>
      </c>
      <c r="R29" t="str">
        <f>IF(Crewlist!C33=0," ",Crewlist!C33)</f>
        <v>Kauffmann</v>
      </c>
      <c r="T29" t="str">
        <f>IF(Crewlist!D33=0," ",Crewlist!D33)</f>
        <v>WłodekIina</v>
      </c>
      <c r="V29" t="str">
        <f>IF(Crewlist!E33=0," ",Crewlist!E33)</f>
        <v>Surveyor</v>
      </c>
    </row>
    <row r="30" spans="1:22" ht="13" customHeight="1">
      <c r="A30" s="43"/>
      <c r="B30" s="52">
        <f t="shared" si="3"/>
        <v>20</v>
      </c>
      <c r="C30" s="103" t="str">
        <f t="shared" si="0"/>
        <v>Longo</v>
      </c>
      <c r="D30" s="93" t="str">
        <f t="shared" si="1"/>
        <v>SilvijaNisha</v>
      </c>
      <c r="E30" s="99" t="str">
        <f t="shared" si="2"/>
        <v>Data</v>
      </c>
      <c r="F30" s="41"/>
      <c r="G30" s="35"/>
      <c r="H30" s="35"/>
      <c r="I30" s="35"/>
      <c r="J30" s="40" t="s">
        <v>1</v>
      </c>
      <c r="K30" s="40"/>
      <c r="P30">
        <f>IF(Crewlist!B34=0," ",Crewlist!B34)</f>
        <v>20</v>
      </c>
      <c r="R30" t="str">
        <f>IF(Crewlist!C34=0," ",Crewlist!C34)</f>
        <v>Longo</v>
      </c>
      <c r="T30" t="str">
        <f>IF(Crewlist!D34=0," ",Crewlist!D34)</f>
        <v>SilvijaNisha</v>
      </c>
      <c r="V30" t="str">
        <f>IF(Crewlist!E34=0," ",Crewlist!E34)</f>
        <v>Data</v>
      </c>
    </row>
    <row r="31" spans="1:22" ht="13" customHeight="1">
      <c r="A31" s="43"/>
      <c r="B31" s="52">
        <f t="shared" si="3"/>
        <v>21</v>
      </c>
      <c r="C31" s="105" t="str">
        <f t="shared" si="0"/>
        <v>Amador</v>
      </c>
      <c r="D31" s="97" t="str">
        <f t="shared" si="1"/>
        <v>DaudZinat</v>
      </c>
      <c r="E31" s="99" t="str">
        <f t="shared" si="2"/>
        <v>Geo</v>
      </c>
      <c r="F31" s="41"/>
      <c r="G31" s="35"/>
      <c r="H31" s="35"/>
      <c r="I31" s="35"/>
      <c r="J31" s="40"/>
      <c r="K31" s="40"/>
      <c r="P31">
        <f>IF(Crewlist!B35=0," ",Crewlist!B35)</f>
        <v>21</v>
      </c>
      <c r="R31" t="str">
        <f>IF(Crewlist!C35=0," ",Crewlist!C35)</f>
        <v>Amador</v>
      </c>
      <c r="T31" t="str">
        <f>IF(Crewlist!D35=0," ",Crewlist!D35)</f>
        <v>DaudZinat</v>
      </c>
      <c r="V31" t="str">
        <f>IF(Crewlist!E35=0," ",Crewlist!E35)</f>
        <v>Geo</v>
      </c>
    </row>
    <row r="32" spans="1:22" ht="13" customHeight="1">
      <c r="A32" s="43" t="s">
        <v>5</v>
      </c>
      <c r="B32" s="52">
        <f t="shared" si="3"/>
        <v>22</v>
      </c>
      <c r="C32" s="103" t="str">
        <f t="shared" si="0"/>
        <v>Braden</v>
      </c>
      <c r="D32" s="93" t="str">
        <f t="shared" si="1"/>
        <v>KaoruCosmas</v>
      </c>
      <c r="E32" s="99" t="str">
        <f t="shared" si="2"/>
        <v>Survey</v>
      </c>
      <c r="F32" s="41"/>
      <c r="G32" s="35"/>
      <c r="H32" s="35"/>
      <c r="I32" s="35"/>
      <c r="J32" s="40"/>
      <c r="K32" s="40"/>
      <c r="P32">
        <f>IF(Crewlist!B36=0," ",Crewlist!B36)</f>
        <v>22</v>
      </c>
      <c r="R32" t="str">
        <f>IF(Crewlist!C36=0," ",Crewlist!C36)</f>
        <v>Braden</v>
      </c>
      <c r="T32" t="str">
        <f>IF(Crewlist!D36=0," ",Crewlist!D36)</f>
        <v>KaoruCosmas</v>
      </c>
      <c r="V32" t="str">
        <f>IF(Crewlist!E36=0," ",Crewlist!E36)</f>
        <v>Survey</v>
      </c>
    </row>
    <row r="33" spans="1:22" ht="13" customHeight="1">
      <c r="A33" s="44" t="s">
        <v>6</v>
      </c>
      <c r="B33" s="52">
        <f t="shared" si="3"/>
        <v>23</v>
      </c>
      <c r="C33" s="103" t="str">
        <f t="shared" si="0"/>
        <v>Iliescu</v>
      </c>
      <c r="D33" s="93" t="str">
        <f t="shared" si="1"/>
        <v>EmilianAgostinho</v>
      </c>
      <c r="E33" s="99" t="str">
        <f t="shared" si="2"/>
        <v>ROV</v>
      </c>
      <c r="F33" s="41"/>
      <c r="G33" s="35"/>
      <c r="H33" s="35"/>
      <c r="I33" s="35"/>
      <c r="J33" s="40"/>
      <c r="K33" s="40"/>
      <c r="P33">
        <f>IF(Crewlist!B37=0," ",Crewlist!B37)</f>
        <v>23</v>
      </c>
      <c r="R33" t="str">
        <f>IF(Crewlist!C37=0," ",Crewlist!C37)</f>
        <v>Iliescu</v>
      </c>
      <c r="T33" t="str">
        <f>IF(Crewlist!D37=0," ",Crewlist!D37)</f>
        <v>EmilianAgostinho</v>
      </c>
      <c r="V33" t="str">
        <f>IF(Crewlist!E37=0," ",Crewlist!E37)</f>
        <v>ROV</v>
      </c>
    </row>
    <row r="34" spans="1:22" ht="13" customHeight="1">
      <c r="A34" s="43"/>
      <c r="B34" s="52">
        <f t="shared" si="3"/>
        <v>24</v>
      </c>
      <c r="C34" s="103" t="str">
        <f t="shared" si="0"/>
        <v>Christian</v>
      </c>
      <c r="D34" s="93" t="str">
        <f t="shared" si="1"/>
        <v>VilhjálmurTerje</v>
      </c>
      <c r="E34" s="99" t="str">
        <f t="shared" si="2"/>
        <v>ROV</v>
      </c>
      <c r="F34" s="41"/>
      <c r="G34" s="35"/>
      <c r="H34" s="35"/>
      <c r="I34" s="35"/>
      <c r="J34" s="40"/>
      <c r="K34" s="40"/>
      <c r="P34">
        <f>IF(Crewlist!B38=0," ",Crewlist!B38)</f>
        <v>24</v>
      </c>
      <c r="R34" t="str">
        <f>IF(Crewlist!C38=0," ",Crewlist!C38)</f>
        <v>Christian</v>
      </c>
      <c r="T34" t="str">
        <f>IF(Crewlist!D38=0," ",Crewlist!D38)</f>
        <v>VilhjálmurTerje</v>
      </c>
      <c r="V34" t="str">
        <f>IF(Crewlist!E38=0," ",Crewlist!E38)</f>
        <v>ROV</v>
      </c>
    </row>
    <row r="35" spans="1:22" ht="13" customHeight="1">
      <c r="A35" s="43"/>
      <c r="B35" s="52">
        <f t="shared" si="3"/>
        <v>25</v>
      </c>
      <c r="C35" s="103" t="str">
        <f t="shared" si="0"/>
        <v>Clark</v>
      </c>
      <c r="D35" s="93" t="str">
        <f t="shared" si="1"/>
        <v>LilliaAnte</v>
      </c>
      <c r="E35" s="99" t="str">
        <f t="shared" si="2"/>
        <v>ROV</v>
      </c>
      <c r="F35" s="41"/>
      <c r="G35" s="35"/>
      <c r="H35" s="35"/>
      <c r="I35" s="35"/>
      <c r="J35" s="40"/>
      <c r="K35" s="40"/>
      <c r="P35">
        <f>IF(Crewlist!B39=0," ",Crewlist!B39)</f>
        <v>25</v>
      </c>
      <c r="R35" t="str">
        <f>IF(Crewlist!C39=0," ",Crewlist!C39)</f>
        <v>Clark</v>
      </c>
      <c r="T35" t="str">
        <f>IF(Crewlist!D39=0," ",Crewlist!D39)</f>
        <v>LilliaAnte</v>
      </c>
      <c r="V35" t="str">
        <f>IF(Crewlist!E39=0," ",Crewlist!E39)</f>
        <v>ROV</v>
      </c>
    </row>
    <row r="36" spans="1:22" ht="13" customHeight="1">
      <c r="A36" s="43"/>
      <c r="B36" s="52">
        <f t="shared" si="3"/>
        <v>26</v>
      </c>
      <c r="C36" s="104" t="str">
        <f t="shared" si="0"/>
        <v>Spini</v>
      </c>
      <c r="D36" s="98" t="str">
        <f t="shared" si="1"/>
        <v>IdirAbiola</v>
      </c>
      <c r="E36" s="99" t="str">
        <f t="shared" si="2"/>
        <v>ROV Sup</v>
      </c>
      <c r="F36" s="41"/>
      <c r="G36" s="35"/>
      <c r="H36" s="35"/>
      <c r="I36" s="35"/>
      <c r="J36" s="40"/>
      <c r="K36" s="40"/>
      <c r="P36">
        <f>IF(Crewlist!B40=0," ",Crewlist!B40)</f>
        <v>26</v>
      </c>
      <c r="R36" t="str">
        <f>IF(Crewlist!C40=0," ",Crewlist!C40)</f>
        <v>Spini</v>
      </c>
      <c r="T36" t="str">
        <f>IF(Crewlist!D40=0," ",Crewlist!D40)</f>
        <v>IdirAbiola</v>
      </c>
      <c r="V36" t="str">
        <f>IF(Crewlist!E40=0," ",Crewlist!E40)</f>
        <v>ROV Sup</v>
      </c>
    </row>
    <row r="37" spans="1:22" ht="13" customHeight="1">
      <c r="A37" s="43"/>
      <c r="B37" s="52">
        <f t="shared" si="3"/>
        <v>27</v>
      </c>
      <c r="C37" s="103" t="str">
        <f t="shared" si="0"/>
        <v>Alessi</v>
      </c>
      <c r="D37" s="93" t="str">
        <f t="shared" si="1"/>
        <v>AuroraAmonet</v>
      </c>
      <c r="E37" s="99" t="str">
        <f t="shared" si="2"/>
        <v>UXO</v>
      </c>
      <c r="F37" s="41"/>
      <c r="G37" s="35"/>
      <c r="H37" s="35"/>
      <c r="I37" s="35"/>
      <c r="J37" s="40"/>
      <c r="K37" s="40"/>
      <c r="P37">
        <f>IF(Crewlist!B41=0," ",Crewlist!B41)</f>
        <v>27</v>
      </c>
      <c r="R37" t="str">
        <f>IF(Crewlist!C41=0," ",Crewlist!C41)</f>
        <v>Alessi</v>
      </c>
      <c r="T37" t="str">
        <f>IF(Crewlist!D41=0," ",Crewlist!D41)</f>
        <v>AuroraAmonet</v>
      </c>
      <c r="V37" t="str">
        <f>IF(Crewlist!E41=0," ",Crewlist!E41)</f>
        <v>UXO</v>
      </c>
    </row>
    <row r="38" spans="1:22" ht="13" customHeight="1">
      <c r="A38" s="43"/>
      <c r="B38" s="52">
        <f t="shared" si="3"/>
        <v>28</v>
      </c>
      <c r="C38" s="103" t="str">
        <f t="shared" si="0"/>
        <v>Macek</v>
      </c>
      <c r="D38" s="93" t="str">
        <f t="shared" si="1"/>
        <v>LudwigTakuya</v>
      </c>
      <c r="E38" s="99" t="str">
        <f t="shared" si="2"/>
        <v>Client</v>
      </c>
      <c r="F38" s="41"/>
      <c r="G38" s="35"/>
      <c r="H38" s="35"/>
      <c r="I38" s="35"/>
      <c r="J38" s="40"/>
      <c r="K38" s="40"/>
      <c r="P38">
        <f>IF(Crewlist!B42=0," ",Crewlist!B42)</f>
        <v>28</v>
      </c>
      <c r="R38" t="str">
        <f>IF(Crewlist!C42=0," ",Crewlist!C42)</f>
        <v>Macek</v>
      </c>
      <c r="T38" t="str">
        <f>IF(Crewlist!D42=0," ",Crewlist!D42)</f>
        <v>LudwigTakuya</v>
      </c>
      <c r="V38" t="str">
        <f>IF(Crewlist!E42=0," ",Crewlist!E42)</f>
        <v>Client</v>
      </c>
    </row>
    <row r="39" spans="1:22" ht="13" customHeight="1">
      <c r="A39" s="43"/>
      <c r="B39" s="52">
        <f t="shared" si="3"/>
        <v>29</v>
      </c>
      <c r="C39" s="103" t="str">
        <f t="shared" si="0"/>
        <v>Curry</v>
      </c>
      <c r="D39" s="93" t="str">
        <f t="shared" si="1"/>
        <v>DawaAmie</v>
      </c>
      <c r="E39" s="99" t="str">
        <f t="shared" si="2"/>
        <v>UXO</v>
      </c>
      <c r="F39" s="41"/>
      <c r="G39" s="35"/>
      <c r="H39" s="35"/>
      <c r="I39" s="35"/>
      <c r="J39" s="40"/>
      <c r="K39" s="40"/>
      <c r="P39">
        <f>IF(Crewlist!B43=0," ",Crewlist!B43)</f>
        <v>29</v>
      </c>
      <c r="R39" t="str">
        <f>IF(Crewlist!C43=0," ",Crewlist!C43)</f>
        <v>Curry</v>
      </c>
      <c r="T39" t="str">
        <f>IF(Crewlist!D43=0," ",Crewlist!D43)</f>
        <v>DawaAmie</v>
      </c>
      <c r="V39" t="str">
        <f>IF(Crewlist!E43=0," ",Crewlist!E43)</f>
        <v>UXO</v>
      </c>
    </row>
    <row r="40" spans="1:22" ht="13" customHeight="1">
      <c r="A40" s="43"/>
      <c r="B40" s="52">
        <f t="shared" si="3"/>
        <v>30</v>
      </c>
      <c r="C40" s="103" t="str">
        <f t="shared" si="0"/>
        <v>Gwerder</v>
      </c>
      <c r="D40" s="93" t="str">
        <f t="shared" si="1"/>
        <v>MileJuliana</v>
      </c>
      <c r="E40" s="99" t="str">
        <f t="shared" si="2"/>
        <v>UXO</v>
      </c>
      <c r="F40" s="41"/>
      <c r="G40" s="35"/>
      <c r="H40" s="35"/>
      <c r="I40" s="36"/>
      <c r="J40" s="40"/>
      <c r="K40" s="40"/>
      <c r="P40">
        <f>IF(Crewlist!B44=0," ",Crewlist!B44)</f>
        <v>30</v>
      </c>
      <c r="R40" t="str">
        <f>IF(Crewlist!C44=0," ",Crewlist!C44)</f>
        <v>Gwerder</v>
      </c>
      <c r="T40" t="str">
        <f>IF(Crewlist!D44=0," ",Crewlist!D44)</f>
        <v>MileJuliana</v>
      </c>
      <c r="V40" t="str">
        <f>IF(Crewlist!E44=0," ",Crewlist!E44)</f>
        <v>UXO</v>
      </c>
    </row>
    <row r="41" spans="1:22" ht="13" customHeight="1">
      <c r="A41" s="43"/>
      <c r="B41" s="52" t="str">
        <f t="shared" si="3"/>
        <v xml:space="preserve"> </v>
      </c>
      <c r="C41" s="104" t="str">
        <f t="shared" si="0"/>
        <v xml:space="preserve"> </v>
      </c>
      <c r="D41" s="98" t="str">
        <f t="shared" si="1"/>
        <v xml:space="preserve"> </v>
      </c>
      <c r="E41" s="99" t="str">
        <f t="shared" si="2"/>
        <v xml:space="preserve"> </v>
      </c>
      <c r="F41" s="41"/>
      <c r="G41" s="35"/>
      <c r="H41" s="35"/>
      <c r="I41" s="36"/>
      <c r="J41" s="40"/>
      <c r="K41" s="40"/>
      <c r="P41" t="str">
        <f>IF(Crewlist!B45=0," ",Crewlist!B45)</f>
        <v xml:space="preserve"> </v>
      </c>
      <c r="R41" t="str">
        <f>IF(Crewlist!C45=0," ",Crewlist!C45)</f>
        <v xml:space="preserve"> </v>
      </c>
      <c r="T41" t="str">
        <f>IF(Crewlist!D45=0," ",Crewlist!D45)</f>
        <v xml:space="preserve"> </v>
      </c>
      <c r="V41" t="str">
        <f>IF(Crewlist!E45=0," ",Crewlist!E45)</f>
        <v xml:space="preserve"> </v>
      </c>
    </row>
    <row r="42" spans="1:22" ht="13" customHeight="1">
      <c r="A42" s="43"/>
      <c r="B42" s="52" t="str">
        <f t="shared" si="3"/>
        <v xml:space="preserve"> </v>
      </c>
      <c r="C42" s="103" t="str">
        <f t="shared" si="0"/>
        <v xml:space="preserve"> </v>
      </c>
      <c r="D42" s="93" t="str">
        <f t="shared" si="1"/>
        <v xml:space="preserve"> </v>
      </c>
      <c r="E42" s="99" t="str">
        <f t="shared" si="2"/>
        <v xml:space="preserve"> </v>
      </c>
      <c r="F42" s="41"/>
      <c r="G42" s="35"/>
      <c r="H42" s="35"/>
      <c r="I42" s="36"/>
      <c r="J42" s="40"/>
      <c r="K42" s="40"/>
      <c r="P42" t="str">
        <f>IF(Crewlist!B46=0," ",Crewlist!B46)</f>
        <v xml:space="preserve"> </v>
      </c>
      <c r="R42" t="str">
        <f>IF(Crewlist!C46=0," ",Crewlist!C46)</f>
        <v xml:space="preserve"> </v>
      </c>
      <c r="T42" t="str">
        <f>IF(Crewlist!D46=0," ",Crewlist!D46)</f>
        <v xml:space="preserve"> </v>
      </c>
      <c r="V42" t="str">
        <f>IF(Crewlist!E46=0," ",Crewlist!E46)</f>
        <v xml:space="preserve"> </v>
      </c>
    </row>
    <row r="43" spans="1:22" ht="13" customHeight="1">
      <c r="A43" s="43"/>
      <c r="B43" s="52" t="str">
        <f t="shared" si="3"/>
        <v xml:space="preserve"> </v>
      </c>
      <c r="C43" s="103" t="str">
        <f t="shared" si="0"/>
        <v xml:space="preserve"> </v>
      </c>
      <c r="D43" s="93" t="str">
        <f t="shared" si="1"/>
        <v xml:space="preserve"> </v>
      </c>
      <c r="E43" s="99" t="str">
        <f t="shared" si="2"/>
        <v xml:space="preserve"> </v>
      </c>
      <c r="F43" s="41"/>
      <c r="G43" s="35"/>
      <c r="H43" s="35"/>
      <c r="I43" s="36"/>
      <c r="J43" s="40"/>
      <c r="K43" s="40"/>
      <c r="P43" t="str">
        <f>IF(Crewlist!B47=0," ",Crewlist!B47)</f>
        <v xml:space="preserve"> </v>
      </c>
      <c r="R43" t="str">
        <f>IF(Crewlist!C47=0," ",Crewlist!C47)</f>
        <v xml:space="preserve"> </v>
      </c>
      <c r="T43" t="str">
        <f>IF(Crewlist!D47=0," ",Crewlist!D47)</f>
        <v xml:space="preserve"> </v>
      </c>
      <c r="V43" t="str">
        <f>IF(Crewlist!E47=0," ",Crewlist!E47)</f>
        <v xml:space="preserve"> </v>
      </c>
    </row>
    <row r="44" spans="1:22" ht="13" customHeight="1">
      <c r="A44" s="43"/>
      <c r="B44" s="52" t="str">
        <f t="shared" si="3"/>
        <v xml:space="preserve"> </v>
      </c>
      <c r="C44" s="103" t="str">
        <f t="shared" si="0"/>
        <v xml:space="preserve"> </v>
      </c>
      <c r="D44" s="93" t="str">
        <f t="shared" si="1"/>
        <v xml:space="preserve"> </v>
      </c>
      <c r="E44" s="99" t="str">
        <f t="shared" si="2"/>
        <v xml:space="preserve"> </v>
      </c>
      <c r="F44" s="41"/>
      <c r="G44" s="35" t="s">
        <v>1</v>
      </c>
      <c r="H44" s="35" t="s">
        <v>1</v>
      </c>
      <c r="I44" s="36" t="s">
        <v>1</v>
      </c>
      <c r="J44" s="40"/>
      <c r="K44" s="40"/>
      <c r="P44" t="str">
        <f>IF(Crewlist!B48=0," ",Crewlist!B48)</f>
        <v xml:space="preserve"> </v>
      </c>
      <c r="R44" t="str">
        <f>IF(Crewlist!C48=0," ",Crewlist!C48)</f>
        <v xml:space="preserve"> </v>
      </c>
      <c r="T44" t="str">
        <f>IF(Crewlist!D48=0," ",Crewlist!D48)</f>
        <v xml:space="preserve"> </v>
      </c>
      <c r="V44" t="str">
        <f>IF(Crewlist!E48=0," ",Crewlist!E48)</f>
        <v xml:space="preserve"> </v>
      </c>
    </row>
    <row r="45" spans="1:22" ht="13" customHeight="1">
      <c r="A45" s="43"/>
      <c r="B45" s="52" t="str">
        <f t="shared" si="3"/>
        <v xml:space="preserve"> </v>
      </c>
      <c r="C45" s="103" t="str">
        <f t="shared" si="0"/>
        <v xml:space="preserve"> </v>
      </c>
      <c r="D45" s="93" t="str">
        <f t="shared" si="1"/>
        <v xml:space="preserve"> </v>
      </c>
      <c r="E45" s="99" t="str">
        <f t="shared" si="2"/>
        <v xml:space="preserve"> </v>
      </c>
      <c r="F45" s="41"/>
      <c r="G45" s="42"/>
      <c r="H45" s="42"/>
      <c r="I45" s="40"/>
      <c r="J45" s="40"/>
      <c r="K45" s="40"/>
      <c r="P45" t="str">
        <f>IF(Crewlist!B49=0," ",Crewlist!B49)</f>
        <v xml:space="preserve"> </v>
      </c>
      <c r="R45" t="str">
        <f>IF(Crewlist!C49=0," ",Crewlist!C49)</f>
        <v xml:space="preserve"> </v>
      </c>
      <c r="T45" t="str">
        <f>IF(Crewlist!D49=0," ",Crewlist!D49)</f>
        <v xml:space="preserve"> </v>
      </c>
      <c r="V45" t="str">
        <f>IF(Crewlist!E49=0," ",Crewlist!E49)</f>
        <v xml:space="preserve"> </v>
      </c>
    </row>
    <row r="46" spans="1:22" ht="13" customHeight="1">
      <c r="A46" s="43"/>
      <c r="B46" s="52" t="str">
        <f t="shared" si="3"/>
        <v xml:space="preserve"> </v>
      </c>
      <c r="C46" s="103" t="str">
        <f t="shared" si="0"/>
        <v xml:space="preserve"> </v>
      </c>
      <c r="D46" s="93" t="str">
        <f t="shared" si="1"/>
        <v xml:space="preserve"> </v>
      </c>
      <c r="E46" s="99" t="str">
        <f t="shared" si="2"/>
        <v xml:space="preserve"> </v>
      </c>
      <c r="F46" s="41"/>
      <c r="G46" s="42"/>
      <c r="H46" s="42"/>
      <c r="I46" s="40"/>
      <c r="J46" s="40"/>
      <c r="K46" s="40"/>
      <c r="P46" t="str">
        <f>IF(Crewlist!B50=0," ",Crewlist!B50)</f>
        <v xml:space="preserve"> </v>
      </c>
      <c r="R46" t="str">
        <f>IF(Crewlist!C50=0," ",Crewlist!C50)</f>
        <v xml:space="preserve"> </v>
      </c>
      <c r="T46" t="str">
        <f>IF(Crewlist!D50=0," ",Crewlist!D50)</f>
        <v xml:space="preserve"> </v>
      </c>
      <c r="V46" t="str">
        <f>IF(Crewlist!E50=0," ",Crewlist!E50)</f>
        <v xml:space="preserve"> </v>
      </c>
    </row>
    <row r="47" spans="1:22" ht="13" customHeight="1">
      <c r="A47" s="43"/>
      <c r="B47" s="52" t="str">
        <f t="shared" si="3"/>
        <v xml:space="preserve"> </v>
      </c>
      <c r="C47" s="105" t="str">
        <f t="shared" si="0"/>
        <v xml:space="preserve"> </v>
      </c>
      <c r="D47" s="97" t="str">
        <f t="shared" si="1"/>
        <v xml:space="preserve"> </v>
      </c>
      <c r="E47" s="99" t="str">
        <f t="shared" si="2"/>
        <v xml:space="preserve"> </v>
      </c>
      <c r="F47" s="41"/>
      <c r="G47" s="42"/>
      <c r="H47" s="42"/>
      <c r="I47" s="40"/>
      <c r="J47" s="40"/>
      <c r="K47" s="40"/>
      <c r="P47" t="str">
        <f>IF(Crewlist!B51=0," ",Crewlist!B51)</f>
        <v xml:space="preserve"> </v>
      </c>
      <c r="R47" t="str">
        <f>IF(Crewlist!C51=0," ",Crewlist!C51)</f>
        <v xml:space="preserve"> </v>
      </c>
      <c r="T47" t="str">
        <f>IF(Crewlist!D51=0," ",Crewlist!D51)</f>
        <v xml:space="preserve"> </v>
      </c>
      <c r="V47" t="str">
        <f>IF(Crewlist!E51=0," ",Crewlist!E51)</f>
        <v xml:space="preserve"> </v>
      </c>
    </row>
    <row r="48" spans="1:22" ht="13" customHeight="1">
      <c r="A48" s="43"/>
      <c r="B48" s="52" t="str">
        <f t="shared" si="3"/>
        <v xml:space="preserve"> </v>
      </c>
      <c r="C48" s="103" t="str">
        <f t="shared" si="0"/>
        <v xml:space="preserve"> </v>
      </c>
      <c r="D48" s="93" t="str">
        <f t="shared" si="1"/>
        <v xml:space="preserve"> </v>
      </c>
      <c r="E48" s="99" t="str">
        <f t="shared" si="2"/>
        <v xml:space="preserve"> </v>
      </c>
      <c r="F48" s="41"/>
      <c r="G48" s="42"/>
      <c r="H48" s="42"/>
      <c r="I48" s="40"/>
      <c r="J48" s="40"/>
      <c r="K48" s="40"/>
      <c r="P48" t="str">
        <f>IF(Crewlist!B52=0," ",Crewlist!B52)</f>
        <v xml:space="preserve"> </v>
      </c>
      <c r="R48" t="str">
        <f>IF(Crewlist!C52=0," ",Crewlist!C52)</f>
        <v xml:space="preserve"> </v>
      </c>
      <c r="T48" t="str">
        <f>IF(Crewlist!D52=0," ",Crewlist!D52)</f>
        <v xml:space="preserve"> </v>
      </c>
      <c r="V48" t="str">
        <f>IF(Crewlist!E52=0," ",Crewlist!E52)</f>
        <v xml:space="preserve"> </v>
      </c>
    </row>
    <row r="49" spans="1:22" ht="13" customHeight="1">
      <c r="A49" s="43"/>
      <c r="B49" s="52" t="str">
        <f t="shared" si="3"/>
        <v xml:space="preserve"> </v>
      </c>
      <c r="C49" s="103" t="str">
        <f t="shared" si="0"/>
        <v xml:space="preserve"> </v>
      </c>
      <c r="D49" s="93" t="str">
        <f t="shared" si="1"/>
        <v xml:space="preserve"> </v>
      </c>
      <c r="E49" s="106" t="str">
        <f t="shared" si="2"/>
        <v xml:space="preserve"> </v>
      </c>
      <c r="F49" s="41"/>
      <c r="G49" s="42"/>
      <c r="H49" s="42"/>
      <c r="I49" s="40"/>
      <c r="J49" s="40"/>
      <c r="K49" s="40"/>
      <c r="P49" t="str">
        <f>IF(Crewlist!B53=0," ",Crewlist!B53)</f>
        <v xml:space="preserve"> </v>
      </c>
      <c r="R49" t="str">
        <f>IF(Crewlist!C53=0," ",Crewlist!C53)</f>
        <v xml:space="preserve"> </v>
      </c>
      <c r="T49" t="str">
        <f>IF(Crewlist!D53=0," ",Crewlist!D53)</f>
        <v xml:space="preserve"> </v>
      </c>
      <c r="V49" t="str">
        <f>IF(Crewlist!E53=0," ",Crewlist!E53)</f>
        <v xml:space="preserve"> </v>
      </c>
    </row>
    <row r="50" spans="1:22" ht="13" customHeight="1">
      <c r="A50" s="43"/>
      <c r="B50" s="52" t="str">
        <f t="shared" si="3"/>
        <v xml:space="preserve"> </v>
      </c>
      <c r="C50" s="103" t="str">
        <f t="shared" si="0"/>
        <v xml:space="preserve"> </v>
      </c>
      <c r="D50" s="93" t="str">
        <f t="shared" si="1"/>
        <v xml:space="preserve"> </v>
      </c>
      <c r="E50" s="99" t="str">
        <f t="shared" si="2"/>
        <v xml:space="preserve"> </v>
      </c>
      <c r="F50" s="41"/>
      <c r="G50" s="42"/>
      <c r="H50" s="42"/>
      <c r="I50" s="40"/>
      <c r="J50" s="40"/>
      <c r="K50" s="40"/>
      <c r="P50" t="str">
        <f>IF(Crewlist!B54=0," ",Crewlist!B54)</f>
        <v xml:space="preserve"> </v>
      </c>
      <c r="R50" t="str">
        <f>IF(Crewlist!C54=0," ",Crewlist!C54)</f>
        <v xml:space="preserve"> </v>
      </c>
      <c r="T50" t="str">
        <f>IF(Crewlist!D54=0," ",Crewlist!D54)</f>
        <v xml:space="preserve"> </v>
      </c>
      <c r="V50" t="str">
        <f>IF(Crewlist!E54=0," ",Crewlist!E54)</f>
        <v xml:space="preserve"> </v>
      </c>
    </row>
    <row r="51" spans="1:22" ht="13" customHeight="1">
      <c r="A51" s="43"/>
      <c r="B51" s="52" t="str">
        <f t="shared" si="3"/>
        <v xml:space="preserve"> </v>
      </c>
      <c r="C51" s="103" t="str">
        <f t="shared" si="0"/>
        <v xml:space="preserve"> </v>
      </c>
      <c r="D51" s="93" t="str">
        <f t="shared" si="1"/>
        <v xml:space="preserve"> </v>
      </c>
      <c r="E51" s="99" t="str">
        <f t="shared" si="2"/>
        <v xml:space="preserve"> </v>
      </c>
      <c r="F51" s="41"/>
      <c r="G51" s="42"/>
      <c r="H51" s="42"/>
      <c r="I51" s="40"/>
      <c r="J51" s="40"/>
      <c r="K51" s="40"/>
      <c r="P51" t="str">
        <f>IF(Crewlist!B55=0," ",Crewlist!B55)</f>
        <v xml:space="preserve"> </v>
      </c>
      <c r="R51" t="str">
        <f>IF(Crewlist!C55=0," ",Crewlist!C55)</f>
        <v xml:space="preserve"> </v>
      </c>
      <c r="T51" t="str">
        <f>IF(Crewlist!D55=0," ",Crewlist!D55)</f>
        <v xml:space="preserve"> </v>
      </c>
      <c r="V51" t="str">
        <f>IF(Crewlist!E55=0," ",Crewlist!E55)</f>
        <v xml:space="preserve"> </v>
      </c>
    </row>
    <row r="52" spans="1:22" ht="13" customHeight="1">
      <c r="A52" s="43"/>
      <c r="B52" s="52" t="str">
        <f t="shared" si="3"/>
        <v xml:space="preserve"> </v>
      </c>
      <c r="C52" s="103" t="str">
        <f t="shared" si="0"/>
        <v xml:space="preserve"> </v>
      </c>
      <c r="D52" s="93" t="str">
        <f t="shared" si="1"/>
        <v xml:space="preserve"> </v>
      </c>
      <c r="E52" s="99" t="str">
        <f t="shared" si="2"/>
        <v xml:space="preserve"> </v>
      </c>
      <c r="F52" s="41"/>
      <c r="G52" s="42"/>
      <c r="H52" s="42"/>
      <c r="I52" s="40"/>
      <c r="J52" s="40"/>
      <c r="K52" s="40"/>
      <c r="P52" t="str">
        <f>IF(Crewlist!B56=0," ",Crewlist!B56)</f>
        <v xml:space="preserve"> </v>
      </c>
      <c r="R52" t="str">
        <f>IF(Crewlist!C56=0," ",Crewlist!C56)</f>
        <v xml:space="preserve"> </v>
      </c>
      <c r="T52" t="str">
        <f>IF(Crewlist!D56=0," ",Crewlist!D56)</f>
        <v xml:space="preserve"> </v>
      </c>
      <c r="V52" t="str">
        <f>IF(Crewlist!E56=0," ",Crewlist!E56)</f>
        <v xml:space="preserve"> </v>
      </c>
    </row>
    <row r="53" spans="1:22" ht="13" customHeight="1">
      <c r="A53" s="43"/>
      <c r="B53" s="52" t="str">
        <f t="shared" si="3"/>
        <v xml:space="preserve"> </v>
      </c>
      <c r="C53" s="103" t="str">
        <f t="shared" si="0"/>
        <v xml:space="preserve"> </v>
      </c>
      <c r="D53" s="93" t="str">
        <f t="shared" si="1"/>
        <v xml:space="preserve"> </v>
      </c>
      <c r="E53" s="99" t="str">
        <f t="shared" si="2"/>
        <v xml:space="preserve"> </v>
      </c>
      <c r="F53" s="41"/>
      <c r="G53" s="42"/>
      <c r="H53" s="42"/>
      <c r="I53" s="40"/>
      <c r="J53" s="40"/>
      <c r="K53" s="40"/>
      <c r="P53" t="str">
        <f>IF(Crewlist!B57=0," ",Crewlist!B57)</f>
        <v xml:space="preserve"> </v>
      </c>
      <c r="R53" t="str">
        <f>IF(Crewlist!C57=0," ",Crewlist!C57)</f>
        <v xml:space="preserve"> </v>
      </c>
      <c r="T53" t="str">
        <f>IF(Crewlist!D57=0," ",Crewlist!D57)</f>
        <v xml:space="preserve"> </v>
      </c>
      <c r="V53" t="str">
        <f>IF(Crewlist!E57=0," ",Crewlist!E57)</f>
        <v xml:space="preserve"> </v>
      </c>
    </row>
    <row r="54" spans="1:22" ht="13" customHeight="1">
      <c r="A54" s="43"/>
      <c r="B54" s="52" t="str">
        <f t="shared" si="3"/>
        <v xml:space="preserve"> </v>
      </c>
      <c r="C54" s="103" t="str">
        <f t="shared" si="0"/>
        <v xml:space="preserve"> </v>
      </c>
      <c r="D54" s="103" t="str">
        <f t="shared" si="1"/>
        <v xml:space="preserve"> </v>
      </c>
      <c r="E54" s="99" t="str">
        <f t="shared" si="2"/>
        <v xml:space="preserve"> </v>
      </c>
      <c r="F54" s="41"/>
      <c r="G54" s="42"/>
      <c r="H54" s="42"/>
      <c r="I54" s="40"/>
      <c r="J54" s="40"/>
      <c r="K54" s="40"/>
      <c r="P54" t="str">
        <f>IF(Crewlist!B58=0," ",Crewlist!B58)</f>
        <v xml:space="preserve"> </v>
      </c>
      <c r="R54" t="str">
        <f>IF(Crewlist!C58=0," ",Crewlist!C58)</f>
        <v xml:space="preserve"> </v>
      </c>
      <c r="T54" t="str">
        <f>IF(Crewlist!D58=0," ",Crewlist!D58)</f>
        <v xml:space="preserve"> </v>
      </c>
      <c r="V54" t="str">
        <f>IF(Crewlist!E58=0," ",Crewlist!E58)</f>
        <v xml:space="preserve"> </v>
      </c>
    </row>
    <row r="55" spans="1:22" ht="13" customHeight="1">
      <c r="A55" s="43"/>
      <c r="B55" s="56" t="s">
        <v>1</v>
      </c>
      <c r="C55" s="96" t="str">
        <f t="shared" si="0"/>
        <v>Total marine</v>
      </c>
      <c r="D55" s="103"/>
      <c r="E55" s="99">
        <f>T55</f>
        <v>15</v>
      </c>
      <c r="F55" s="41"/>
      <c r="G55" s="42"/>
      <c r="H55" s="42"/>
      <c r="I55" s="40"/>
      <c r="J55" s="40"/>
      <c r="K55" s="40"/>
      <c r="R55" t="str">
        <f>IF(Crewlist!C59=0," ",Crewlist!C59)</f>
        <v>Total marine</v>
      </c>
      <c r="T55">
        <f>IF(Crewlist!E59=0," ",Crewlist!E59)</f>
        <v>15</v>
      </c>
    </row>
    <row r="56" spans="1:22" ht="13" customHeight="1">
      <c r="A56" s="43"/>
      <c r="B56" s="56"/>
      <c r="C56" s="100" t="str">
        <f t="shared" si="0"/>
        <v>Total Project</v>
      </c>
      <c r="D56" s="103"/>
      <c r="E56" s="52">
        <f>T56</f>
        <v>20</v>
      </c>
      <c r="F56" s="41"/>
      <c r="G56" s="42"/>
      <c r="H56" s="42"/>
      <c r="I56" s="40"/>
      <c r="J56" s="40"/>
      <c r="K56" s="40"/>
      <c r="R56" t="str">
        <f>IF(Crewlist!C60=0," ",Crewlist!C60)</f>
        <v>Total Project</v>
      </c>
      <c r="T56">
        <f>IF(Crewlist!E60=0," ",Crewlist!E60)</f>
        <v>20</v>
      </c>
    </row>
    <row r="57" spans="1:22" ht="13" customHeight="1">
      <c r="B57" s="56"/>
      <c r="C57" s="107" t="str">
        <f t="shared" si="0"/>
        <v>Total</v>
      </c>
      <c r="D57" s="108"/>
      <c r="E57" s="52">
        <f>T57</f>
        <v>30</v>
      </c>
      <c r="F57" s="41"/>
      <c r="G57" s="45"/>
      <c r="H57" s="45"/>
      <c r="I57" s="22"/>
      <c r="J57" s="22"/>
      <c r="K57" s="22"/>
      <c r="R57" t="str">
        <f>IF(Crewlist!C61=0," ",Crewlist!C61)</f>
        <v>Total</v>
      </c>
      <c r="T57">
        <f>IF(Crewlist!E61=0," ",Crewlist!E61)</f>
        <v>30</v>
      </c>
    </row>
    <row r="58" spans="1:22" ht="13" customHeight="1">
      <c r="A58" s="14"/>
      <c r="B58" s="46" t="s">
        <v>7</v>
      </c>
      <c r="C58" s="47"/>
      <c r="D58" s="47"/>
      <c r="E58" s="47"/>
      <c r="F58" s="47"/>
      <c r="G58" s="47"/>
      <c r="H58" s="47"/>
      <c r="I58" s="47"/>
      <c r="J58" s="47"/>
      <c r="K58" s="47"/>
    </row>
    <row r="59" spans="1:22" ht="13" customHeight="1"/>
    <row r="60" spans="1:22" ht="13" customHeight="1">
      <c r="B60" s="51" t="str">
        <f>Crewlist!F62</f>
        <v>Captain :</v>
      </c>
      <c r="C60" s="48"/>
      <c r="D60" s="321" t="str">
        <f>Crewlist!H62</f>
        <v>Gadhavi, Fergus Leandro</v>
      </c>
      <c r="E60" s="321"/>
      <c r="F60" s="48"/>
      <c r="G60" s="48"/>
      <c r="H60" s="48"/>
      <c r="I60" s="48"/>
      <c r="J60" s="146" t="s">
        <v>88</v>
      </c>
      <c r="K60" s="147">
        <f>Crewlist!M62</f>
        <v>44901</v>
      </c>
    </row>
    <row r="61" spans="1:22" ht="13" customHeight="1">
      <c r="B61" s="48"/>
      <c r="C61" s="48"/>
      <c r="D61" s="48"/>
      <c r="E61" s="48"/>
      <c r="F61" s="48"/>
      <c r="G61" s="48"/>
      <c r="H61" s="48"/>
      <c r="I61" s="48"/>
    </row>
    <row r="62" spans="1:22" ht="13" customHeight="1">
      <c r="B62" s="53"/>
      <c r="C62" s="49"/>
      <c r="D62" s="49"/>
      <c r="E62" s="53"/>
    </row>
    <row r="63" spans="1:22" ht="13" customHeight="1"/>
    <row r="64" spans="1:22" ht="13" customHeight="1">
      <c r="B64" s="50" t="s">
        <v>8</v>
      </c>
    </row>
    <row r="65" ht="13" customHeight="1"/>
  </sheetData>
  <sheetProtection password="C9CF" sheet="1" objects="1" scenarios="1" selectLockedCells="1"/>
  <mergeCells count="7">
    <mergeCell ref="I5:I9"/>
    <mergeCell ref="B8:E8"/>
    <mergeCell ref="D60:E60"/>
    <mergeCell ref="B6:C6"/>
    <mergeCell ref="B7:C7"/>
    <mergeCell ref="B9:E9"/>
    <mergeCell ref="B5:E5"/>
  </mergeCells>
  <phoneticPr fontId="0" type="noConversion"/>
  <pageMargins left="0.25" right="0.25" top="0.75" bottom="0.75" header="0.3" footer="0.3"/>
  <pageSetup paperSize="9" scale="84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999"/>
  <sheetViews>
    <sheetView showGridLines="0" showRowColHeaders="0" showZeros="0" tabSelected="1" topLeftCell="B1" zoomScaleNormal="100" workbookViewId="0">
      <pane ySplit="1" topLeftCell="A2" activePane="bottomLeft" state="frozen"/>
      <selection activeCell="B1" sqref="B1"/>
      <selection pane="bottomLeft" activeCell="L43" sqref="L43"/>
    </sheetView>
  </sheetViews>
  <sheetFormatPr defaultRowHeight="12.3"/>
  <cols>
    <col min="1" max="1" width="18.83203125" hidden="1" customWidth="1"/>
    <col min="2" max="2" width="5.83203125" style="171" customWidth="1"/>
    <col min="3" max="3" width="19.27734375" style="170" customWidth="1"/>
    <col min="4" max="4" width="19" style="170" customWidth="1"/>
    <col min="5" max="5" width="12" style="170" customWidth="1"/>
    <col min="6" max="6" width="8.27734375" style="171" customWidth="1"/>
    <col min="7" max="7" width="12.71875" style="172" customWidth="1"/>
    <col min="8" max="8" width="21.44140625" style="170" customWidth="1"/>
    <col min="9" max="9" width="9" style="171" customWidth="1"/>
    <col min="10" max="10" width="8.44140625" style="171" customWidth="1"/>
    <col min="11" max="11" width="15.44140625" style="174" customWidth="1"/>
    <col min="12" max="12" width="9.71875" style="174" customWidth="1"/>
    <col min="13" max="13" width="15.1640625" style="175" customWidth="1"/>
    <col min="14" max="14" width="20.83203125" style="201" customWidth="1"/>
    <col min="15" max="15" width="18" customWidth="1"/>
    <col min="16" max="16" width="13.5546875" customWidth="1"/>
    <col min="17" max="17" width="6.71875" hidden="1" customWidth="1"/>
    <col min="18" max="21" width="9.1640625" hidden="1" customWidth="1"/>
    <col min="22" max="22" width="24.83203125" hidden="1" customWidth="1"/>
    <col min="23" max="24" width="9.1640625" hidden="1" customWidth="1"/>
    <col min="25" max="25" width="10.1640625" style="161" hidden="1" customWidth="1"/>
    <col min="26" max="26" width="12.27734375" style="161" hidden="1" customWidth="1"/>
  </cols>
  <sheetData>
    <row r="1" spans="1:26" ht="74.25" customHeight="1" thickTop="1" thickBot="1">
      <c r="A1" s="150"/>
      <c r="B1" s="195" t="s">
        <v>74</v>
      </c>
      <c r="C1" s="194" t="s">
        <v>78</v>
      </c>
      <c r="D1" s="194" t="s">
        <v>73</v>
      </c>
      <c r="E1" s="194" t="s">
        <v>13</v>
      </c>
      <c r="F1" s="195" t="s">
        <v>14</v>
      </c>
      <c r="G1" s="196" t="s">
        <v>46</v>
      </c>
      <c r="H1" s="194" t="s">
        <v>45</v>
      </c>
      <c r="I1" s="195" t="s">
        <v>67</v>
      </c>
      <c r="J1" s="195" t="s">
        <v>68</v>
      </c>
      <c r="K1" s="197" t="s">
        <v>69</v>
      </c>
      <c r="L1" s="197" t="s">
        <v>70</v>
      </c>
      <c r="M1" s="198" t="s">
        <v>71</v>
      </c>
      <c r="N1" s="199" t="s">
        <v>91</v>
      </c>
      <c r="O1" s="164" t="s">
        <v>89</v>
      </c>
      <c r="P1" s="151">
        <f>MAX(($Q$2:$Q$1587))</f>
        <v>40</v>
      </c>
      <c r="Q1" s="145"/>
      <c r="R1" s="145"/>
      <c r="S1" s="145"/>
      <c r="T1" s="145"/>
      <c r="U1" s="145"/>
      <c r="V1" s="145"/>
      <c r="Z1" s="168" t="s">
        <v>91</v>
      </c>
    </row>
    <row r="2" spans="1:26" ht="12.6" thickTop="1">
      <c r="B2" s="202">
        <v>1</v>
      </c>
      <c r="C2" s="191" t="s">
        <v>109</v>
      </c>
      <c r="D2" s="191" t="s">
        <v>108</v>
      </c>
      <c r="E2" s="191" t="s">
        <v>12</v>
      </c>
      <c r="F2" s="206" t="s">
        <v>168</v>
      </c>
      <c r="G2" s="192">
        <v>28684</v>
      </c>
      <c r="H2" s="191" t="s">
        <v>106</v>
      </c>
      <c r="I2" s="206" t="s">
        <v>84</v>
      </c>
      <c r="J2" s="206" t="s">
        <v>72</v>
      </c>
      <c r="K2" s="207" t="s">
        <v>191</v>
      </c>
      <c r="L2" s="207" t="s">
        <v>168</v>
      </c>
      <c r="M2" s="193">
        <v>45043</v>
      </c>
      <c r="N2" s="208"/>
      <c r="P2" s="137"/>
      <c r="Q2">
        <f t="shared" ref="Q2:Q65" si="0">IF(C2&lt;&gt; "",B2,0)</f>
        <v>1</v>
      </c>
      <c r="R2">
        <f t="shared" ref="R2:R65" si="1">IFERROR(RANK(S2,$S$2:$S$1998,1),"")</f>
        <v>1</v>
      </c>
      <c r="S2">
        <f>IFERROR(SEARCH(Crewlist!$P$5,V2)+ROW()/100000,"")</f>
        <v>1.0000199999999999</v>
      </c>
      <c r="T2">
        <f>B2</f>
        <v>1</v>
      </c>
      <c r="U2" t="str">
        <f>C2</f>
        <v>Gadhavi</v>
      </c>
      <c r="V2" t="str">
        <f>CONCATENATE(C2," ",D2)</f>
        <v>Gadhavi Fergus Leandro</v>
      </c>
      <c r="W2" s="137"/>
      <c r="Y2" s="162">
        <f ca="1">VLOOKUP(B2,Crewlist!AS:AU,3,FALSE)</f>
        <v>44935</v>
      </c>
      <c r="Z2" s="163">
        <f t="shared" ref="Z2:Z65" ca="1" si="2">IF(ISNUMBER(SEARCH("",Y2)),Y2,N2)</f>
        <v>44935</v>
      </c>
    </row>
    <row r="3" spans="1:26">
      <c r="B3" s="171">
        <v>2</v>
      </c>
      <c r="C3" s="169" t="s">
        <v>111</v>
      </c>
      <c r="D3" s="169" t="s">
        <v>110</v>
      </c>
      <c r="E3" s="169" t="s">
        <v>10</v>
      </c>
      <c r="F3" s="176" t="s">
        <v>168</v>
      </c>
      <c r="G3" s="172">
        <v>20804</v>
      </c>
      <c r="H3" s="169" t="s">
        <v>221</v>
      </c>
      <c r="I3" s="176" t="s">
        <v>83</v>
      </c>
      <c r="J3" s="176" t="s">
        <v>72</v>
      </c>
      <c r="K3" s="174" t="s">
        <v>192</v>
      </c>
      <c r="L3" s="179" t="s">
        <v>168</v>
      </c>
      <c r="M3" s="175">
        <v>46066</v>
      </c>
      <c r="P3" s="137"/>
      <c r="Q3">
        <f t="shared" si="0"/>
        <v>2</v>
      </c>
      <c r="R3">
        <f t="shared" si="1"/>
        <v>2</v>
      </c>
      <c r="S3">
        <f>IFERROR(SEARCH(Crewlist!$P$5,V3)+ROW()/100000,"")</f>
        <v>1.00003</v>
      </c>
      <c r="T3">
        <f t="shared" ref="T3:T65" si="3">B3</f>
        <v>2</v>
      </c>
      <c r="U3" t="str">
        <f t="shared" ref="U3:U65" si="4">C3</f>
        <v>Félix</v>
      </c>
      <c r="V3" t="str">
        <f t="shared" ref="V3:V66" si="5">CONCATENATE(C3," ",D3)</f>
        <v>Félix Sara Aybek</v>
      </c>
      <c r="W3" s="137"/>
      <c r="Y3" s="162">
        <f ca="1">VLOOKUP(B3,Crewlist!AS:AU,3,FALSE)</f>
        <v>44935</v>
      </c>
      <c r="Z3" s="163">
        <f t="shared" ca="1" si="2"/>
        <v>44935</v>
      </c>
    </row>
    <row r="4" spans="1:26">
      <c r="B4" s="171">
        <v>3</v>
      </c>
      <c r="C4" s="169" t="s">
        <v>113</v>
      </c>
      <c r="D4" s="169" t="s">
        <v>112</v>
      </c>
      <c r="E4" s="169" t="s">
        <v>9</v>
      </c>
      <c r="F4" s="176" t="s">
        <v>44</v>
      </c>
      <c r="G4" s="172">
        <v>32477</v>
      </c>
      <c r="H4" s="169" t="s">
        <v>47</v>
      </c>
      <c r="I4" s="176" t="s">
        <v>83</v>
      </c>
      <c r="J4" s="176" t="s">
        <v>72</v>
      </c>
      <c r="K4" s="179" t="s">
        <v>193</v>
      </c>
      <c r="L4" s="179" t="s">
        <v>44</v>
      </c>
      <c r="M4" s="175">
        <v>45481</v>
      </c>
      <c r="Q4">
        <f t="shared" si="0"/>
        <v>3</v>
      </c>
      <c r="R4">
        <f t="shared" si="1"/>
        <v>3</v>
      </c>
      <c r="S4">
        <f>IFERROR(SEARCH(Crewlist!$P$5,V4)+ROW()/100000,"")</f>
        <v>1.00004</v>
      </c>
      <c r="T4">
        <f t="shared" si="3"/>
        <v>3</v>
      </c>
      <c r="U4" t="str">
        <f t="shared" si="4"/>
        <v>Garza</v>
      </c>
      <c r="V4" t="str">
        <f t="shared" si="5"/>
        <v>Garza Daumantas Sawney</v>
      </c>
      <c r="Y4" s="162">
        <f ca="1">VLOOKUP(B4,Crewlist!AS:AU,3,FALSE)</f>
        <v>44935</v>
      </c>
      <c r="Z4" s="163">
        <f t="shared" ca="1" si="2"/>
        <v>44935</v>
      </c>
    </row>
    <row r="5" spans="1:26">
      <c r="B5" s="202">
        <v>4</v>
      </c>
      <c r="C5" s="169" t="s">
        <v>114</v>
      </c>
      <c r="D5" s="169" t="s">
        <v>115</v>
      </c>
      <c r="E5" s="169" t="s">
        <v>38</v>
      </c>
      <c r="F5" s="176" t="s">
        <v>169</v>
      </c>
      <c r="G5" s="177">
        <v>20675</v>
      </c>
      <c r="H5" s="178" t="s">
        <v>222</v>
      </c>
      <c r="I5" s="179" t="s">
        <v>84</v>
      </c>
      <c r="J5" s="179" t="s">
        <v>72</v>
      </c>
      <c r="K5" s="179" t="s">
        <v>194</v>
      </c>
      <c r="L5" s="179" t="s">
        <v>169</v>
      </c>
      <c r="M5" s="180">
        <v>48310</v>
      </c>
      <c r="N5" s="200"/>
      <c r="Q5">
        <f t="shared" si="0"/>
        <v>4</v>
      </c>
      <c r="R5">
        <f t="shared" si="1"/>
        <v>4</v>
      </c>
      <c r="S5">
        <f>IFERROR(SEARCH(Crewlist!$P$5,V5)+ROW()/100000,"")</f>
        <v>1.0000500000000001</v>
      </c>
      <c r="T5">
        <f t="shared" si="3"/>
        <v>4</v>
      </c>
      <c r="U5" t="str">
        <f t="shared" si="4"/>
        <v>Thass</v>
      </c>
      <c r="V5" t="str">
        <f t="shared" si="5"/>
        <v>Thass Shri Danai</v>
      </c>
      <c r="Y5" s="162">
        <f ca="1">VLOOKUP(B5,Crewlist!AS:AU,3,FALSE)</f>
        <v>44935</v>
      </c>
      <c r="Z5" s="163">
        <f t="shared" ca="1" si="2"/>
        <v>44935</v>
      </c>
    </row>
    <row r="6" spans="1:26">
      <c r="B6" s="171">
        <v>5</v>
      </c>
      <c r="C6" s="169" t="s">
        <v>116</v>
      </c>
      <c r="D6" s="169" t="s">
        <v>117</v>
      </c>
      <c r="E6" s="170" t="s">
        <v>38</v>
      </c>
      <c r="F6" s="171" t="s">
        <v>170</v>
      </c>
      <c r="G6" s="172">
        <v>26472</v>
      </c>
      <c r="H6" s="178" t="s">
        <v>97</v>
      </c>
      <c r="I6" s="179" t="s">
        <v>83</v>
      </c>
      <c r="J6" s="179" t="s">
        <v>72</v>
      </c>
      <c r="K6" s="174" t="s">
        <v>195</v>
      </c>
      <c r="L6" s="179" t="s">
        <v>170</v>
      </c>
      <c r="M6" s="175">
        <v>45750</v>
      </c>
      <c r="Q6">
        <f t="shared" si="0"/>
        <v>5</v>
      </c>
      <c r="R6">
        <f t="shared" si="1"/>
        <v>5</v>
      </c>
      <c r="S6">
        <f>IFERROR(SEARCH(Crewlist!$P$5,V6)+ROW()/100000,"")</f>
        <v>1.0000599999999999</v>
      </c>
      <c r="T6">
        <f t="shared" si="3"/>
        <v>5</v>
      </c>
      <c r="U6" t="str">
        <f t="shared" si="4"/>
        <v>Brannon</v>
      </c>
      <c r="V6" t="str">
        <f t="shared" si="5"/>
        <v>Brannon Mikołaj Tatanka</v>
      </c>
      <c r="Y6" s="162">
        <f ca="1">VLOOKUP(B6,Crewlist!AS:AU,3,FALSE)</f>
        <v>44935</v>
      </c>
      <c r="Z6" s="163">
        <f t="shared" ca="1" si="2"/>
        <v>44935</v>
      </c>
    </row>
    <row r="7" spans="1:26">
      <c r="B7" s="171">
        <v>6</v>
      </c>
      <c r="C7" s="169" t="s">
        <v>118</v>
      </c>
      <c r="D7" s="169" t="s">
        <v>119</v>
      </c>
      <c r="E7" s="169" t="s">
        <v>15</v>
      </c>
      <c r="F7" s="171" t="s">
        <v>101</v>
      </c>
      <c r="G7" s="172">
        <v>34640</v>
      </c>
      <c r="H7" s="178" t="s">
        <v>105</v>
      </c>
      <c r="I7" s="179" t="s">
        <v>84</v>
      </c>
      <c r="J7" s="179" t="s">
        <v>72</v>
      </c>
      <c r="K7" s="179" t="s">
        <v>196</v>
      </c>
      <c r="L7" s="174" t="s">
        <v>101</v>
      </c>
      <c r="M7" s="180">
        <v>45651</v>
      </c>
      <c r="Q7">
        <f t="shared" si="0"/>
        <v>6</v>
      </c>
      <c r="R7">
        <f t="shared" si="1"/>
        <v>6</v>
      </c>
      <c r="S7">
        <f>IFERROR(SEARCH(Crewlist!$P$5,V7)+ROW()/100000,"")</f>
        <v>1.00007</v>
      </c>
      <c r="T7">
        <f t="shared" si="3"/>
        <v>6</v>
      </c>
      <c r="U7" t="str">
        <f t="shared" si="4"/>
        <v>Rake</v>
      </c>
      <c r="V7" t="str">
        <f t="shared" si="5"/>
        <v>Rake Batuhan Khodadad</v>
      </c>
      <c r="Y7" s="162">
        <f ca="1">VLOOKUP(B7,Crewlist!AS:AU,3,FALSE)</f>
        <v>44935</v>
      </c>
      <c r="Z7" s="163">
        <f t="shared" ca="1" si="2"/>
        <v>44935</v>
      </c>
    </row>
    <row r="8" spans="1:26">
      <c r="B8" s="202">
        <v>7</v>
      </c>
      <c r="C8" s="169" t="s">
        <v>120</v>
      </c>
      <c r="D8" s="170" t="s">
        <v>121</v>
      </c>
      <c r="E8" s="170" t="s">
        <v>16</v>
      </c>
      <c r="F8" s="171" t="s">
        <v>171</v>
      </c>
      <c r="G8" s="172">
        <v>37930</v>
      </c>
      <c r="H8" s="178" t="s">
        <v>223</v>
      </c>
      <c r="I8" s="174" t="s">
        <v>83</v>
      </c>
      <c r="J8" s="174" t="s">
        <v>72</v>
      </c>
      <c r="K8" s="174" t="s">
        <v>197</v>
      </c>
      <c r="L8" s="174" t="s">
        <v>171</v>
      </c>
      <c r="M8" s="175">
        <v>46282</v>
      </c>
      <c r="Q8">
        <f t="shared" si="0"/>
        <v>7</v>
      </c>
      <c r="R8">
        <f t="shared" si="1"/>
        <v>7</v>
      </c>
      <c r="S8">
        <f>IFERROR(SEARCH(Crewlist!$P$5,V8)+ROW()/100000,"")</f>
        <v>1.0000800000000001</v>
      </c>
      <c r="T8">
        <f t="shared" si="3"/>
        <v>7</v>
      </c>
      <c r="U8" t="str">
        <f t="shared" si="4"/>
        <v>Morozov</v>
      </c>
      <c r="V8" t="str">
        <f t="shared" si="5"/>
        <v>Morozov Murray Valya</v>
      </c>
      <c r="Y8" s="162">
        <f ca="1">VLOOKUP(B8,Crewlist!AS:AU,3,FALSE)</f>
        <v>44935</v>
      </c>
      <c r="Z8" s="163">
        <f t="shared" ca="1" si="2"/>
        <v>44935</v>
      </c>
    </row>
    <row r="9" spans="1:26">
      <c r="B9" s="171">
        <v>8</v>
      </c>
      <c r="C9" s="169" t="s">
        <v>122</v>
      </c>
      <c r="D9" s="169" t="s">
        <v>123</v>
      </c>
      <c r="E9" s="170" t="s">
        <v>107</v>
      </c>
      <c r="F9" s="171" t="s">
        <v>172</v>
      </c>
      <c r="G9" s="172">
        <v>25205</v>
      </c>
      <c r="H9" s="178" t="s">
        <v>224</v>
      </c>
      <c r="I9" s="174" t="s">
        <v>84</v>
      </c>
      <c r="J9" s="174" t="s">
        <v>72</v>
      </c>
      <c r="K9" s="174" t="s">
        <v>198</v>
      </c>
      <c r="L9" s="174" t="s">
        <v>172</v>
      </c>
      <c r="M9" s="175">
        <v>45929</v>
      </c>
      <c r="Q9">
        <f t="shared" si="0"/>
        <v>8</v>
      </c>
      <c r="R9">
        <f t="shared" si="1"/>
        <v>8</v>
      </c>
      <c r="S9">
        <f>IFERROR(SEARCH(Crewlist!$P$5,V9)+ROW()/100000,"")</f>
        <v>1.0000899999999999</v>
      </c>
      <c r="T9">
        <f t="shared" si="3"/>
        <v>8</v>
      </c>
      <c r="U9" t="str">
        <f t="shared" si="4"/>
        <v>van Wieren</v>
      </c>
      <c r="V9" t="str">
        <f t="shared" si="5"/>
        <v>van Wieren Jessenia Caterina</v>
      </c>
      <c r="Y9" s="162">
        <f ca="1">VLOOKUP(B9,Crewlist!AS:AU,3,FALSE)</f>
        <v>44935</v>
      </c>
      <c r="Z9" s="163">
        <f t="shared" ca="1" si="2"/>
        <v>44935</v>
      </c>
    </row>
    <row r="10" spans="1:26">
      <c r="B10" s="171">
        <v>9</v>
      </c>
      <c r="C10" s="169" t="s">
        <v>125</v>
      </c>
      <c r="D10" s="169" t="s">
        <v>124</v>
      </c>
      <c r="E10" s="170" t="s">
        <v>48</v>
      </c>
      <c r="F10" s="176" t="s">
        <v>173</v>
      </c>
      <c r="G10" s="172">
        <v>24392</v>
      </c>
      <c r="H10" s="169" t="s">
        <v>225</v>
      </c>
      <c r="I10" s="176" t="s">
        <v>83</v>
      </c>
      <c r="J10" s="176" t="s">
        <v>72</v>
      </c>
      <c r="K10" s="174" t="s">
        <v>199</v>
      </c>
      <c r="L10" s="179" t="s">
        <v>173</v>
      </c>
      <c r="M10" s="180">
        <v>46517</v>
      </c>
      <c r="Q10">
        <f t="shared" si="0"/>
        <v>9</v>
      </c>
      <c r="R10">
        <f t="shared" si="1"/>
        <v>9</v>
      </c>
      <c r="S10">
        <f>IFERROR(SEARCH(Crewlist!$P$5,V10)+ROW()/100000,"")</f>
        <v>1.0001</v>
      </c>
      <c r="T10">
        <f t="shared" si="3"/>
        <v>9</v>
      </c>
      <c r="U10" t="str">
        <f t="shared" si="4"/>
        <v>Evangelista</v>
      </c>
      <c r="V10" t="str">
        <f t="shared" si="5"/>
        <v>Evangelista Veniamin Kyros</v>
      </c>
      <c r="Y10" s="162">
        <f ca="1">VLOOKUP(B10,Crewlist!AS:AU,3,FALSE)</f>
        <v>44935</v>
      </c>
      <c r="Z10" s="163">
        <f t="shared" ca="1" si="2"/>
        <v>44935</v>
      </c>
    </row>
    <row r="11" spans="1:26">
      <c r="B11" s="202">
        <v>10</v>
      </c>
      <c r="C11" s="169" t="s">
        <v>127</v>
      </c>
      <c r="D11" s="169" t="s">
        <v>126</v>
      </c>
      <c r="E11" s="170" t="s">
        <v>32</v>
      </c>
      <c r="F11" s="171" t="s">
        <v>174</v>
      </c>
      <c r="G11" s="172">
        <v>35608</v>
      </c>
      <c r="H11" s="178" t="s">
        <v>226</v>
      </c>
      <c r="I11" s="174" t="s">
        <v>83</v>
      </c>
      <c r="J11" s="174" t="s">
        <v>72</v>
      </c>
      <c r="K11" s="174" t="s">
        <v>200</v>
      </c>
      <c r="L11" s="174" t="s">
        <v>174</v>
      </c>
      <c r="M11" s="175">
        <v>48398</v>
      </c>
      <c r="Q11">
        <f t="shared" si="0"/>
        <v>10</v>
      </c>
      <c r="R11">
        <f t="shared" si="1"/>
        <v>10</v>
      </c>
      <c r="S11">
        <f>IFERROR(SEARCH(Crewlist!$P$5,V11)+ROW()/100000,"")</f>
        <v>1.0001100000000001</v>
      </c>
      <c r="T11">
        <f t="shared" si="3"/>
        <v>10</v>
      </c>
      <c r="U11" t="str">
        <f t="shared" si="4"/>
        <v>Szweda</v>
      </c>
      <c r="V11" t="str">
        <f t="shared" si="5"/>
        <v>Szweda Enki 'Azazyahu</v>
      </c>
      <c r="Y11" s="162">
        <f ca="1">VLOOKUP(B11,Crewlist!AS:AU,3,FALSE)</f>
        <v>44935</v>
      </c>
      <c r="Z11" s="163">
        <f t="shared" ca="1" si="2"/>
        <v>44935</v>
      </c>
    </row>
    <row r="12" spans="1:26">
      <c r="B12" s="171">
        <v>11</v>
      </c>
      <c r="C12" s="169" t="s">
        <v>128</v>
      </c>
      <c r="D12" s="169" t="s">
        <v>148</v>
      </c>
      <c r="E12" s="170" t="s">
        <v>32</v>
      </c>
      <c r="F12" s="171" t="s">
        <v>175</v>
      </c>
      <c r="G12" s="172">
        <v>35091</v>
      </c>
      <c r="H12" s="169" t="s">
        <v>227</v>
      </c>
      <c r="I12" s="171" t="s">
        <v>84</v>
      </c>
      <c r="J12" s="171" t="s">
        <v>72</v>
      </c>
      <c r="K12" s="174" t="s">
        <v>201</v>
      </c>
      <c r="L12" s="174" t="s">
        <v>175</v>
      </c>
      <c r="M12" s="175">
        <v>46065</v>
      </c>
      <c r="Q12">
        <f t="shared" si="0"/>
        <v>11</v>
      </c>
      <c r="R12">
        <f t="shared" si="1"/>
        <v>11</v>
      </c>
      <c r="S12">
        <f>IFERROR(SEARCH(Crewlist!$P$5,V12)+ROW()/100000,"")</f>
        <v>1.0001199999999999</v>
      </c>
      <c r="T12">
        <f t="shared" si="3"/>
        <v>11</v>
      </c>
      <c r="U12" t="str">
        <f t="shared" si="4"/>
        <v>Nozawa</v>
      </c>
      <c r="V12" t="str">
        <f t="shared" si="5"/>
        <v>Nozawa AlbertaUche</v>
      </c>
      <c r="Y12" s="162">
        <f ca="1">VLOOKUP(B12,Crewlist!AS:AU,3,FALSE)</f>
        <v>44935</v>
      </c>
      <c r="Z12" s="163">
        <f t="shared" ca="1" si="2"/>
        <v>44935</v>
      </c>
    </row>
    <row r="13" spans="1:26">
      <c r="B13" s="171">
        <v>12</v>
      </c>
      <c r="C13" s="169" t="s">
        <v>129</v>
      </c>
      <c r="D13" s="169" t="s">
        <v>149</v>
      </c>
      <c r="E13" s="170" t="s">
        <v>17</v>
      </c>
      <c r="F13" s="171" t="s">
        <v>176</v>
      </c>
      <c r="G13" s="172">
        <v>31137</v>
      </c>
      <c r="H13" s="178" t="s">
        <v>228</v>
      </c>
      <c r="I13" s="174" t="s">
        <v>83</v>
      </c>
      <c r="J13" s="174" t="s">
        <v>72</v>
      </c>
      <c r="K13" s="174" t="s">
        <v>202</v>
      </c>
      <c r="L13" s="174" t="s">
        <v>176</v>
      </c>
      <c r="M13" s="175">
        <v>45903</v>
      </c>
      <c r="N13" s="200"/>
      <c r="Q13">
        <f t="shared" si="0"/>
        <v>12</v>
      </c>
      <c r="R13">
        <f t="shared" si="1"/>
        <v>12</v>
      </c>
      <c r="S13">
        <f>IFERROR(SEARCH(Crewlist!$P$5,V13)+ROW()/100000,"")</f>
        <v>1.00013</v>
      </c>
      <c r="T13">
        <f t="shared" si="3"/>
        <v>12</v>
      </c>
      <c r="U13" t="str">
        <f t="shared" si="4"/>
        <v>Crespo</v>
      </c>
      <c r="V13" t="str">
        <f t="shared" si="5"/>
        <v>Crespo HonorataMarko</v>
      </c>
      <c r="Y13" s="162">
        <f ca="1">VLOOKUP(B13,Crewlist!AS:AU,3,FALSE)</f>
        <v>44935</v>
      </c>
      <c r="Z13" s="163">
        <f t="shared" ca="1" si="2"/>
        <v>44935</v>
      </c>
    </row>
    <row r="14" spans="1:26">
      <c r="B14" s="202">
        <v>13</v>
      </c>
      <c r="C14" s="169" t="s">
        <v>130</v>
      </c>
      <c r="D14" s="170" t="s">
        <v>150</v>
      </c>
      <c r="E14" s="170" t="s">
        <v>35</v>
      </c>
      <c r="F14" s="171" t="s">
        <v>177</v>
      </c>
      <c r="G14" s="172">
        <v>23917</v>
      </c>
      <c r="H14" s="178" t="s">
        <v>229</v>
      </c>
      <c r="I14" s="174" t="s">
        <v>84</v>
      </c>
      <c r="J14" s="174" t="s">
        <v>72</v>
      </c>
      <c r="K14" s="174" t="s">
        <v>203</v>
      </c>
      <c r="L14" s="174" t="s">
        <v>177</v>
      </c>
      <c r="M14" s="175">
        <v>48120</v>
      </c>
      <c r="N14" s="200"/>
      <c r="Q14">
        <f t="shared" si="0"/>
        <v>13</v>
      </c>
      <c r="R14">
        <f t="shared" si="1"/>
        <v>13</v>
      </c>
      <c r="S14">
        <f>IFERROR(SEARCH(Crewlist!$P$5,V14)+ROW()/100000,"")</f>
        <v>1.00014</v>
      </c>
      <c r="T14">
        <f t="shared" si="3"/>
        <v>13</v>
      </c>
      <c r="U14" t="str">
        <f t="shared" si="4"/>
        <v>Szép</v>
      </c>
      <c r="V14" t="str">
        <f t="shared" si="5"/>
        <v>Szép DanuškaLuken</v>
      </c>
      <c r="Y14" s="162">
        <f ca="1">VLOOKUP(B14,Crewlist!AS:AU,3,FALSE)</f>
        <v>44935</v>
      </c>
      <c r="Z14" s="163">
        <f t="shared" ca="1" si="2"/>
        <v>44935</v>
      </c>
    </row>
    <row r="15" spans="1:26">
      <c r="B15" s="171">
        <v>14</v>
      </c>
      <c r="C15" s="169" t="s">
        <v>131</v>
      </c>
      <c r="D15" s="169" t="s">
        <v>151</v>
      </c>
      <c r="E15" s="169" t="s">
        <v>40</v>
      </c>
      <c r="F15" s="176" t="s">
        <v>43</v>
      </c>
      <c r="G15" s="172">
        <v>20815</v>
      </c>
      <c r="H15" s="169" t="s">
        <v>230</v>
      </c>
      <c r="I15" s="176" t="s">
        <v>83</v>
      </c>
      <c r="J15" s="176" t="s">
        <v>72</v>
      </c>
      <c r="K15" s="179" t="s">
        <v>204</v>
      </c>
      <c r="L15" s="179" t="s">
        <v>43</v>
      </c>
      <c r="M15" s="175">
        <v>48325</v>
      </c>
      <c r="Q15">
        <f t="shared" si="0"/>
        <v>14</v>
      </c>
      <c r="R15">
        <f t="shared" si="1"/>
        <v>14</v>
      </c>
      <c r="S15">
        <f>IFERROR(SEARCH(Crewlist!$P$5,V15)+ROW()/100000,"")</f>
        <v>1.0001500000000001</v>
      </c>
      <c r="T15">
        <f t="shared" si="3"/>
        <v>14</v>
      </c>
      <c r="U15" t="str">
        <f t="shared" si="4"/>
        <v>Shinoda</v>
      </c>
      <c r="V15" t="str">
        <f t="shared" si="5"/>
        <v>Shinoda JessaEnea</v>
      </c>
      <c r="Y15" s="162">
        <f ca="1">VLOOKUP(B15,Crewlist!AS:AU,3,FALSE)</f>
        <v>44935</v>
      </c>
      <c r="Z15" s="163">
        <f t="shared" ca="1" si="2"/>
        <v>44935</v>
      </c>
    </row>
    <row r="16" spans="1:26">
      <c r="B16" s="171">
        <v>15</v>
      </c>
      <c r="C16" s="170" t="s">
        <v>132</v>
      </c>
      <c r="D16" s="169" t="s">
        <v>152</v>
      </c>
      <c r="E16" s="169" t="s">
        <v>40</v>
      </c>
      <c r="F16" s="171" t="s">
        <v>178</v>
      </c>
      <c r="G16" s="172">
        <v>23815</v>
      </c>
      <c r="H16" s="178" t="s">
        <v>231</v>
      </c>
      <c r="I16" s="179" t="s">
        <v>83</v>
      </c>
      <c r="J16" s="179" t="s">
        <v>72</v>
      </c>
      <c r="K16" s="174" t="s">
        <v>205</v>
      </c>
      <c r="L16" s="174" t="s">
        <v>178</v>
      </c>
      <c r="M16" s="175">
        <v>45494</v>
      </c>
      <c r="Q16">
        <f t="shared" si="0"/>
        <v>15</v>
      </c>
      <c r="R16">
        <f t="shared" si="1"/>
        <v>15</v>
      </c>
      <c r="S16">
        <f>IFERROR(SEARCH(Crewlist!$P$5,V16)+ROW()/100000,"")</f>
        <v>1.0001599999999999</v>
      </c>
      <c r="T16">
        <f t="shared" si="3"/>
        <v>15</v>
      </c>
      <c r="U16" t="str">
        <f t="shared" si="4"/>
        <v>Furlan</v>
      </c>
      <c r="V16" t="str">
        <f t="shared" si="5"/>
        <v>Furlan IvkaWilla</v>
      </c>
      <c r="Y16" s="162">
        <f ca="1">VLOOKUP(B16,Crewlist!AS:AU,3,FALSE)</f>
        <v>44935</v>
      </c>
      <c r="Z16" s="163">
        <f t="shared" ca="1" si="2"/>
        <v>44935</v>
      </c>
    </row>
    <row r="17" spans="2:26">
      <c r="B17" s="202">
        <v>16</v>
      </c>
      <c r="C17" s="170" t="s">
        <v>133</v>
      </c>
      <c r="D17" s="170" t="s">
        <v>153</v>
      </c>
      <c r="E17" s="170" t="s">
        <v>42</v>
      </c>
      <c r="F17" s="183" t="s">
        <v>169</v>
      </c>
      <c r="G17" s="172">
        <v>37447</v>
      </c>
      <c r="H17" s="178" t="s">
        <v>232</v>
      </c>
      <c r="I17" s="176" t="s">
        <v>84</v>
      </c>
      <c r="J17" s="176" t="s">
        <v>72</v>
      </c>
      <c r="K17" s="174" t="s">
        <v>206</v>
      </c>
      <c r="L17" s="183" t="s">
        <v>169</v>
      </c>
      <c r="M17" s="175">
        <v>46217</v>
      </c>
      <c r="Q17">
        <f t="shared" si="0"/>
        <v>16</v>
      </c>
      <c r="R17">
        <f t="shared" si="1"/>
        <v>16</v>
      </c>
      <c r="S17">
        <f>IFERROR(SEARCH(Crewlist!$P$5,V17)+ROW()/100000,"")</f>
        <v>1.00017</v>
      </c>
      <c r="T17">
        <f t="shared" si="3"/>
        <v>16</v>
      </c>
      <c r="U17" t="str">
        <f t="shared" si="4"/>
        <v>Salomon</v>
      </c>
      <c r="V17" t="str">
        <f t="shared" si="5"/>
        <v>Salomon PerchuhiGomer</v>
      </c>
      <c r="Y17" s="162">
        <f ca="1">VLOOKUP(B17,Crewlist!AS:AU,3,FALSE)</f>
        <v>44935</v>
      </c>
      <c r="Z17" s="163">
        <f t="shared" ca="1" si="2"/>
        <v>44935</v>
      </c>
    </row>
    <row r="18" spans="2:26">
      <c r="B18" s="171">
        <v>17</v>
      </c>
      <c r="C18" s="170" t="s">
        <v>134</v>
      </c>
      <c r="D18" s="170" t="s">
        <v>154</v>
      </c>
      <c r="E18" s="169" t="s">
        <v>99</v>
      </c>
      <c r="F18" s="183" t="s">
        <v>179</v>
      </c>
      <c r="G18" s="172">
        <v>37874</v>
      </c>
      <c r="H18" s="178" t="s">
        <v>104</v>
      </c>
      <c r="I18" s="179" t="s">
        <v>84</v>
      </c>
      <c r="J18" s="179" t="s">
        <v>72</v>
      </c>
      <c r="K18" s="174" t="s">
        <v>207</v>
      </c>
      <c r="L18" s="183" t="s">
        <v>179</v>
      </c>
      <c r="M18" s="175">
        <v>46979</v>
      </c>
      <c r="Q18">
        <f t="shared" si="0"/>
        <v>17</v>
      </c>
      <c r="R18">
        <f t="shared" si="1"/>
        <v>17</v>
      </c>
      <c r="S18">
        <f>IFERROR(SEARCH(Crewlist!$P$5,V18)+ROW()/100000,"")</f>
        <v>1.0001800000000001</v>
      </c>
      <c r="T18">
        <f t="shared" si="3"/>
        <v>17</v>
      </c>
      <c r="U18" t="str">
        <f t="shared" si="4"/>
        <v>Sala</v>
      </c>
      <c r="V18" t="str">
        <f t="shared" si="5"/>
        <v>Sala DavidAmanda</v>
      </c>
      <c r="Y18" s="162">
        <f ca="1">VLOOKUP(B18,Crewlist!AS:AU,3,FALSE)</f>
        <v>44935</v>
      </c>
      <c r="Z18" s="163">
        <f t="shared" ca="1" si="2"/>
        <v>44935</v>
      </c>
    </row>
    <row r="19" spans="2:26">
      <c r="B19" s="171">
        <v>18</v>
      </c>
      <c r="C19" s="169" t="s">
        <v>135</v>
      </c>
      <c r="D19" s="169" t="s">
        <v>155</v>
      </c>
      <c r="E19" s="169" t="s">
        <v>103</v>
      </c>
      <c r="F19" s="176" t="s">
        <v>180</v>
      </c>
      <c r="G19" s="172">
        <v>33612</v>
      </c>
      <c r="H19" s="169" t="s">
        <v>233</v>
      </c>
      <c r="I19" s="176" t="s">
        <v>84</v>
      </c>
      <c r="J19" s="176" t="s">
        <v>72</v>
      </c>
      <c r="K19" s="179" t="s">
        <v>208</v>
      </c>
      <c r="L19" s="179" t="s">
        <v>180</v>
      </c>
      <c r="M19" s="175">
        <v>47270</v>
      </c>
      <c r="Q19">
        <f t="shared" si="0"/>
        <v>18</v>
      </c>
      <c r="R19">
        <f t="shared" si="1"/>
        <v>18</v>
      </c>
      <c r="S19">
        <f>IFERROR(SEARCH(Crewlist!$P$5,V19)+ROW()/100000,"")</f>
        <v>1.0001899999999999</v>
      </c>
      <c r="T19">
        <f t="shared" si="3"/>
        <v>18</v>
      </c>
      <c r="U19" t="str">
        <f t="shared" si="4"/>
        <v>MacNevin</v>
      </c>
      <c r="V19" t="str">
        <f t="shared" si="5"/>
        <v>MacNevin ApostolKanti</v>
      </c>
      <c r="Y19" s="162">
        <f ca="1">VLOOKUP(B19,Crewlist!AS:AU,3,FALSE)</f>
        <v>44935</v>
      </c>
      <c r="Z19" s="163">
        <f t="shared" ca="1" si="2"/>
        <v>44935</v>
      </c>
    </row>
    <row r="20" spans="2:26">
      <c r="B20" s="202">
        <v>19</v>
      </c>
      <c r="C20" s="169" t="s">
        <v>136</v>
      </c>
      <c r="D20" s="169" t="s">
        <v>156</v>
      </c>
      <c r="E20" s="169" t="s">
        <v>103</v>
      </c>
      <c r="F20" s="183" t="s">
        <v>181</v>
      </c>
      <c r="G20" s="177">
        <v>20190</v>
      </c>
      <c r="H20" s="178" t="s">
        <v>234</v>
      </c>
      <c r="I20" s="179" t="s">
        <v>83</v>
      </c>
      <c r="J20" s="179" t="s">
        <v>72</v>
      </c>
      <c r="K20" s="179" t="s">
        <v>209</v>
      </c>
      <c r="L20" s="183" t="s">
        <v>181</v>
      </c>
      <c r="M20" s="180">
        <v>48414</v>
      </c>
      <c r="Q20">
        <f t="shared" si="0"/>
        <v>19</v>
      </c>
      <c r="R20">
        <f t="shared" si="1"/>
        <v>19</v>
      </c>
      <c r="S20">
        <f>IFERROR(SEARCH(Crewlist!$P$5,V20)+ROW()/100000,"")</f>
        <v>1.0002</v>
      </c>
      <c r="T20">
        <f t="shared" si="3"/>
        <v>19</v>
      </c>
      <c r="U20" t="str">
        <f t="shared" si="4"/>
        <v>Kauffmann</v>
      </c>
      <c r="V20" t="str">
        <f t="shared" si="5"/>
        <v>Kauffmann WłodekIina</v>
      </c>
      <c r="Y20" s="162">
        <f ca="1">VLOOKUP(B20,Crewlist!AS:AU,3,FALSE)</f>
        <v>44935</v>
      </c>
      <c r="Z20" s="163">
        <f t="shared" ca="1" si="2"/>
        <v>44935</v>
      </c>
    </row>
    <row r="21" spans="2:26">
      <c r="B21" s="171">
        <v>20</v>
      </c>
      <c r="C21" s="170" t="s">
        <v>137</v>
      </c>
      <c r="D21" s="170" t="s">
        <v>157</v>
      </c>
      <c r="E21" s="170" t="s">
        <v>51</v>
      </c>
      <c r="F21" s="183" t="s">
        <v>182</v>
      </c>
      <c r="G21" s="172">
        <v>19695</v>
      </c>
      <c r="H21" s="178" t="s">
        <v>235</v>
      </c>
      <c r="I21" s="174" t="s">
        <v>83</v>
      </c>
      <c r="J21" s="174" t="s">
        <v>72</v>
      </c>
      <c r="K21" s="174" t="s">
        <v>210</v>
      </c>
      <c r="L21" s="183" t="s">
        <v>182</v>
      </c>
      <c r="M21" s="175">
        <v>46411</v>
      </c>
      <c r="Q21">
        <f t="shared" si="0"/>
        <v>20</v>
      </c>
      <c r="R21">
        <f t="shared" si="1"/>
        <v>20</v>
      </c>
      <c r="S21">
        <f>IFERROR(SEARCH(Crewlist!$P$5,V21)+ROW()/100000,"")</f>
        <v>1.00021</v>
      </c>
      <c r="T21">
        <f t="shared" si="3"/>
        <v>20</v>
      </c>
      <c r="U21" t="str">
        <f t="shared" si="4"/>
        <v>Longo</v>
      </c>
      <c r="V21" t="str">
        <f t="shared" si="5"/>
        <v>Longo SilvijaNisha</v>
      </c>
      <c r="Y21" s="162">
        <f ca="1">VLOOKUP(B21,Crewlist!AS:AU,3,FALSE)</f>
        <v>44935</v>
      </c>
      <c r="Z21" s="163">
        <f t="shared" ca="1" si="2"/>
        <v>44935</v>
      </c>
    </row>
    <row r="22" spans="2:26">
      <c r="B22" s="171">
        <v>21</v>
      </c>
      <c r="C22" s="169" t="s">
        <v>138</v>
      </c>
      <c r="D22" s="169" t="s">
        <v>158</v>
      </c>
      <c r="E22" s="170" t="s">
        <v>49</v>
      </c>
      <c r="F22" s="171" t="s">
        <v>183</v>
      </c>
      <c r="G22" s="177">
        <v>23905</v>
      </c>
      <c r="H22" s="178" t="s">
        <v>236</v>
      </c>
      <c r="I22" s="179" t="s">
        <v>84</v>
      </c>
      <c r="J22" s="179" t="s">
        <v>72</v>
      </c>
      <c r="K22" s="179" t="s">
        <v>211</v>
      </c>
      <c r="L22" s="174" t="s">
        <v>183</v>
      </c>
      <c r="M22" s="180">
        <v>47987</v>
      </c>
      <c r="Q22">
        <f t="shared" si="0"/>
        <v>21</v>
      </c>
      <c r="R22">
        <f t="shared" si="1"/>
        <v>21</v>
      </c>
      <c r="S22">
        <f>IFERROR(SEARCH(Crewlist!$P$5,V22)+ROW()/100000,"")</f>
        <v>1.0002200000000001</v>
      </c>
      <c r="T22">
        <f t="shared" si="3"/>
        <v>21</v>
      </c>
      <c r="U22" t="str">
        <f t="shared" si="4"/>
        <v>Amador</v>
      </c>
      <c r="V22" t="str">
        <f t="shared" si="5"/>
        <v>Amador DaudZinat</v>
      </c>
      <c r="Y22" s="162">
        <f ca="1">VLOOKUP(B22,Crewlist!AS:AU,3,FALSE)</f>
        <v>44935</v>
      </c>
      <c r="Z22" s="163">
        <f t="shared" ca="1" si="2"/>
        <v>44935</v>
      </c>
    </row>
    <row r="23" spans="2:26">
      <c r="B23" s="202">
        <v>22</v>
      </c>
      <c r="C23" s="170" t="s">
        <v>139</v>
      </c>
      <c r="D23" s="170" t="s">
        <v>159</v>
      </c>
      <c r="E23" s="170" t="s">
        <v>34</v>
      </c>
      <c r="F23" s="171" t="s">
        <v>184</v>
      </c>
      <c r="G23" s="172">
        <v>30328</v>
      </c>
      <c r="H23" s="178" t="s">
        <v>237</v>
      </c>
      <c r="I23" s="174" t="s">
        <v>83</v>
      </c>
      <c r="J23" s="174" t="s">
        <v>72</v>
      </c>
      <c r="K23" s="174" t="s">
        <v>212</v>
      </c>
      <c r="L23" s="174" t="s">
        <v>184</v>
      </c>
      <c r="M23" s="175">
        <v>46943</v>
      </c>
      <c r="Q23">
        <f t="shared" si="0"/>
        <v>22</v>
      </c>
      <c r="R23">
        <f t="shared" si="1"/>
        <v>22</v>
      </c>
      <c r="S23">
        <f>IFERROR(SEARCH(Crewlist!$P$5,V23)+ROW()/100000,"")</f>
        <v>1.00023</v>
      </c>
      <c r="T23">
        <f t="shared" si="3"/>
        <v>22</v>
      </c>
      <c r="U23" t="str">
        <f t="shared" si="4"/>
        <v>Braden</v>
      </c>
      <c r="V23" t="str">
        <f t="shared" si="5"/>
        <v>Braden KaoruCosmas</v>
      </c>
      <c r="Y23" s="162">
        <f ca="1">VLOOKUP(B23,Crewlist!AS:AU,3,FALSE)</f>
        <v>44935</v>
      </c>
      <c r="Z23" s="163">
        <f t="shared" ca="1" si="2"/>
        <v>44935</v>
      </c>
    </row>
    <row r="24" spans="2:26">
      <c r="B24" s="171">
        <v>23</v>
      </c>
      <c r="C24" s="170" t="s">
        <v>140</v>
      </c>
      <c r="D24" s="170" t="s">
        <v>160</v>
      </c>
      <c r="E24" s="170" t="s">
        <v>39</v>
      </c>
      <c r="F24" s="171" t="s">
        <v>185</v>
      </c>
      <c r="G24" s="172">
        <v>22398</v>
      </c>
      <c r="H24" s="178" t="s">
        <v>238</v>
      </c>
      <c r="I24" s="174" t="s">
        <v>83</v>
      </c>
      <c r="J24" s="174" t="s">
        <v>72</v>
      </c>
      <c r="K24" s="174" t="s">
        <v>213</v>
      </c>
      <c r="L24" s="174" t="s">
        <v>185</v>
      </c>
      <c r="M24" s="175">
        <v>46553</v>
      </c>
      <c r="Q24">
        <f t="shared" si="0"/>
        <v>23</v>
      </c>
      <c r="R24">
        <f t="shared" si="1"/>
        <v>23</v>
      </c>
      <c r="S24">
        <f>IFERROR(SEARCH(Crewlist!$P$5,V24)+ROW()/100000,"")</f>
        <v>1.00024</v>
      </c>
      <c r="T24">
        <f t="shared" si="3"/>
        <v>23</v>
      </c>
      <c r="U24" t="str">
        <f t="shared" si="4"/>
        <v>Iliescu</v>
      </c>
      <c r="V24" t="str">
        <f t="shared" si="5"/>
        <v>Iliescu EmilianAgostinho</v>
      </c>
      <c r="Y24" s="162">
        <f ca="1">VLOOKUP(B24,Crewlist!AS:AU,3,FALSE)</f>
        <v>44935</v>
      </c>
      <c r="Z24" s="163">
        <f t="shared" ca="1" si="2"/>
        <v>44935</v>
      </c>
    </row>
    <row r="25" spans="2:26">
      <c r="B25" s="171">
        <v>24</v>
      </c>
      <c r="C25" s="169" t="s">
        <v>141</v>
      </c>
      <c r="D25" s="169" t="s">
        <v>161</v>
      </c>
      <c r="E25" s="169" t="s">
        <v>39</v>
      </c>
      <c r="F25" s="176" t="s">
        <v>186</v>
      </c>
      <c r="G25" s="172">
        <v>32472</v>
      </c>
      <c r="H25" s="169" t="s">
        <v>239</v>
      </c>
      <c r="I25" s="176" t="s">
        <v>84</v>
      </c>
      <c r="J25" s="176" t="s">
        <v>72</v>
      </c>
      <c r="K25" s="179" t="s">
        <v>214</v>
      </c>
      <c r="L25" s="179" t="s">
        <v>186</v>
      </c>
      <c r="M25" s="175">
        <v>47018</v>
      </c>
      <c r="Q25">
        <f t="shared" si="0"/>
        <v>24</v>
      </c>
      <c r="R25">
        <f t="shared" si="1"/>
        <v>24</v>
      </c>
      <c r="S25">
        <f>IFERROR(SEARCH(Crewlist!$P$5,V25)+ROW()/100000,"")</f>
        <v>1.0002500000000001</v>
      </c>
      <c r="T25">
        <f t="shared" si="3"/>
        <v>24</v>
      </c>
      <c r="U25" t="str">
        <f t="shared" si="4"/>
        <v>Christian</v>
      </c>
      <c r="V25" t="str">
        <f t="shared" si="5"/>
        <v>Christian VilhjálmurTerje</v>
      </c>
      <c r="Y25" s="162">
        <f ca="1">VLOOKUP(B25,Crewlist!AS:AU,3,FALSE)</f>
        <v>44935</v>
      </c>
      <c r="Z25" s="163">
        <f t="shared" ca="1" si="2"/>
        <v>44935</v>
      </c>
    </row>
    <row r="26" spans="2:26">
      <c r="B26" s="202">
        <v>25</v>
      </c>
      <c r="C26" s="170" t="s">
        <v>142</v>
      </c>
      <c r="D26" s="170" t="s">
        <v>162</v>
      </c>
      <c r="E26" s="170" t="s">
        <v>39</v>
      </c>
      <c r="F26" s="183" t="s">
        <v>187</v>
      </c>
      <c r="G26" s="172">
        <v>37471</v>
      </c>
      <c r="H26" s="178" t="s">
        <v>100</v>
      </c>
      <c r="I26" s="179" t="s">
        <v>84</v>
      </c>
      <c r="J26" s="179" t="s">
        <v>72</v>
      </c>
      <c r="K26" s="179" t="s">
        <v>215</v>
      </c>
      <c r="L26" s="183" t="s">
        <v>187</v>
      </c>
      <c r="M26" s="180">
        <v>47887</v>
      </c>
      <c r="Q26">
        <f t="shared" si="0"/>
        <v>25</v>
      </c>
      <c r="R26">
        <f t="shared" si="1"/>
        <v>25</v>
      </c>
      <c r="S26">
        <f>IFERROR(SEARCH(Crewlist!$P$5,V26)+ROW()/100000,"")</f>
        <v>1.0002599999999999</v>
      </c>
      <c r="T26">
        <f t="shared" si="3"/>
        <v>25</v>
      </c>
      <c r="U26" t="str">
        <f t="shared" si="4"/>
        <v>Clark</v>
      </c>
      <c r="V26" t="str">
        <f t="shared" si="5"/>
        <v>Clark LilliaAnte</v>
      </c>
      <c r="Y26" s="162">
        <f ca="1">VLOOKUP(B26,Crewlist!AS:AU,3,FALSE)</f>
        <v>44935</v>
      </c>
      <c r="Z26" s="163">
        <f t="shared" ca="1" si="2"/>
        <v>44935</v>
      </c>
    </row>
    <row r="27" spans="2:26">
      <c r="B27" s="171">
        <v>26</v>
      </c>
      <c r="C27" s="170" t="s">
        <v>143</v>
      </c>
      <c r="D27" s="170" t="s">
        <v>163</v>
      </c>
      <c r="E27" s="169" t="s">
        <v>50</v>
      </c>
      <c r="F27" s="176" t="s">
        <v>188</v>
      </c>
      <c r="G27" s="172">
        <v>23335</v>
      </c>
      <c r="H27" s="169" t="s">
        <v>240</v>
      </c>
      <c r="I27" s="176" t="s">
        <v>83</v>
      </c>
      <c r="J27" s="176" t="s">
        <v>72</v>
      </c>
      <c r="K27" s="179" t="s">
        <v>216</v>
      </c>
      <c r="L27" s="179" t="s">
        <v>188</v>
      </c>
      <c r="M27" s="180">
        <v>47022</v>
      </c>
      <c r="Q27">
        <f t="shared" si="0"/>
        <v>26</v>
      </c>
      <c r="R27">
        <f t="shared" si="1"/>
        <v>26</v>
      </c>
      <c r="S27">
        <f>IFERROR(SEARCH(Crewlist!$P$5,V27)+ROW()/100000,"")</f>
        <v>1.00027</v>
      </c>
      <c r="T27">
        <f t="shared" si="3"/>
        <v>26</v>
      </c>
      <c r="U27" t="str">
        <f t="shared" si="4"/>
        <v>Spini</v>
      </c>
      <c r="V27" t="str">
        <f t="shared" si="5"/>
        <v>Spini IdirAbiola</v>
      </c>
      <c r="Y27" s="162">
        <f ca="1">VLOOKUP(B27,Crewlist!AS:AU,3,FALSE)</f>
        <v>44935</v>
      </c>
      <c r="Z27" s="163">
        <f t="shared" ca="1" si="2"/>
        <v>44935</v>
      </c>
    </row>
    <row r="28" spans="2:26">
      <c r="B28" s="171">
        <v>27</v>
      </c>
      <c r="C28" s="169" t="s">
        <v>144</v>
      </c>
      <c r="D28" s="169" t="s">
        <v>164</v>
      </c>
      <c r="E28" s="169" t="s">
        <v>102</v>
      </c>
      <c r="F28" s="176" t="s">
        <v>189</v>
      </c>
      <c r="G28" s="172">
        <v>21407</v>
      </c>
      <c r="H28" s="169" t="s">
        <v>241</v>
      </c>
      <c r="I28" s="176" t="s">
        <v>83</v>
      </c>
      <c r="J28" s="176" t="s">
        <v>72</v>
      </c>
      <c r="K28" s="179" t="s">
        <v>217</v>
      </c>
      <c r="L28" s="179" t="s">
        <v>189</v>
      </c>
      <c r="M28" s="175">
        <v>47304</v>
      </c>
      <c r="Q28">
        <f t="shared" si="0"/>
        <v>27</v>
      </c>
      <c r="R28">
        <f t="shared" si="1"/>
        <v>27</v>
      </c>
      <c r="S28">
        <f>IFERROR(SEARCH(Crewlist!$P$5,V28)+ROW()/100000,"")</f>
        <v>1.0002800000000001</v>
      </c>
      <c r="T28">
        <f t="shared" si="3"/>
        <v>27</v>
      </c>
      <c r="U28" t="str">
        <f t="shared" si="4"/>
        <v>Alessi</v>
      </c>
      <c r="V28" t="str">
        <f t="shared" si="5"/>
        <v>Alessi AuroraAmonet</v>
      </c>
      <c r="Y28" s="162">
        <f ca="1">VLOOKUP(B28,Crewlist!AS:AU,3,FALSE)</f>
        <v>44935</v>
      </c>
      <c r="Z28" s="163">
        <f t="shared" ca="1" si="2"/>
        <v>44935</v>
      </c>
    </row>
    <row r="29" spans="2:26">
      <c r="B29" s="202">
        <v>28</v>
      </c>
      <c r="C29" s="169" t="s">
        <v>145</v>
      </c>
      <c r="D29" s="169" t="s">
        <v>165</v>
      </c>
      <c r="E29" s="169" t="s">
        <v>33</v>
      </c>
      <c r="F29" s="176" t="s">
        <v>190</v>
      </c>
      <c r="G29" s="172">
        <v>24881</v>
      </c>
      <c r="H29" s="169" t="s">
        <v>242</v>
      </c>
      <c r="I29" s="176" t="s">
        <v>83</v>
      </c>
      <c r="J29" s="176" t="s">
        <v>72</v>
      </c>
      <c r="K29" s="179" t="s">
        <v>218</v>
      </c>
      <c r="L29" s="179" t="s">
        <v>190</v>
      </c>
      <c r="M29" s="175">
        <v>46672</v>
      </c>
      <c r="Q29">
        <f t="shared" si="0"/>
        <v>28</v>
      </c>
      <c r="R29">
        <f t="shared" si="1"/>
        <v>28</v>
      </c>
      <c r="S29">
        <f>IFERROR(SEARCH(Crewlist!$P$5,V29)+ROW()/100000,"")</f>
        <v>1.0002899999999999</v>
      </c>
      <c r="T29">
        <f t="shared" si="3"/>
        <v>28</v>
      </c>
      <c r="U29" t="str">
        <f t="shared" si="4"/>
        <v>Macek</v>
      </c>
      <c r="V29" t="str">
        <f t="shared" si="5"/>
        <v>Macek LudwigTakuya</v>
      </c>
      <c r="Y29" s="162">
        <f ca="1">VLOOKUP(B29,Crewlist!AS:AU,3,FALSE)</f>
        <v>44935</v>
      </c>
      <c r="Z29" s="163">
        <f t="shared" ca="1" si="2"/>
        <v>44935</v>
      </c>
    </row>
    <row r="30" spans="2:26">
      <c r="B30" s="171">
        <v>29</v>
      </c>
      <c r="C30" s="170" t="s">
        <v>146</v>
      </c>
      <c r="D30" s="170" t="s">
        <v>166</v>
      </c>
      <c r="E30" s="169" t="s">
        <v>102</v>
      </c>
      <c r="F30" s="171" t="s">
        <v>172</v>
      </c>
      <c r="G30" s="172">
        <v>34926</v>
      </c>
      <c r="H30" s="169" t="s">
        <v>243</v>
      </c>
      <c r="I30" s="171" t="s">
        <v>84</v>
      </c>
      <c r="J30" s="171" t="s">
        <v>72</v>
      </c>
      <c r="K30" s="174" t="s">
        <v>219</v>
      </c>
      <c r="L30" s="174" t="s">
        <v>172</v>
      </c>
      <c r="M30" s="175">
        <v>46531</v>
      </c>
      <c r="Q30">
        <f t="shared" si="0"/>
        <v>29</v>
      </c>
      <c r="R30">
        <f t="shared" si="1"/>
        <v>29</v>
      </c>
      <c r="S30">
        <f>IFERROR(SEARCH(Crewlist!$P$5,V30)+ROW()/100000,"")</f>
        <v>1.0003</v>
      </c>
      <c r="T30">
        <f t="shared" si="3"/>
        <v>29</v>
      </c>
      <c r="U30" t="str">
        <f t="shared" si="4"/>
        <v>Curry</v>
      </c>
      <c r="V30" t="str">
        <f t="shared" si="5"/>
        <v>Curry DawaAmie</v>
      </c>
      <c r="Y30" s="162">
        <f ca="1">VLOOKUP(B30,Crewlist!AS:AU,3,FALSE)</f>
        <v>44935</v>
      </c>
      <c r="Z30" s="163">
        <f t="shared" ca="1" si="2"/>
        <v>44935</v>
      </c>
    </row>
    <row r="31" spans="2:26">
      <c r="B31" s="171">
        <v>30</v>
      </c>
      <c r="C31" s="170" t="s">
        <v>147</v>
      </c>
      <c r="D31" s="170" t="s">
        <v>167</v>
      </c>
      <c r="E31" s="170" t="s">
        <v>102</v>
      </c>
      <c r="F31" s="215" t="s">
        <v>178</v>
      </c>
      <c r="G31" s="172">
        <v>36766</v>
      </c>
      <c r="H31" s="178" t="s">
        <v>244</v>
      </c>
      <c r="I31" s="176" t="s">
        <v>84</v>
      </c>
      <c r="J31" s="176" t="s">
        <v>72</v>
      </c>
      <c r="K31" s="174" t="s">
        <v>220</v>
      </c>
      <c r="L31" s="183" t="s">
        <v>178</v>
      </c>
      <c r="M31" s="175">
        <v>47040</v>
      </c>
      <c r="Q31">
        <f t="shared" si="0"/>
        <v>30</v>
      </c>
      <c r="R31">
        <f t="shared" si="1"/>
        <v>30</v>
      </c>
      <c r="S31">
        <f>IFERROR(SEARCH(Crewlist!$P$5,V31)+ROW()/100000,"")</f>
        <v>1.00031</v>
      </c>
      <c r="T31">
        <f t="shared" si="3"/>
        <v>30</v>
      </c>
      <c r="U31" t="str">
        <f t="shared" si="4"/>
        <v>Gwerder</v>
      </c>
      <c r="V31" t="str">
        <f t="shared" si="5"/>
        <v>Gwerder MileJuliana</v>
      </c>
      <c r="Y31" s="162">
        <f ca="1">VLOOKUP(B31,Crewlist!AS:AU,3,FALSE)</f>
        <v>44935</v>
      </c>
      <c r="Z31" s="163">
        <f t="shared" ca="1" si="2"/>
        <v>44935</v>
      </c>
    </row>
    <row r="32" spans="2:26">
      <c r="B32" s="202">
        <v>31</v>
      </c>
      <c r="C32" s="170" t="s">
        <v>255</v>
      </c>
      <c r="D32" s="170" t="s">
        <v>245</v>
      </c>
      <c r="E32" s="170" t="s">
        <v>9</v>
      </c>
      <c r="F32" s="171" t="s">
        <v>285</v>
      </c>
      <c r="G32" s="172">
        <v>33223</v>
      </c>
      <c r="H32" s="178" t="s">
        <v>265</v>
      </c>
      <c r="I32" s="174" t="s">
        <v>83</v>
      </c>
      <c r="J32" s="174" t="s">
        <v>72</v>
      </c>
      <c r="K32" s="330" t="s">
        <v>275</v>
      </c>
      <c r="L32" s="174" t="s">
        <v>285</v>
      </c>
      <c r="M32" s="175">
        <v>48061</v>
      </c>
      <c r="Q32">
        <f t="shared" si="0"/>
        <v>31</v>
      </c>
      <c r="R32">
        <f t="shared" si="1"/>
        <v>31</v>
      </c>
      <c r="S32">
        <f>IFERROR(SEARCH(Crewlist!$P$5,V32)+ROW()/100000,"")</f>
        <v>1.0003200000000001</v>
      </c>
      <c r="T32">
        <f t="shared" si="3"/>
        <v>31</v>
      </c>
      <c r="U32" t="str">
        <f t="shared" si="4"/>
        <v>Meyrick</v>
      </c>
      <c r="V32" t="str">
        <f t="shared" si="5"/>
        <v>Meyrick BertrandLovise</v>
      </c>
      <c r="Y32" s="162" t="e">
        <f>VLOOKUP(B32,Crewlist!AS:AU,3,FALSE)</f>
        <v>#N/A</v>
      </c>
      <c r="Z32" s="163">
        <f t="shared" si="2"/>
        <v>0</v>
      </c>
    </row>
    <row r="33" spans="2:26">
      <c r="B33" s="171">
        <v>32</v>
      </c>
      <c r="C33" s="170" t="s">
        <v>256</v>
      </c>
      <c r="D33" s="170" t="s">
        <v>246</v>
      </c>
      <c r="E33" s="170" t="s">
        <v>15</v>
      </c>
      <c r="F33" s="171" t="s">
        <v>286</v>
      </c>
      <c r="G33" s="172">
        <v>27587</v>
      </c>
      <c r="H33" s="178" t="s">
        <v>266</v>
      </c>
      <c r="I33" s="174" t="s">
        <v>84</v>
      </c>
      <c r="J33" s="174" t="s">
        <v>72</v>
      </c>
      <c r="K33" s="330" t="s">
        <v>276</v>
      </c>
      <c r="L33" s="179" t="s">
        <v>286</v>
      </c>
      <c r="M33" s="180">
        <v>46206</v>
      </c>
      <c r="Q33">
        <f t="shared" si="0"/>
        <v>32</v>
      </c>
      <c r="R33">
        <f t="shared" si="1"/>
        <v>32</v>
      </c>
      <c r="S33">
        <f>IFERROR(SEARCH(Crewlist!$P$5,V33)+ROW()/100000,"")</f>
        <v>1.0003299999999999</v>
      </c>
      <c r="T33">
        <f t="shared" si="3"/>
        <v>32</v>
      </c>
      <c r="U33" t="str">
        <f t="shared" si="4"/>
        <v>Genadiev</v>
      </c>
      <c r="V33" t="str">
        <f t="shared" si="5"/>
        <v>Genadiev AyselKamil</v>
      </c>
      <c r="Y33" s="162" t="e">
        <f>VLOOKUP(B33,Crewlist!AS:AU,3,FALSE)</f>
        <v>#N/A</v>
      </c>
      <c r="Z33" s="163">
        <f t="shared" si="2"/>
        <v>0</v>
      </c>
    </row>
    <row r="34" spans="2:26">
      <c r="B34" s="171">
        <v>33</v>
      </c>
      <c r="C34" s="169" t="s">
        <v>257</v>
      </c>
      <c r="D34" s="169" t="s">
        <v>247</v>
      </c>
      <c r="E34" s="169" t="s">
        <v>48</v>
      </c>
      <c r="F34" s="176" t="s">
        <v>287</v>
      </c>
      <c r="G34" s="172">
        <v>22494</v>
      </c>
      <c r="H34" s="169" t="s">
        <v>267</v>
      </c>
      <c r="I34" s="176" t="s">
        <v>83</v>
      </c>
      <c r="J34" s="176" t="s">
        <v>72</v>
      </c>
      <c r="K34" s="330" t="s">
        <v>277</v>
      </c>
      <c r="L34" s="179" t="s">
        <v>287</v>
      </c>
      <c r="M34" s="175">
        <v>47868</v>
      </c>
      <c r="Q34">
        <f t="shared" si="0"/>
        <v>33</v>
      </c>
      <c r="R34">
        <f t="shared" si="1"/>
        <v>33</v>
      </c>
      <c r="S34">
        <f>IFERROR(SEARCH(Crewlist!$P$5,V34)+ROW()/100000,"")</f>
        <v>1.00034</v>
      </c>
      <c r="T34">
        <f t="shared" si="3"/>
        <v>33</v>
      </c>
      <c r="U34" t="str">
        <f t="shared" si="4"/>
        <v>Traylor</v>
      </c>
      <c r="V34" t="str">
        <f t="shared" si="5"/>
        <v>Traylor GovindaDiodotos</v>
      </c>
      <c r="Y34" s="162" t="e">
        <f>VLOOKUP(B34,Crewlist!AS:AU,3,FALSE)</f>
        <v>#N/A</v>
      </c>
      <c r="Z34" s="163">
        <f t="shared" si="2"/>
        <v>0</v>
      </c>
    </row>
    <row r="35" spans="2:26">
      <c r="B35" s="202">
        <v>34</v>
      </c>
      <c r="C35" s="170" t="s">
        <v>258</v>
      </c>
      <c r="D35" s="170" t="s">
        <v>248</v>
      </c>
      <c r="E35" s="170" t="s">
        <v>17</v>
      </c>
      <c r="F35" s="171" t="s">
        <v>288</v>
      </c>
      <c r="G35" s="172">
        <v>25572</v>
      </c>
      <c r="H35" s="169" t="s">
        <v>268</v>
      </c>
      <c r="I35" s="171" t="s">
        <v>84</v>
      </c>
      <c r="J35" s="171" t="s">
        <v>72</v>
      </c>
      <c r="K35" s="330" t="s">
        <v>278</v>
      </c>
      <c r="L35" s="174" t="s">
        <v>288</v>
      </c>
      <c r="M35" s="175">
        <v>47152</v>
      </c>
      <c r="Q35">
        <f t="shared" si="0"/>
        <v>34</v>
      </c>
      <c r="R35">
        <f t="shared" si="1"/>
        <v>34</v>
      </c>
      <c r="S35">
        <f>IFERROR(SEARCH(Crewlist!$P$5,V35)+ROW()/100000,"")</f>
        <v>1.0003500000000001</v>
      </c>
      <c r="T35">
        <f t="shared" si="3"/>
        <v>34</v>
      </c>
      <c r="U35" t="str">
        <f t="shared" si="4"/>
        <v>Hakim</v>
      </c>
      <c r="V35" t="str">
        <f t="shared" si="5"/>
        <v>Hakim KalinLalita</v>
      </c>
      <c r="Y35" s="162" t="e">
        <f>VLOOKUP(B35,Crewlist!AS:AU,3,FALSE)</f>
        <v>#N/A</v>
      </c>
      <c r="Z35" s="163">
        <f t="shared" si="2"/>
        <v>0</v>
      </c>
    </row>
    <row r="36" spans="2:26">
      <c r="B36" s="171">
        <v>35</v>
      </c>
      <c r="C36" s="170" t="s">
        <v>259</v>
      </c>
      <c r="D36" s="170" t="s">
        <v>249</v>
      </c>
      <c r="E36" s="170" t="s">
        <v>40</v>
      </c>
      <c r="F36" s="183" t="s">
        <v>289</v>
      </c>
      <c r="G36" s="172">
        <v>25033</v>
      </c>
      <c r="H36" s="178" t="s">
        <v>269</v>
      </c>
      <c r="I36" s="176" t="s">
        <v>83</v>
      </c>
      <c r="J36" s="176" t="s">
        <v>72</v>
      </c>
      <c r="K36" s="330" t="s">
        <v>279</v>
      </c>
      <c r="L36" s="183" t="s">
        <v>289</v>
      </c>
      <c r="M36" s="180">
        <v>48420</v>
      </c>
      <c r="Q36">
        <f t="shared" si="0"/>
        <v>35</v>
      </c>
      <c r="R36">
        <f t="shared" si="1"/>
        <v>35</v>
      </c>
      <c r="S36">
        <f>IFERROR(SEARCH(Crewlist!$P$5,V36)+ROW()/100000,"")</f>
        <v>1.0003599999999999</v>
      </c>
      <c r="T36">
        <f t="shared" si="3"/>
        <v>35</v>
      </c>
      <c r="U36" t="str">
        <f t="shared" si="4"/>
        <v>Post</v>
      </c>
      <c r="V36" t="str">
        <f t="shared" si="5"/>
        <v>Post Eun-JiIryna</v>
      </c>
      <c r="Y36" s="162" t="e">
        <f>VLOOKUP(B36,Crewlist!AS:AU,3,FALSE)</f>
        <v>#N/A</v>
      </c>
      <c r="Z36" s="163">
        <f t="shared" si="2"/>
        <v>0</v>
      </c>
    </row>
    <row r="37" spans="2:26">
      <c r="B37" s="171">
        <v>36</v>
      </c>
      <c r="C37" s="169" t="s">
        <v>260</v>
      </c>
      <c r="D37" s="169" t="s">
        <v>250</v>
      </c>
      <c r="E37" s="169" t="s">
        <v>103</v>
      </c>
      <c r="F37" s="176" t="s">
        <v>290</v>
      </c>
      <c r="G37" s="172">
        <v>34984</v>
      </c>
      <c r="H37" s="169" t="s">
        <v>270</v>
      </c>
      <c r="I37" s="176" t="s">
        <v>83</v>
      </c>
      <c r="J37" s="176" t="s">
        <v>72</v>
      </c>
      <c r="K37" s="330" t="s">
        <v>280</v>
      </c>
      <c r="L37" s="179" t="s">
        <v>290</v>
      </c>
      <c r="M37" s="175">
        <v>47333</v>
      </c>
      <c r="Q37">
        <f t="shared" si="0"/>
        <v>36</v>
      </c>
      <c r="R37">
        <f t="shared" si="1"/>
        <v>36</v>
      </c>
      <c r="S37">
        <f>IFERROR(SEARCH(Crewlist!$P$5,V37)+ROW()/100000,"")</f>
        <v>1.00037</v>
      </c>
      <c r="T37">
        <f t="shared" si="3"/>
        <v>36</v>
      </c>
      <c r="U37" t="str">
        <f t="shared" si="4"/>
        <v>Sanna</v>
      </c>
      <c r="V37" t="str">
        <f t="shared" si="5"/>
        <v>Sanna GuilhermeRamana</v>
      </c>
      <c r="Y37" s="162" t="e">
        <f>VLOOKUP(B37,Crewlist!AS:AU,3,FALSE)</f>
        <v>#N/A</v>
      </c>
      <c r="Z37" s="163">
        <f t="shared" si="2"/>
        <v>0</v>
      </c>
    </row>
    <row r="38" spans="2:26">
      <c r="B38" s="202">
        <v>37</v>
      </c>
      <c r="C38" s="170" t="s">
        <v>261</v>
      </c>
      <c r="D38" s="170" t="s">
        <v>251</v>
      </c>
      <c r="E38" s="169" t="s">
        <v>49</v>
      </c>
      <c r="F38" s="176" t="s">
        <v>291</v>
      </c>
      <c r="G38" s="172">
        <v>32433</v>
      </c>
      <c r="H38" s="169" t="s">
        <v>271</v>
      </c>
      <c r="I38" s="176" t="s">
        <v>84</v>
      </c>
      <c r="J38" s="176" t="s">
        <v>72</v>
      </c>
      <c r="K38" s="330" t="s">
        <v>281</v>
      </c>
      <c r="L38" s="174" t="s">
        <v>291</v>
      </c>
      <c r="M38" s="180">
        <v>48413</v>
      </c>
      <c r="Q38">
        <f t="shared" si="0"/>
        <v>37</v>
      </c>
      <c r="R38">
        <f t="shared" si="1"/>
        <v>37</v>
      </c>
      <c r="S38">
        <f>IFERROR(SEARCH(Crewlist!$P$5,V38)+ROW()/100000,"")</f>
        <v>1.00038</v>
      </c>
      <c r="T38">
        <f t="shared" si="3"/>
        <v>37</v>
      </c>
      <c r="U38" t="str">
        <f t="shared" si="4"/>
        <v>Aitken</v>
      </c>
      <c r="V38" t="str">
        <f t="shared" si="5"/>
        <v>Aitken AdelaisEsdras</v>
      </c>
      <c r="Y38" s="162" t="e">
        <f>VLOOKUP(B38,Crewlist!AS:AU,3,FALSE)</f>
        <v>#N/A</v>
      </c>
      <c r="Z38" s="163">
        <f t="shared" si="2"/>
        <v>0</v>
      </c>
    </row>
    <row r="39" spans="2:26">
      <c r="B39" s="171">
        <v>38</v>
      </c>
      <c r="C39" s="170" t="s">
        <v>262</v>
      </c>
      <c r="D39" s="170" t="s">
        <v>252</v>
      </c>
      <c r="E39" s="170" t="s">
        <v>39</v>
      </c>
      <c r="F39" s="171" t="s">
        <v>292</v>
      </c>
      <c r="G39" s="172">
        <v>32826</v>
      </c>
      <c r="H39" s="178" t="s">
        <v>272</v>
      </c>
      <c r="I39" s="174" t="s">
        <v>83</v>
      </c>
      <c r="J39" s="174" t="s">
        <v>72</v>
      </c>
      <c r="K39" s="330" t="s">
        <v>282</v>
      </c>
      <c r="L39" s="174" t="s">
        <v>292</v>
      </c>
      <c r="M39" s="175">
        <v>47337</v>
      </c>
      <c r="Q39">
        <f t="shared" si="0"/>
        <v>38</v>
      </c>
      <c r="R39">
        <f t="shared" si="1"/>
        <v>38</v>
      </c>
      <c r="S39">
        <f>IFERROR(SEARCH(Crewlist!$P$5,V39)+ROW()/100000,"")</f>
        <v>1.0003899999999999</v>
      </c>
      <c r="T39">
        <f t="shared" si="3"/>
        <v>38</v>
      </c>
      <c r="U39" t="str">
        <f t="shared" si="4"/>
        <v>Chiara</v>
      </c>
      <c r="V39" t="str">
        <f t="shared" si="5"/>
        <v>Chiara AniMaria</v>
      </c>
      <c r="Y39" s="162" t="e">
        <f>VLOOKUP(B39,Crewlist!AS:AU,3,FALSE)</f>
        <v>#N/A</v>
      </c>
      <c r="Z39" s="163">
        <f t="shared" si="2"/>
        <v>0</v>
      </c>
    </row>
    <row r="40" spans="2:26">
      <c r="B40" s="171">
        <v>39</v>
      </c>
      <c r="C40" s="170" t="s">
        <v>263</v>
      </c>
      <c r="D40" s="170" t="s">
        <v>253</v>
      </c>
      <c r="E40" s="170" t="s">
        <v>102</v>
      </c>
      <c r="F40" s="171" t="s">
        <v>293</v>
      </c>
      <c r="G40" s="172">
        <v>21710</v>
      </c>
      <c r="H40" s="178" t="s">
        <v>273</v>
      </c>
      <c r="I40" s="179" t="s">
        <v>83</v>
      </c>
      <c r="J40" s="174" t="s">
        <v>72</v>
      </c>
      <c r="K40" s="330" t="s">
        <v>283</v>
      </c>
      <c r="L40" s="174" t="s">
        <v>293</v>
      </c>
      <c r="M40" s="175">
        <v>45846</v>
      </c>
      <c r="Q40">
        <f t="shared" si="0"/>
        <v>39</v>
      </c>
      <c r="R40">
        <f t="shared" si="1"/>
        <v>39</v>
      </c>
      <c r="S40">
        <f>IFERROR(SEARCH(Crewlist!$P$5,V40)+ROW()/100000,"")</f>
        <v>1.0004</v>
      </c>
      <c r="T40">
        <f t="shared" si="3"/>
        <v>39</v>
      </c>
      <c r="U40" t="str">
        <f t="shared" si="4"/>
        <v>Wheatley</v>
      </c>
      <c r="V40" t="str">
        <f t="shared" si="5"/>
        <v>Wheatley MelisaViraj</v>
      </c>
      <c r="Y40" s="162" t="e">
        <f>VLOOKUP(B40,Crewlist!AS:AU,3,FALSE)</f>
        <v>#N/A</v>
      </c>
      <c r="Z40" s="163">
        <f t="shared" si="2"/>
        <v>0</v>
      </c>
    </row>
    <row r="41" spans="2:26">
      <c r="B41" s="202">
        <v>40</v>
      </c>
      <c r="C41" s="169" t="s">
        <v>264</v>
      </c>
      <c r="D41" s="169" t="s">
        <v>254</v>
      </c>
      <c r="E41" s="169" t="s">
        <v>33</v>
      </c>
      <c r="F41" s="176" t="s">
        <v>292</v>
      </c>
      <c r="G41" s="172">
        <v>31510</v>
      </c>
      <c r="H41" s="178" t="s">
        <v>274</v>
      </c>
      <c r="I41" s="179" t="s">
        <v>83</v>
      </c>
      <c r="J41" s="179" t="s">
        <v>72</v>
      </c>
      <c r="K41" s="330" t="s">
        <v>284</v>
      </c>
      <c r="L41" s="179" t="s">
        <v>292</v>
      </c>
      <c r="M41" s="175">
        <v>44962</v>
      </c>
      <c r="Q41">
        <f t="shared" si="0"/>
        <v>40</v>
      </c>
      <c r="R41">
        <f t="shared" si="1"/>
        <v>40</v>
      </c>
      <c r="S41">
        <f>IFERROR(SEARCH(Crewlist!$P$5,V41)+ROW()/100000,"")</f>
        <v>1.00041</v>
      </c>
      <c r="T41">
        <f t="shared" si="3"/>
        <v>40</v>
      </c>
      <c r="U41" t="str">
        <f t="shared" si="4"/>
        <v>Bridges</v>
      </c>
      <c r="V41" t="str">
        <f t="shared" si="5"/>
        <v>Bridges LauriLakshmana</v>
      </c>
      <c r="Y41" s="162" t="e">
        <f>VLOOKUP(B41,Crewlist!AS:AU,3,FALSE)</f>
        <v>#N/A</v>
      </c>
      <c r="Z41" s="163">
        <f t="shared" si="2"/>
        <v>0</v>
      </c>
    </row>
    <row r="42" spans="2:26">
      <c r="B42" s="171">
        <v>41</v>
      </c>
      <c r="H42" s="173"/>
      <c r="I42" s="174"/>
      <c r="J42" s="174"/>
      <c r="Q42">
        <f t="shared" si="0"/>
        <v>0</v>
      </c>
      <c r="R42">
        <f t="shared" si="1"/>
        <v>41</v>
      </c>
      <c r="S42">
        <f>IFERROR(SEARCH(Crewlist!$P$5,V42)+ROW()/100000,"")</f>
        <v>1.0004200000000001</v>
      </c>
      <c r="T42">
        <f t="shared" si="3"/>
        <v>41</v>
      </c>
      <c r="U42">
        <f t="shared" si="4"/>
        <v>0</v>
      </c>
      <c r="V42" t="str">
        <f t="shared" si="5"/>
        <v xml:space="preserve"> </v>
      </c>
      <c r="Y42" s="162" t="e">
        <f>VLOOKUP(B42,Crewlist!AS:AU,3,FALSE)</f>
        <v>#N/A</v>
      </c>
      <c r="Z42" s="163">
        <f t="shared" si="2"/>
        <v>0</v>
      </c>
    </row>
    <row r="43" spans="2:26">
      <c r="B43" s="171">
        <v>42</v>
      </c>
      <c r="H43" s="173"/>
      <c r="I43" s="174"/>
      <c r="J43" s="174"/>
      <c r="Q43">
        <f t="shared" si="0"/>
        <v>0</v>
      </c>
      <c r="R43">
        <f t="shared" si="1"/>
        <v>42</v>
      </c>
      <c r="S43">
        <f>IFERROR(SEARCH(Crewlist!$P$5,V43)+ROW()/100000,"")</f>
        <v>1.0004299999999999</v>
      </c>
      <c r="T43">
        <f t="shared" si="3"/>
        <v>42</v>
      </c>
      <c r="U43">
        <f t="shared" si="4"/>
        <v>0</v>
      </c>
      <c r="V43" t="str">
        <f t="shared" si="5"/>
        <v xml:space="preserve"> </v>
      </c>
      <c r="Y43" s="162" t="e">
        <f>VLOOKUP(B43,Crewlist!AS:AU,3,FALSE)</f>
        <v>#N/A</v>
      </c>
      <c r="Z43" s="163">
        <f t="shared" si="2"/>
        <v>0</v>
      </c>
    </row>
    <row r="44" spans="2:26">
      <c r="B44" s="202">
        <v>43</v>
      </c>
      <c r="H44" s="173"/>
      <c r="I44" s="179"/>
      <c r="J44" s="179"/>
      <c r="L44" s="179"/>
      <c r="Q44">
        <f t="shared" si="0"/>
        <v>0</v>
      </c>
      <c r="R44">
        <f t="shared" si="1"/>
        <v>43</v>
      </c>
      <c r="S44">
        <f>IFERROR(SEARCH(Crewlist!$P$5,V44)+ROW()/100000,"")</f>
        <v>1.00044</v>
      </c>
      <c r="T44">
        <f t="shared" si="3"/>
        <v>43</v>
      </c>
      <c r="U44">
        <f t="shared" si="4"/>
        <v>0</v>
      </c>
      <c r="V44" t="str">
        <f t="shared" si="5"/>
        <v xml:space="preserve"> </v>
      </c>
      <c r="Y44" s="162" t="e">
        <f>VLOOKUP(B44,Crewlist!AS:AU,3,FALSE)</f>
        <v>#N/A</v>
      </c>
      <c r="Z44" s="163">
        <f t="shared" si="2"/>
        <v>0</v>
      </c>
    </row>
    <row r="45" spans="2:26">
      <c r="B45" s="171">
        <v>44</v>
      </c>
      <c r="H45" s="173"/>
      <c r="I45" s="174"/>
      <c r="J45" s="174"/>
      <c r="Q45">
        <f t="shared" si="0"/>
        <v>0</v>
      </c>
      <c r="R45">
        <f t="shared" si="1"/>
        <v>44</v>
      </c>
      <c r="S45">
        <f>IFERROR(SEARCH(Crewlist!$P$5,V45)+ROW()/100000,"")</f>
        <v>1.0004500000000001</v>
      </c>
      <c r="T45">
        <f t="shared" si="3"/>
        <v>44</v>
      </c>
      <c r="U45">
        <f t="shared" si="4"/>
        <v>0</v>
      </c>
      <c r="V45" t="str">
        <f t="shared" si="5"/>
        <v xml:space="preserve"> </v>
      </c>
      <c r="Y45" s="162" t="e">
        <f>VLOOKUP(B45,Crewlist!AS:AU,3,FALSE)</f>
        <v>#N/A</v>
      </c>
      <c r="Z45" s="163">
        <f t="shared" si="2"/>
        <v>0</v>
      </c>
    </row>
    <row r="46" spans="2:26">
      <c r="B46" s="171">
        <v>45</v>
      </c>
      <c r="F46" s="215"/>
      <c r="H46" s="173"/>
      <c r="I46" s="174"/>
      <c r="J46" s="174"/>
      <c r="L46" s="215"/>
      <c r="Q46">
        <f t="shared" si="0"/>
        <v>0</v>
      </c>
      <c r="R46">
        <f t="shared" si="1"/>
        <v>45</v>
      </c>
      <c r="S46">
        <f>IFERROR(SEARCH(Crewlist!$P$5,V46)+ROW()/100000,"")</f>
        <v>1.0004599999999999</v>
      </c>
      <c r="T46">
        <f t="shared" si="3"/>
        <v>45</v>
      </c>
      <c r="U46">
        <f t="shared" si="4"/>
        <v>0</v>
      </c>
      <c r="V46" t="str">
        <f t="shared" si="5"/>
        <v xml:space="preserve"> </v>
      </c>
      <c r="Y46" s="162" t="e">
        <f>VLOOKUP(B46,Crewlist!AS:AU,3,FALSE)</f>
        <v>#N/A</v>
      </c>
      <c r="Z46" s="163">
        <f t="shared" si="2"/>
        <v>0</v>
      </c>
    </row>
    <row r="47" spans="2:26">
      <c r="B47" s="202">
        <v>46</v>
      </c>
      <c r="C47" s="169"/>
      <c r="D47" s="169"/>
      <c r="E47" s="169"/>
      <c r="F47" s="176"/>
      <c r="H47" s="169"/>
      <c r="I47" s="176"/>
      <c r="J47" s="176"/>
      <c r="K47" s="179"/>
      <c r="L47" s="179"/>
      <c r="Q47">
        <f t="shared" si="0"/>
        <v>0</v>
      </c>
      <c r="R47">
        <f t="shared" si="1"/>
        <v>46</v>
      </c>
      <c r="S47">
        <f>IFERROR(SEARCH(Crewlist!$P$5,V47)+ROW()/100000,"")</f>
        <v>1.00047</v>
      </c>
      <c r="T47">
        <f t="shared" si="3"/>
        <v>46</v>
      </c>
      <c r="U47">
        <f t="shared" si="4"/>
        <v>0</v>
      </c>
      <c r="V47" t="str">
        <f t="shared" si="5"/>
        <v xml:space="preserve"> </v>
      </c>
      <c r="Y47" s="162" t="e">
        <f>VLOOKUP(B47,Crewlist!AS:AU,3,FALSE)</f>
        <v>#N/A</v>
      </c>
      <c r="Z47" s="163">
        <f t="shared" si="2"/>
        <v>0</v>
      </c>
    </row>
    <row r="48" spans="2:26">
      <c r="B48" s="171">
        <v>47</v>
      </c>
      <c r="H48" s="173"/>
      <c r="I48" s="174"/>
      <c r="J48" s="174"/>
      <c r="Q48">
        <f t="shared" si="0"/>
        <v>0</v>
      </c>
      <c r="R48">
        <f t="shared" si="1"/>
        <v>47</v>
      </c>
      <c r="S48">
        <f>IFERROR(SEARCH(Crewlist!$P$5,V48)+ROW()/100000,"")</f>
        <v>1.00048</v>
      </c>
      <c r="T48">
        <f t="shared" si="3"/>
        <v>47</v>
      </c>
      <c r="U48">
        <f t="shared" si="4"/>
        <v>0</v>
      </c>
      <c r="V48" t="str">
        <f t="shared" si="5"/>
        <v xml:space="preserve"> </v>
      </c>
      <c r="Y48" s="162" t="e">
        <f>VLOOKUP(B48,Crewlist!AS:AU,3,FALSE)</f>
        <v>#N/A</v>
      </c>
      <c r="Z48" s="163">
        <f t="shared" si="2"/>
        <v>0</v>
      </c>
    </row>
    <row r="49" spans="2:26">
      <c r="B49" s="171">
        <v>48</v>
      </c>
      <c r="H49" s="173"/>
      <c r="I49" s="174"/>
      <c r="J49" s="174"/>
      <c r="Q49">
        <f t="shared" si="0"/>
        <v>0</v>
      </c>
      <c r="R49">
        <f t="shared" si="1"/>
        <v>48</v>
      </c>
      <c r="S49">
        <f>IFERROR(SEARCH(Crewlist!$P$5,V49)+ROW()/100000,"")</f>
        <v>1.0004900000000001</v>
      </c>
      <c r="T49">
        <f t="shared" si="3"/>
        <v>48</v>
      </c>
      <c r="U49">
        <f t="shared" si="4"/>
        <v>0</v>
      </c>
      <c r="V49" t="str">
        <f t="shared" si="5"/>
        <v xml:space="preserve"> </v>
      </c>
      <c r="Y49" s="162" t="e">
        <f>VLOOKUP(B49,Crewlist!AS:AU,3,FALSE)</f>
        <v>#N/A</v>
      </c>
      <c r="Z49" s="163">
        <f t="shared" si="2"/>
        <v>0</v>
      </c>
    </row>
    <row r="50" spans="2:26">
      <c r="B50" s="202">
        <v>49</v>
      </c>
      <c r="H50" s="173"/>
      <c r="I50" s="174"/>
      <c r="J50" s="174"/>
      <c r="Q50">
        <f t="shared" si="0"/>
        <v>0</v>
      </c>
      <c r="R50">
        <f t="shared" si="1"/>
        <v>49</v>
      </c>
      <c r="S50">
        <f>IFERROR(SEARCH(Crewlist!$P$5,V50)+ROW()/100000,"")</f>
        <v>1.0004999999999999</v>
      </c>
      <c r="T50">
        <f t="shared" si="3"/>
        <v>49</v>
      </c>
      <c r="U50">
        <f t="shared" si="4"/>
        <v>0</v>
      </c>
      <c r="V50" t="str">
        <f t="shared" si="5"/>
        <v xml:space="preserve"> </v>
      </c>
      <c r="Y50" s="162" t="e">
        <f>VLOOKUP(B50,Crewlist!AS:AU,3,FALSE)</f>
        <v>#N/A</v>
      </c>
      <c r="Z50" s="163">
        <f t="shared" si="2"/>
        <v>0</v>
      </c>
    </row>
    <row r="51" spans="2:26">
      <c r="B51" s="171">
        <v>50</v>
      </c>
      <c r="Q51">
        <f t="shared" si="0"/>
        <v>0</v>
      </c>
      <c r="R51">
        <f t="shared" si="1"/>
        <v>50</v>
      </c>
      <c r="S51">
        <f>IFERROR(SEARCH(Crewlist!$P$5,V51)+ROW()/100000,"")</f>
        <v>1.00051</v>
      </c>
      <c r="T51">
        <f t="shared" si="3"/>
        <v>50</v>
      </c>
      <c r="U51">
        <f t="shared" si="4"/>
        <v>0</v>
      </c>
      <c r="V51" t="str">
        <f t="shared" si="5"/>
        <v xml:space="preserve"> </v>
      </c>
      <c r="Y51" s="162" t="e">
        <f>VLOOKUP(B51,Crewlist!AS:AU,3,FALSE)</f>
        <v>#N/A</v>
      </c>
      <c r="Z51" s="163">
        <f t="shared" si="2"/>
        <v>0</v>
      </c>
    </row>
    <row r="52" spans="2:26">
      <c r="B52" s="171">
        <v>51</v>
      </c>
      <c r="C52" s="169"/>
      <c r="D52" s="169"/>
      <c r="E52" s="169"/>
      <c r="H52" s="178"/>
      <c r="I52" s="179"/>
      <c r="J52" s="179"/>
      <c r="K52" s="179"/>
      <c r="M52" s="180"/>
      <c r="Q52">
        <f t="shared" si="0"/>
        <v>0</v>
      </c>
      <c r="R52">
        <f t="shared" si="1"/>
        <v>51</v>
      </c>
      <c r="S52">
        <f>IFERROR(SEARCH(Crewlist!$P$5,V52)+ROW()/100000,"")</f>
        <v>1.0005200000000001</v>
      </c>
      <c r="T52">
        <f t="shared" si="3"/>
        <v>51</v>
      </c>
      <c r="U52">
        <f t="shared" si="4"/>
        <v>0</v>
      </c>
      <c r="V52" t="str">
        <f t="shared" si="5"/>
        <v xml:space="preserve"> </v>
      </c>
      <c r="Y52" s="162" t="e">
        <f>VLOOKUP(B52,Crewlist!AS:AU,3,FALSE)</f>
        <v>#N/A</v>
      </c>
      <c r="Z52" s="163">
        <f t="shared" si="2"/>
        <v>0</v>
      </c>
    </row>
    <row r="53" spans="2:26">
      <c r="B53" s="202">
        <v>52</v>
      </c>
      <c r="E53" s="169"/>
      <c r="H53" s="173"/>
      <c r="I53" s="179"/>
      <c r="J53" s="179"/>
      <c r="Q53">
        <f t="shared" si="0"/>
        <v>0</v>
      </c>
      <c r="R53">
        <f t="shared" si="1"/>
        <v>52</v>
      </c>
      <c r="S53">
        <f>IFERROR(SEARCH(Crewlist!$P$5,V53)+ROW()/100000,"")</f>
        <v>1.0005299999999999</v>
      </c>
      <c r="T53">
        <f t="shared" si="3"/>
        <v>52</v>
      </c>
      <c r="U53">
        <f t="shared" si="4"/>
        <v>0</v>
      </c>
      <c r="V53" t="str">
        <f t="shared" si="5"/>
        <v xml:space="preserve"> </v>
      </c>
      <c r="Y53" s="162" t="e">
        <f>VLOOKUP(B53,Crewlist!AS:AU,3,FALSE)</f>
        <v>#N/A</v>
      </c>
      <c r="Z53" s="163">
        <f t="shared" si="2"/>
        <v>0</v>
      </c>
    </row>
    <row r="54" spans="2:26">
      <c r="B54" s="171">
        <v>53</v>
      </c>
      <c r="C54" s="169"/>
      <c r="D54" s="169"/>
      <c r="F54" s="176"/>
      <c r="H54" s="173"/>
      <c r="I54" s="179"/>
      <c r="J54" s="179"/>
      <c r="L54" s="179"/>
      <c r="Q54">
        <f t="shared" si="0"/>
        <v>0</v>
      </c>
      <c r="R54">
        <f t="shared" si="1"/>
        <v>53</v>
      </c>
      <c r="S54">
        <f>IFERROR(SEARCH(Crewlist!$P$5,V54)+ROW()/100000,"")</f>
        <v>1.00054</v>
      </c>
      <c r="T54">
        <f t="shared" si="3"/>
        <v>53</v>
      </c>
      <c r="U54">
        <f t="shared" si="4"/>
        <v>0</v>
      </c>
      <c r="V54" t="str">
        <f t="shared" si="5"/>
        <v xml:space="preserve"> </v>
      </c>
      <c r="Y54" s="162" t="e">
        <f>VLOOKUP(B54,Crewlist!AS:AU,3,FALSE)</f>
        <v>#N/A</v>
      </c>
      <c r="Z54" s="163">
        <f t="shared" si="2"/>
        <v>0</v>
      </c>
    </row>
    <row r="55" spans="2:26">
      <c r="B55" s="171">
        <v>54</v>
      </c>
      <c r="H55" s="173"/>
      <c r="I55" s="174"/>
      <c r="J55" s="174"/>
      <c r="Q55">
        <f t="shared" si="0"/>
        <v>0</v>
      </c>
      <c r="R55">
        <f t="shared" si="1"/>
        <v>54</v>
      </c>
      <c r="S55">
        <f>IFERROR(SEARCH(Crewlist!$P$5,V55)+ROW()/100000,"")</f>
        <v>1.0005500000000001</v>
      </c>
      <c r="T55">
        <f t="shared" si="3"/>
        <v>54</v>
      </c>
      <c r="U55">
        <f t="shared" si="4"/>
        <v>0</v>
      </c>
      <c r="V55" t="str">
        <f t="shared" si="5"/>
        <v xml:space="preserve"> </v>
      </c>
      <c r="Y55" s="162" t="e">
        <f>VLOOKUP(B55,Crewlist!AS:AU,3,FALSE)</f>
        <v>#N/A</v>
      </c>
      <c r="Z55" s="163">
        <f t="shared" si="2"/>
        <v>0</v>
      </c>
    </row>
    <row r="56" spans="2:26">
      <c r="B56" s="202">
        <v>55</v>
      </c>
      <c r="C56" s="169"/>
      <c r="D56" s="169"/>
      <c r="E56" s="169"/>
      <c r="G56" s="177"/>
      <c r="H56" s="178"/>
      <c r="I56" s="179"/>
      <c r="J56" s="179"/>
      <c r="K56" s="179"/>
      <c r="M56" s="180"/>
      <c r="Q56">
        <f t="shared" si="0"/>
        <v>0</v>
      </c>
      <c r="R56">
        <f t="shared" si="1"/>
        <v>55</v>
      </c>
      <c r="S56">
        <f>IFERROR(SEARCH(Crewlist!$P$5,V56)+ROW()/100000,"")</f>
        <v>1.0005599999999999</v>
      </c>
      <c r="T56">
        <f t="shared" si="3"/>
        <v>55</v>
      </c>
      <c r="U56">
        <f t="shared" si="4"/>
        <v>0</v>
      </c>
      <c r="V56" t="str">
        <f t="shared" si="5"/>
        <v xml:space="preserve"> </v>
      </c>
      <c r="Y56" s="162" t="e">
        <f>VLOOKUP(B56,Crewlist!AS:AU,3,FALSE)</f>
        <v>#N/A</v>
      </c>
      <c r="Z56" s="163">
        <f t="shared" si="2"/>
        <v>0</v>
      </c>
    </row>
    <row r="57" spans="2:26">
      <c r="B57" s="171">
        <v>56</v>
      </c>
      <c r="C57" s="169"/>
      <c r="D57" s="169"/>
      <c r="F57" s="176"/>
      <c r="H57" s="173"/>
      <c r="I57" s="179"/>
      <c r="J57" s="179"/>
      <c r="K57" s="179"/>
      <c r="L57" s="179"/>
      <c r="Q57">
        <f t="shared" si="0"/>
        <v>0</v>
      </c>
      <c r="R57">
        <f t="shared" si="1"/>
        <v>56</v>
      </c>
      <c r="S57">
        <f>IFERROR(SEARCH(Crewlist!$P$5,V57)+ROW()/100000,"")</f>
        <v>1.00057</v>
      </c>
      <c r="T57">
        <f t="shared" si="3"/>
        <v>56</v>
      </c>
      <c r="U57">
        <f t="shared" si="4"/>
        <v>0</v>
      </c>
      <c r="V57" t="str">
        <f t="shared" si="5"/>
        <v xml:space="preserve"> </v>
      </c>
      <c r="Y57" s="162" t="e">
        <f>VLOOKUP(B57,Crewlist!AS:AU,3,FALSE)</f>
        <v>#N/A</v>
      </c>
      <c r="Z57" s="163">
        <f t="shared" si="2"/>
        <v>0</v>
      </c>
    </row>
    <row r="58" spans="2:26">
      <c r="B58" s="171">
        <v>57</v>
      </c>
      <c r="F58" s="183"/>
      <c r="H58" s="173"/>
      <c r="I58" s="174"/>
      <c r="J58" s="174"/>
      <c r="L58" s="183"/>
      <c r="Q58">
        <f t="shared" si="0"/>
        <v>0</v>
      </c>
      <c r="R58">
        <f t="shared" si="1"/>
        <v>57</v>
      </c>
      <c r="S58">
        <f>IFERROR(SEARCH(Crewlist!$P$5,V58)+ROW()/100000,"")</f>
        <v>1.00058</v>
      </c>
      <c r="T58">
        <f t="shared" si="3"/>
        <v>57</v>
      </c>
      <c r="U58">
        <f t="shared" si="4"/>
        <v>0</v>
      </c>
      <c r="V58" t="str">
        <f t="shared" si="5"/>
        <v xml:space="preserve"> </v>
      </c>
      <c r="Y58" s="162" t="e">
        <f>VLOOKUP(B58,Crewlist!AS:AU,3,FALSE)</f>
        <v>#N/A</v>
      </c>
      <c r="Z58" s="163">
        <f t="shared" si="2"/>
        <v>0</v>
      </c>
    </row>
    <row r="59" spans="2:26">
      <c r="B59" s="202">
        <v>58</v>
      </c>
      <c r="F59" s="183"/>
      <c r="H59" s="173"/>
      <c r="I59" s="174"/>
      <c r="J59" s="174"/>
      <c r="L59" s="183"/>
      <c r="Q59">
        <f t="shared" si="0"/>
        <v>0</v>
      </c>
      <c r="R59">
        <f t="shared" si="1"/>
        <v>58</v>
      </c>
      <c r="S59">
        <f>IFERROR(SEARCH(Crewlist!$P$5,V59)+ROW()/100000,"")</f>
        <v>1.0005900000000001</v>
      </c>
      <c r="T59">
        <f t="shared" si="3"/>
        <v>58</v>
      </c>
      <c r="U59">
        <f t="shared" si="4"/>
        <v>0</v>
      </c>
      <c r="V59" t="str">
        <f t="shared" si="5"/>
        <v xml:space="preserve"> </v>
      </c>
      <c r="Y59" s="162" t="e">
        <f>VLOOKUP(B59,Crewlist!AS:AU,3,FALSE)</f>
        <v>#N/A</v>
      </c>
      <c r="Z59" s="163">
        <f t="shared" si="2"/>
        <v>0</v>
      </c>
    </row>
    <row r="60" spans="2:26">
      <c r="B60" s="171">
        <v>59</v>
      </c>
      <c r="H60" s="173"/>
      <c r="I60" s="174"/>
      <c r="J60" s="174"/>
      <c r="Q60">
        <f t="shared" si="0"/>
        <v>0</v>
      </c>
      <c r="R60">
        <f t="shared" si="1"/>
        <v>59</v>
      </c>
      <c r="S60">
        <f>IFERROR(SEARCH(Crewlist!$P$5,V60)+ROW()/100000,"")</f>
        <v>1.0005999999999999</v>
      </c>
      <c r="T60">
        <f t="shared" si="3"/>
        <v>59</v>
      </c>
      <c r="U60">
        <f t="shared" si="4"/>
        <v>0</v>
      </c>
      <c r="V60" t="str">
        <f t="shared" si="5"/>
        <v xml:space="preserve"> </v>
      </c>
      <c r="Y60" s="162" t="e">
        <f>VLOOKUP(B60,Crewlist!AS:AU,3,FALSE)</f>
        <v>#N/A</v>
      </c>
      <c r="Z60" s="163">
        <f t="shared" si="2"/>
        <v>0</v>
      </c>
    </row>
    <row r="61" spans="2:26">
      <c r="B61" s="171">
        <v>60</v>
      </c>
      <c r="H61" s="173"/>
      <c r="I61" s="174"/>
      <c r="J61" s="174"/>
      <c r="Q61">
        <f t="shared" si="0"/>
        <v>0</v>
      </c>
      <c r="R61">
        <f t="shared" si="1"/>
        <v>60</v>
      </c>
      <c r="S61">
        <f>IFERROR(SEARCH(Crewlist!$P$5,V61)+ROW()/100000,"")</f>
        <v>1.00061</v>
      </c>
      <c r="T61">
        <f t="shared" si="3"/>
        <v>60</v>
      </c>
      <c r="U61">
        <f t="shared" si="4"/>
        <v>0</v>
      </c>
      <c r="V61" t="str">
        <f t="shared" si="5"/>
        <v xml:space="preserve"> </v>
      </c>
      <c r="Y61" s="162" t="e">
        <f>VLOOKUP(B61,Crewlist!AS:AU,3,FALSE)</f>
        <v>#N/A</v>
      </c>
      <c r="Z61" s="163">
        <f t="shared" si="2"/>
        <v>0</v>
      </c>
    </row>
    <row r="62" spans="2:26">
      <c r="B62" s="202">
        <v>61</v>
      </c>
      <c r="I62" s="176"/>
      <c r="J62" s="176"/>
      <c r="L62" s="179"/>
      <c r="Q62">
        <f t="shared" si="0"/>
        <v>0</v>
      </c>
      <c r="R62">
        <f t="shared" si="1"/>
        <v>61</v>
      </c>
      <c r="S62">
        <f>IFERROR(SEARCH(Crewlist!$P$5,V62)+ROW()/100000,"")</f>
        <v>1.0006200000000001</v>
      </c>
      <c r="T62">
        <f t="shared" si="3"/>
        <v>61</v>
      </c>
      <c r="U62">
        <f t="shared" si="4"/>
        <v>0</v>
      </c>
      <c r="V62" t="str">
        <f t="shared" si="5"/>
        <v xml:space="preserve"> </v>
      </c>
      <c r="Y62" s="162" t="e">
        <f>VLOOKUP(B62,Crewlist!AS:AU,3,FALSE)</f>
        <v>#N/A</v>
      </c>
      <c r="Z62" s="163">
        <f t="shared" si="2"/>
        <v>0</v>
      </c>
    </row>
    <row r="63" spans="2:26">
      <c r="B63" s="171">
        <v>62</v>
      </c>
      <c r="H63" s="178"/>
      <c r="I63" s="179"/>
      <c r="J63" s="179"/>
      <c r="K63" s="216"/>
      <c r="L63" s="179"/>
      <c r="Q63">
        <f t="shared" si="0"/>
        <v>0</v>
      </c>
      <c r="R63">
        <f t="shared" si="1"/>
        <v>62</v>
      </c>
      <c r="S63">
        <f>IFERROR(SEARCH(Crewlist!$P$5,V63)+ROW()/100000,"")</f>
        <v>1.0006299999999999</v>
      </c>
      <c r="T63">
        <f t="shared" si="3"/>
        <v>62</v>
      </c>
      <c r="U63">
        <f t="shared" si="4"/>
        <v>0</v>
      </c>
      <c r="V63" t="str">
        <f t="shared" si="5"/>
        <v xml:space="preserve"> </v>
      </c>
      <c r="Y63" s="162" t="e">
        <f>VLOOKUP(B63,Crewlist!AS:AU,3,FALSE)</f>
        <v>#N/A</v>
      </c>
      <c r="Z63" s="163">
        <f t="shared" si="2"/>
        <v>0</v>
      </c>
    </row>
    <row r="64" spans="2:26">
      <c r="B64" s="171">
        <v>63</v>
      </c>
      <c r="C64" s="169"/>
      <c r="D64" s="169"/>
      <c r="E64" s="169"/>
      <c r="F64" s="176"/>
      <c r="H64" s="205"/>
      <c r="I64" s="176"/>
      <c r="J64" s="176"/>
      <c r="L64" s="179"/>
      <c r="M64" s="180"/>
      <c r="Q64">
        <f t="shared" si="0"/>
        <v>0</v>
      </c>
      <c r="R64">
        <f t="shared" si="1"/>
        <v>63</v>
      </c>
      <c r="S64">
        <f>IFERROR(SEARCH(Crewlist!$P$5,V64)+ROW()/100000,"")</f>
        <v>1.00064</v>
      </c>
      <c r="T64">
        <f t="shared" si="3"/>
        <v>63</v>
      </c>
      <c r="U64">
        <f t="shared" si="4"/>
        <v>0</v>
      </c>
      <c r="V64" t="str">
        <f t="shared" si="5"/>
        <v xml:space="preserve"> </v>
      </c>
      <c r="Y64" s="162" t="e">
        <f>VLOOKUP(B64,Crewlist!AS:AU,3,FALSE)</f>
        <v>#N/A</v>
      </c>
      <c r="Z64" s="163">
        <f t="shared" si="2"/>
        <v>0</v>
      </c>
    </row>
    <row r="65" spans="2:26">
      <c r="B65" s="202">
        <v>64</v>
      </c>
      <c r="C65" s="169"/>
      <c r="E65" s="169"/>
      <c r="F65" s="183"/>
      <c r="H65" s="173"/>
      <c r="I65" s="179"/>
      <c r="J65" s="179"/>
      <c r="L65" s="183"/>
      <c r="Q65">
        <f t="shared" si="0"/>
        <v>0</v>
      </c>
      <c r="R65">
        <f t="shared" si="1"/>
        <v>64</v>
      </c>
      <c r="S65">
        <f>IFERROR(SEARCH(Crewlist!$P$5,V65)+ROW()/100000,"")</f>
        <v>1.00065</v>
      </c>
      <c r="T65">
        <f t="shared" si="3"/>
        <v>64</v>
      </c>
      <c r="U65">
        <f t="shared" si="4"/>
        <v>0</v>
      </c>
      <c r="V65" t="str">
        <f t="shared" si="5"/>
        <v xml:space="preserve"> </v>
      </c>
      <c r="Y65" s="162" t="e">
        <f>VLOOKUP(B65,Crewlist!AS:AU,3,FALSE)</f>
        <v>#N/A</v>
      </c>
      <c r="Z65" s="163">
        <f t="shared" si="2"/>
        <v>0</v>
      </c>
    </row>
    <row r="66" spans="2:26">
      <c r="B66" s="171">
        <v>65</v>
      </c>
      <c r="E66" s="169"/>
      <c r="Q66">
        <f t="shared" ref="Q66:Q129" si="6">IF(C66&lt;&gt; "",B66,0)</f>
        <v>0</v>
      </c>
      <c r="R66">
        <f t="shared" ref="R66:R129" si="7">IFERROR(RANK(S66,$S$2:$S$1998,1),"")</f>
        <v>65</v>
      </c>
      <c r="S66">
        <f>IFERROR(SEARCH(Crewlist!$P$5,V66)+ROW()/100000,"")</f>
        <v>1.0006600000000001</v>
      </c>
      <c r="T66">
        <f t="shared" ref="T66:T129" si="8">B66</f>
        <v>65</v>
      </c>
      <c r="U66">
        <f t="shared" ref="U66:U129" si="9">C66</f>
        <v>0</v>
      </c>
      <c r="V66" t="str">
        <f t="shared" si="5"/>
        <v xml:space="preserve"> </v>
      </c>
      <c r="Y66" s="162" t="e">
        <f>VLOOKUP(B66,Crewlist!AS:AU,3,FALSE)</f>
        <v>#N/A</v>
      </c>
      <c r="Z66" s="163">
        <f t="shared" ref="Z66:Z129" si="10">IF(ISNUMBER(SEARCH("",Y66)),Y66,N66)</f>
        <v>0</v>
      </c>
    </row>
    <row r="67" spans="2:26">
      <c r="B67" s="171">
        <v>66</v>
      </c>
      <c r="F67" s="183"/>
      <c r="H67" s="173"/>
      <c r="I67" s="174"/>
      <c r="J67" s="174"/>
      <c r="L67" s="183"/>
      <c r="Q67">
        <f t="shared" si="6"/>
        <v>0</v>
      </c>
      <c r="R67">
        <f t="shared" si="7"/>
        <v>66</v>
      </c>
      <c r="S67">
        <f>IFERROR(SEARCH(Crewlist!$P$5,V67)+ROW()/100000,"")</f>
        <v>1.0006699999999999</v>
      </c>
      <c r="T67">
        <f t="shared" si="8"/>
        <v>66</v>
      </c>
      <c r="U67">
        <f t="shared" si="9"/>
        <v>0</v>
      </c>
      <c r="V67" t="str">
        <f t="shared" ref="V67:V130" si="11">CONCATENATE(C67," ",D67)</f>
        <v xml:space="preserve"> </v>
      </c>
      <c r="Y67" s="162" t="e">
        <f>VLOOKUP(B67,Crewlist!AS:AU,3,FALSE)</f>
        <v>#N/A</v>
      </c>
      <c r="Z67" s="163">
        <f t="shared" si="10"/>
        <v>0</v>
      </c>
    </row>
    <row r="68" spans="2:26">
      <c r="B68" s="202">
        <v>67</v>
      </c>
      <c r="C68" s="169"/>
      <c r="D68" s="169"/>
      <c r="F68" s="183"/>
      <c r="G68" s="177"/>
      <c r="H68" s="173"/>
      <c r="I68" s="176"/>
      <c r="J68" s="176"/>
      <c r="K68" s="179"/>
      <c r="L68" s="183"/>
      <c r="M68" s="180"/>
      <c r="Q68">
        <f t="shared" si="6"/>
        <v>0</v>
      </c>
      <c r="R68">
        <f t="shared" si="7"/>
        <v>67</v>
      </c>
      <c r="S68">
        <f>IFERROR(SEARCH(Crewlist!$P$5,V68)+ROW()/100000,"")</f>
        <v>1.00068</v>
      </c>
      <c r="T68">
        <f t="shared" si="8"/>
        <v>67</v>
      </c>
      <c r="U68">
        <f t="shared" si="9"/>
        <v>0</v>
      </c>
      <c r="V68" t="str">
        <f t="shared" si="11"/>
        <v xml:space="preserve"> </v>
      </c>
      <c r="Y68" s="162" t="e">
        <f>VLOOKUP(B68,Crewlist!AS:AU,3,FALSE)</f>
        <v>#N/A</v>
      </c>
      <c r="Z68" s="163">
        <f t="shared" si="10"/>
        <v>0</v>
      </c>
    </row>
    <row r="69" spans="2:26">
      <c r="B69" s="171">
        <v>68</v>
      </c>
      <c r="C69" s="169"/>
      <c r="Q69">
        <f t="shared" si="6"/>
        <v>0</v>
      </c>
      <c r="R69">
        <f t="shared" si="7"/>
        <v>68</v>
      </c>
      <c r="S69">
        <f>IFERROR(SEARCH(Crewlist!$P$5,V69)+ROW()/100000,"")</f>
        <v>1.0006900000000001</v>
      </c>
      <c r="T69">
        <f t="shared" si="8"/>
        <v>68</v>
      </c>
      <c r="U69">
        <f t="shared" si="9"/>
        <v>0</v>
      </c>
      <c r="V69" t="str">
        <f t="shared" si="11"/>
        <v xml:space="preserve"> </v>
      </c>
      <c r="Y69" s="162" t="e">
        <f>VLOOKUP(B69,Crewlist!AS:AU,3,FALSE)</f>
        <v>#N/A</v>
      </c>
      <c r="Z69" s="163">
        <f t="shared" si="10"/>
        <v>0</v>
      </c>
    </row>
    <row r="70" spans="2:26">
      <c r="B70" s="171">
        <v>69</v>
      </c>
      <c r="C70" s="169"/>
      <c r="D70" s="169"/>
      <c r="E70" s="169"/>
      <c r="G70" s="177"/>
      <c r="H70" s="178"/>
      <c r="I70" s="179"/>
      <c r="J70" s="179"/>
      <c r="K70" s="184"/>
      <c r="M70" s="185"/>
      <c r="Q70">
        <f t="shared" si="6"/>
        <v>0</v>
      </c>
      <c r="R70">
        <f t="shared" si="7"/>
        <v>69</v>
      </c>
      <c r="S70">
        <f>IFERROR(SEARCH(Crewlist!$P$5,V70)+ROW()/100000,"")</f>
        <v>1.0006999999999999</v>
      </c>
      <c r="T70">
        <f t="shared" si="8"/>
        <v>69</v>
      </c>
      <c r="U70">
        <f t="shared" si="9"/>
        <v>0</v>
      </c>
      <c r="V70" t="str">
        <f t="shared" si="11"/>
        <v xml:space="preserve"> </v>
      </c>
      <c r="Y70" s="162" t="e">
        <f>VLOOKUP(B70,Crewlist!AS:AU,3,FALSE)</f>
        <v>#N/A</v>
      </c>
      <c r="Z70" s="163">
        <f t="shared" si="10"/>
        <v>0</v>
      </c>
    </row>
    <row r="71" spans="2:26">
      <c r="B71" s="202">
        <v>70</v>
      </c>
      <c r="H71" s="173"/>
      <c r="I71" s="174"/>
      <c r="J71" s="174"/>
      <c r="Q71">
        <f t="shared" si="6"/>
        <v>0</v>
      </c>
      <c r="R71">
        <f t="shared" si="7"/>
        <v>70</v>
      </c>
      <c r="S71">
        <f>IFERROR(SEARCH(Crewlist!$P$5,V71)+ROW()/100000,"")</f>
        <v>1.00071</v>
      </c>
      <c r="T71">
        <f t="shared" si="8"/>
        <v>70</v>
      </c>
      <c r="U71">
        <f t="shared" si="9"/>
        <v>0</v>
      </c>
      <c r="V71" t="str">
        <f t="shared" si="11"/>
        <v xml:space="preserve"> </v>
      </c>
      <c r="Y71" s="162" t="e">
        <f>VLOOKUP(B71,Crewlist!AS:AU,3,FALSE)</f>
        <v>#N/A</v>
      </c>
      <c r="Z71" s="163">
        <f t="shared" si="10"/>
        <v>0</v>
      </c>
    </row>
    <row r="72" spans="2:26">
      <c r="B72" s="171">
        <v>71</v>
      </c>
      <c r="Q72">
        <f t="shared" si="6"/>
        <v>0</v>
      </c>
      <c r="R72">
        <f t="shared" si="7"/>
        <v>71</v>
      </c>
      <c r="S72">
        <f>IFERROR(SEARCH(Crewlist!$P$5,V72)+ROW()/100000,"")</f>
        <v>1.0007200000000001</v>
      </c>
      <c r="T72">
        <f t="shared" si="8"/>
        <v>71</v>
      </c>
      <c r="U72">
        <f t="shared" si="9"/>
        <v>0</v>
      </c>
      <c r="V72" t="str">
        <f t="shared" si="11"/>
        <v xml:space="preserve"> </v>
      </c>
      <c r="Y72" s="162" t="e">
        <f>VLOOKUP(B72,Crewlist!AS:AU,3,FALSE)</f>
        <v>#N/A</v>
      </c>
      <c r="Z72" s="163">
        <f t="shared" si="10"/>
        <v>0</v>
      </c>
    </row>
    <row r="73" spans="2:26">
      <c r="B73" s="171">
        <v>72</v>
      </c>
      <c r="C73" s="169"/>
      <c r="D73" s="169"/>
      <c r="H73" s="173"/>
      <c r="I73" s="179"/>
      <c r="J73" s="179"/>
      <c r="K73" s="179"/>
      <c r="Q73">
        <f t="shared" si="6"/>
        <v>0</v>
      </c>
      <c r="R73">
        <f t="shared" si="7"/>
        <v>72</v>
      </c>
      <c r="S73">
        <f>IFERROR(SEARCH(Crewlist!$P$5,V73)+ROW()/100000,"")</f>
        <v>1.0007299999999999</v>
      </c>
      <c r="T73">
        <f t="shared" si="8"/>
        <v>72</v>
      </c>
      <c r="U73">
        <f t="shared" si="9"/>
        <v>0</v>
      </c>
      <c r="V73" t="str">
        <f t="shared" si="11"/>
        <v xml:space="preserve"> </v>
      </c>
      <c r="Y73" s="162" t="e">
        <f>VLOOKUP(B73,Crewlist!AS:AU,3,FALSE)</f>
        <v>#N/A</v>
      </c>
      <c r="Z73" s="163">
        <f t="shared" si="10"/>
        <v>0</v>
      </c>
    </row>
    <row r="74" spans="2:26">
      <c r="B74" s="202">
        <v>73</v>
      </c>
      <c r="C74" s="169"/>
      <c r="D74" s="169"/>
      <c r="E74" s="169"/>
      <c r="H74" s="178"/>
      <c r="I74" s="179"/>
      <c r="J74" s="179"/>
      <c r="K74" s="179"/>
      <c r="M74" s="180"/>
      <c r="Q74">
        <f t="shared" si="6"/>
        <v>0</v>
      </c>
      <c r="R74">
        <f t="shared" si="7"/>
        <v>73</v>
      </c>
      <c r="S74">
        <f>IFERROR(SEARCH(Crewlist!$P$5,V74)+ROW()/100000,"")</f>
        <v>1.00074</v>
      </c>
      <c r="T74">
        <f t="shared" si="8"/>
        <v>73</v>
      </c>
      <c r="U74">
        <f t="shared" si="9"/>
        <v>0</v>
      </c>
      <c r="V74" t="str">
        <f t="shared" si="11"/>
        <v xml:space="preserve"> </v>
      </c>
      <c r="Y74" s="162" t="e">
        <f>VLOOKUP(B74,Crewlist!AS:AU,3,FALSE)</f>
        <v>#N/A</v>
      </c>
      <c r="Z74" s="163">
        <f t="shared" si="10"/>
        <v>0</v>
      </c>
    </row>
    <row r="75" spans="2:26">
      <c r="B75" s="171">
        <v>74</v>
      </c>
      <c r="F75" s="183"/>
      <c r="H75" s="173"/>
      <c r="I75" s="179"/>
      <c r="J75" s="179"/>
      <c r="K75" s="179"/>
      <c r="Q75">
        <f t="shared" si="6"/>
        <v>0</v>
      </c>
      <c r="R75">
        <f t="shared" si="7"/>
        <v>74</v>
      </c>
      <c r="S75">
        <f>IFERROR(SEARCH(Crewlist!$P$5,V75)+ROW()/100000,"")</f>
        <v>1.00075</v>
      </c>
      <c r="T75">
        <f t="shared" si="8"/>
        <v>74</v>
      </c>
      <c r="U75">
        <f t="shared" si="9"/>
        <v>0</v>
      </c>
      <c r="V75" t="str">
        <f t="shared" si="11"/>
        <v xml:space="preserve"> </v>
      </c>
      <c r="Y75" s="162" t="e">
        <f>VLOOKUP(B75,Crewlist!AS:AU,3,FALSE)</f>
        <v>#N/A</v>
      </c>
      <c r="Z75" s="163">
        <f t="shared" si="10"/>
        <v>0</v>
      </c>
    </row>
    <row r="76" spans="2:26">
      <c r="B76" s="171">
        <v>75</v>
      </c>
      <c r="H76" s="173"/>
      <c r="I76" s="174"/>
      <c r="J76" s="174"/>
      <c r="K76" s="181"/>
      <c r="M76" s="182"/>
      <c r="Q76">
        <f t="shared" si="6"/>
        <v>0</v>
      </c>
      <c r="R76">
        <f t="shared" si="7"/>
        <v>75</v>
      </c>
      <c r="S76">
        <f>IFERROR(SEARCH(Crewlist!$P$5,V76)+ROW()/100000,"")</f>
        <v>1.0007600000000001</v>
      </c>
      <c r="T76">
        <f t="shared" si="8"/>
        <v>75</v>
      </c>
      <c r="U76">
        <f t="shared" si="9"/>
        <v>0</v>
      </c>
      <c r="V76" t="str">
        <f t="shared" si="11"/>
        <v xml:space="preserve"> </v>
      </c>
      <c r="Y76" s="162" t="e">
        <f>VLOOKUP(B76,Crewlist!AS:AU,3,FALSE)</f>
        <v>#N/A</v>
      </c>
      <c r="Z76" s="163">
        <f t="shared" si="10"/>
        <v>0</v>
      </c>
    </row>
    <row r="77" spans="2:26">
      <c r="B77" s="202">
        <v>76</v>
      </c>
      <c r="H77" s="173"/>
      <c r="I77" s="174"/>
      <c r="J77" s="174"/>
      <c r="Q77">
        <f t="shared" si="6"/>
        <v>0</v>
      </c>
      <c r="R77">
        <f t="shared" si="7"/>
        <v>76</v>
      </c>
      <c r="S77">
        <f>IFERROR(SEARCH(Crewlist!$P$5,V77)+ROW()/100000,"")</f>
        <v>1.0007699999999999</v>
      </c>
      <c r="T77">
        <f t="shared" si="8"/>
        <v>76</v>
      </c>
      <c r="U77">
        <f t="shared" si="9"/>
        <v>0</v>
      </c>
      <c r="V77" t="str">
        <f t="shared" si="11"/>
        <v xml:space="preserve"> </v>
      </c>
      <c r="Y77" s="162" t="e">
        <f>VLOOKUP(B77,Crewlist!AS:AU,3,FALSE)</f>
        <v>#N/A</v>
      </c>
      <c r="Z77" s="163">
        <f t="shared" si="10"/>
        <v>0</v>
      </c>
    </row>
    <row r="78" spans="2:26">
      <c r="B78" s="171">
        <v>77</v>
      </c>
      <c r="H78" s="173"/>
      <c r="I78" s="174"/>
      <c r="J78" s="174"/>
      <c r="Q78">
        <f t="shared" si="6"/>
        <v>0</v>
      </c>
      <c r="R78">
        <f t="shared" si="7"/>
        <v>77</v>
      </c>
      <c r="S78">
        <f>IFERROR(SEARCH(Crewlist!$P$5,V78)+ROW()/100000,"")</f>
        <v>1.00078</v>
      </c>
      <c r="T78">
        <f t="shared" si="8"/>
        <v>77</v>
      </c>
      <c r="U78">
        <f t="shared" si="9"/>
        <v>0</v>
      </c>
      <c r="V78" t="str">
        <f t="shared" si="11"/>
        <v xml:space="preserve"> </v>
      </c>
      <c r="Y78" s="162" t="e">
        <f>VLOOKUP(B78,Crewlist!AS:AU,3,FALSE)</f>
        <v>#N/A</v>
      </c>
      <c r="Z78" s="163">
        <f t="shared" si="10"/>
        <v>0</v>
      </c>
    </row>
    <row r="79" spans="2:26">
      <c r="B79" s="171">
        <v>78</v>
      </c>
      <c r="C79" s="169"/>
      <c r="Q79">
        <f t="shared" si="6"/>
        <v>0</v>
      </c>
      <c r="R79">
        <f t="shared" si="7"/>
        <v>78</v>
      </c>
      <c r="S79">
        <f>IFERROR(SEARCH(Crewlist!$P$5,V79)+ROW()/100000,"")</f>
        <v>1.0007900000000001</v>
      </c>
      <c r="T79">
        <f t="shared" si="8"/>
        <v>78</v>
      </c>
      <c r="U79">
        <f t="shared" si="9"/>
        <v>0</v>
      </c>
      <c r="V79" t="str">
        <f t="shared" si="11"/>
        <v xml:space="preserve"> </v>
      </c>
      <c r="Y79" s="162" t="e">
        <f>VLOOKUP(B79,Crewlist!AS:AU,3,FALSE)</f>
        <v>#N/A</v>
      </c>
      <c r="Z79" s="163">
        <f t="shared" si="10"/>
        <v>0</v>
      </c>
    </row>
    <row r="80" spans="2:26">
      <c r="B80" s="202">
        <v>79</v>
      </c>
      <c r="C80" s="169"/>
      <c r="D80" s="169"/>
      <c r="E80" s="169"/>
      <c r="G80" s="177"/>
      <c r="H80" s="178"/>
      <c r="I80" s="179"/>
      <c r="J80" s="179"/>
      <c r="K80" s="179"/>
      <c r="M80" s="180"/>
      <c r="Q80">
        <f t="shared" si="6"/>
        <v>0</v>
      </c>
      <c r="R80">
        <f t="shared" si="7"/>
        <v>79</v>
      </c>
      <c r="S80">
        <f>IFERROR(SEARCH(Crewlist!$P$5,V80)+ROW()/100000,"")</f>
        <v>1.0007999999999999</v>
      </c>
      <c r="T80">
        <f t="shared" si="8"/>
        <v>79</v>
      </c>
      <c r="U80">
        <f t="shared" si="9"/>
        <v>0</v>
      </c>
      <c r="V80" t="str">
        <f t="shared" si="11"/>
        <v xml:space="preserve"> </v>
      </c>
      <c r="Y80" s="162" t="e">
        <f>VLOOKUP(B80,Crewlist!AS:AU,3,FALSE)</f>
        <v>#N/A</v>
      </c>
      <c r="Z80" s="163">
        <f t="shared" si="10"/>
        <v>0</v>
      </c>
    </row>
    <row r="81" spans="2:26">
      <c r="B81" s="171">
        <v>80</v>
      </c>
      <c r="C81" s="169"/>
      <c r="D81" s="169"/>
      <c r="I81" s="176"/>
      <c r="J81" s="176"/>
      <c r="Q81">
        <f t="shared" si="6"/>
        <v>0</v>
      </c>
      <c r="R81">
        <f t="shared" si="7"/>
        <v>80</v>
      </c>
      <c r="S81">
        <f>IFERROR(SEARCH(Crewlist!$P$5,V81)+ROW()/100000,"")</f>
        <v>1.00081</v>
      </c>
      <c r="T81">
        <f t="shared" si="8"/>
        <v>80</v>
      </c>
      <c r="U81">
        <f t="shared" si="9"/>
        <v>0</v>
      </c>
      <c r="V81" t="str">
        <f t="shared" si="11"/>
        <v xml:space="preserve"> </v>
      </c>
      <c r="Y81" s="162" t="e">
        <f>VLOOKUP(B81,Crewlist!AS:AU,3,FALSE)</f>
        <v>#N/A</v>
      </c>
      <c r="Z81" s="163">
        <f t="shared" si="10"/>
        <v>0</v>
      </c>
    </row>
    <row r="82" spans="2:26">
      <c r="B82" s="171">
        <v>81</v>
      </c>
      <c r="E82" s="169"/>
      <c r="H82" s="173"/>
      <c r="I82" s="179"/>
      <c r="J82" s="179"/>
      <c r="K82" s="179"/>
      <c r="Q82">
        <f t="shared" si="6"/>
        <v>0</v>
      </c>
      <c r="R82">
        <f t="shared" si="7"/>
        <v>81</v>
      </c>
      <c r="S82">
        <f>IFERROR(SEARCH(Crewlist!$P$5,V82)+ROW()/100000,"")</f>
        <v>1.00082</v>
      </c>
      <c r="T82">
        <f t="shared" si="8"/>
        <v>81</v>
      </c>
      <c r="U82">
        <f t="shared" si="9"/>
        <v>0</v>
      </c>
      <c r="V82" t="str">
        <f t="shared" si="11"/>
        <v xml:space="preserve"> </v>
      </c>
      <c r="Y82" s="162" t="e">
        <f>VLOOKUP(B82,Crewlist!AS:AU,3,FALSE)</f>
        <v>#N/A</v>
      </c>
      <c r="Z82" s="163">
        <f t="shared" si="10"/>
        <v>0</v>
      </c>
    </row>
    <row r="83" spans="2:26">
      <c r="B83" s="202">
        <v>82</v>
      </c>
      <c r="C83" s="169"/>
      <c r="E83" s="169"/>
      <c r="Q83">
        <f t="shared" si="6"/>
        <v>0</v>
      </c>
      <c r="R83">
        <f t="shared" si="7"/>
        <v>82</v>
      </c>
      <c r="S83">
        <f>IFERROR(SEARCH(Crewlist!$P$5,V83)+ROW()/100000,"")</f>
        <v>1.0008300000000001</v>
      </c>
      <c r="T83">
        <f t="shared" si="8"/>
        <v>82</v>
      </c>
      <c r="U83">
        <f t="shared" si="9"/>
        <v>0</v>
      </c>
      <c r="V83" t="str">
        <f t="shared" si="11"/>
        <v xml:space="preserve"> </v>
      </c>
      <c r="Y83" s="162" t="e">
        <f>VLOOKUP(B83,Crewlist!AS:AU,3,FALSE)</f>
        <v>#N/A</v>
      </c>
      <c r="Z83" s="163">
        <f t="shared" si="10"/>
        <v>0</v>
      </c>
    </row>
    <row r="84" spans="2:26">
      <c r="B84" s="171">
        <v>83</v>
      </c>
      <c r="H84" s="173"/>
      <c r="I84" s="174"/>
      <c r="J84" s="174"/>
      <c r="Q84">
        <f t="shared" si="6"/>
        <v>0</v>
      </c>
      <c r="R84">
        <f t="shared" si="7"/>
        <v>83</v>
      </c>
      <c r="S84">
        <f>IFERROR(SEARCH(Crewlist!$P$5,V84)+ROW()/100000,"")</f>
        <v>1.00084</v>
      </c>
      <c r="T84">
        <f t="shared" si="8"/>
        <v>83</v>
      </c>
      <c r="U84">
        <f t="shared" si="9"/>
        <v>0</v>
      </c>
      <c r="V84" t="str">
        <f t="shared" si="11"/>
        <v xml:space="preserve"> </v>
      </c>
      <c r="Y84" s="162" t="e">
        <f>VLOOKUP(B84,Crewlist!AS:AU,3,FALSE)</f>
        <v>#N/A</v>
      </c>
      <c r="Z84" s="163">
        <f t="shared" si="10"/>
        <v>0</v>
      </c>
    </row>
    <row r="85" spans="2:26">
      <c r="B85" s="171">
        <v>84</v>
      </c>
      <c r="H85" s="173"/>
      <c r="I85" s="174"/>
      <c r="J85" s="174"/>
      <c r="Q85">
        <f t="shared" si="6"/>
        <v>0</v>
      </c>
      <c r="R85">
        <f t="shared" si="7"/>
        <v>84</v>
      </c>
      <c r="S85">
        <f>IFERROR(SEARCH(Crewlist!$P$5,V85)+ROW()/100000,"")</f>
        <v>1.00085</v>
      </c>
      <c r="T85">
        <f t="shared" si="8"/>
        <v>84</v>
      </c>
      <c r="U85">
        <f t="shared" si="9"/>
        <v>0</v>
      </c>
      <c r="V85" t="str">
        <f t="shared" si="11"/>
        <v xml:space="preserve"> </v>
      </c>
      <c r="Y85" s="162" t="e">
        <f>VLOOKUP(B85,Crewlist!AS:AU,3,FALSE)</f>
        <v>#N/A</v>
      </c>
      <c r="Z85" s="163">
        <f t="shared" si="10"/>
        <v>0</v>
      </c>
    </row>
    <row r="86" spans="2:26">
      <c r="B86" s="202">
        <v>85</v>
      </c>
      <c r="H86" s="173"/>
      <c r="I86" s="174"/>
      <c r="J86" s="174"/>
      <c r="Q86">
        <f t="shared" si="6"/>
        <v>0</v>
      </c>
      <c r="R86">
        <f t="shared" si="7"/>
        <v>85</v>
      </c>
      <c r="S86">
        <f>IFERROR(SEARCH(Crewlist!$P$5,V86)+ROW()/100000,"")</f>
        <v>1.0008600000000001</v>
      </c>
      <c r="T86">
        <f t="shared" si="8"/>
        <v>85</v>
      </c>
      <c r="U86">
        <f t="shared" si="9"/>
        <v>0</v>
      </c>
      <c r="V86" t="str">
        <f t="shared" si="11"/>
        <v xml:space="preserve"> </v>
      </c>
      <c r="Y86" s="162" t="e">
        <f>VLOOKUP(B86,Crewlist!AS:AU,3,FALSE)</f>
        <v>#N/A</v>
      </c>
      <c r="Z86" s="163">
        <f t="shared" si="10"/>
        <v>0</v>
      </c>
    </row>
    <row r="87" spans="2:26">
      <c r="B87" s="171">
        <v>86</v>
      </c>
      <c r="H87" s="173"/>
      <c r="I87" s="174"/>
      <c r="J87" s="174"/>
      <c r="Q87">
        <f t="shared" si="6"/>
        <v>0</v>
      </c>
      <c r="R87">
        <f t="shared" si="7"/>
        <v>86</v>
      </c>
      <c r="S87">
        <f>IFERROR(SEARCH(Crewlist!$P$5,V87)+ROW()/100000,"")</f>
        <v>1.0008699999999999</v>
      </c>
      <c r="T87">
        <f t="shared" si="8"/>
        <v>86</v>
      </c>
      <c r="U87">
        <f t="shared" si="9"/>
        <v>0</v>
      </c>
      <c r="V87" t="str">
        <f t="shared" si="11"/>
        <v xml:space="preserve"> </v>
      </c>
      <c r="Y87" s="162" t="e">
        <f>VLOOKUP(B87,Crewlist!AS:AU,3,FALSE)</f>
        <v>#N/A</v>
      </c>
      <c r="Z87" s="163">
        <f t="shared" si="10"/>
        <v>0</v>
      </c>
    </row>
    <row r="88" spans="2:26">
      <c r="B88" s="171">
        <v>87</v>
      </c>
      <c r="C88" s="169"/>
      <c r="D88" s="169"/>
      <c r="E88" s="169"/>
      <c r="G88" s="177"/>
      <c r="H88" s="178"/>
      <c r="I88" s="179"/>
      <c r="J88" s="179"/>
      <c r="K88" s="179"/>
      <c r="M88" s="180"/>
      <c r="Q88">
        <f t="shared" si="6"/>
        <v>0</v>
      </c>
      <c r="R88">
        <f t="shared" si="7"/>
        <v>87</v>
      </c>
      <c r="S88">
        <f>IFERROR(SEARCH(Crewlist!$P$5,V88)+ROW()/100000,"")</f>
        <v>1.00088</v>
      </c>
      <c r="T88">
        <f t="shared" si="8"/>
        <v>87</v>
      </c>
      <c r="U88">
        <f t="shared" si="9"/>
        <v>0</v>
      </c>
      <c r="V88" t="str">
        <f t="shared" si="11"/>
        <v xml:space="preserve"> </v>
      </c>
      <c r="Y88" s="162" t="e">
        <f>VLOOKUP(B88,Crewlist!AS:AU,3,FALSE)</f>
        <v>#N/A</v>
      </c>
      <c r="Z88" s="163">
        <f t="shared" si="10"/>
        <v>0</v>
      </c>
    </row>
    <row r="89" spans="2:26">
      <c r="B89" s="202">
        <v>88</v>
      </c>
      <c r="C89" s="169"/>
      <c r="D89" s="169"/>
      <c r="E89" s="169"/>
      <c r="F89" s="176"/>
      <c r="H89" s="169"/>
      <c r="I89" s="176"/>
      <c r="J89" s="176"/>
      <c r="K89" s="179"/>
      <c r="L89" s="179"/>
      <c r="Q89">
        <f t="shared" si="6"/>
        <v>0</v>
      </c>
      <c r="R89">
        <f t="shared" si="7"/>
        <v>88</v>
      </c>
      <c r="S89">
        <f>IFERROR(SEARCH(Crewlist!$P$5,V89)+ROW()/100000,"")</f>
        <v>1.0008900000000001</v>
      </c>
      <c r="T89">
        <f t="shared" si="8"/>
        <v>88</v>
      </c>
      <c r="U89">
        <f t="shared" si="9"/>
        <v>0</v>
      </c>
      <c r="V89" t="str">
        <f t="shared" si="11"/>
        <v xml:space="preserve"> </v>
      </c>
      <c r="Y89" s="162" t="e">
        <f>VLOOKUP(B89,Crewlist!AS:AU,3,FALSE)</f>
        <v>#N/A</v>
      </c>
      <c r="Z89" s="163">
        <f t="shared" si="10"/>
        <v>0</v>
      </c>
    </row>
    <row r="90" spans="2:26">
      <c r="B90" s="171">
        <v>89</v>
      </c>
      <c r="H90" s="173"/>
      <c r="I90" s="179"/>
      <c r="J90" s="179"/>
      <c r="K90" s="181"/>
      <c r="M90" s="182"/>
      <c r="Q90">
        <f t="shared" si="6"/>
        <v>0</v>
      </c>
      <c r="R90">
        <f t="shared" si="7"/>
        <v>89</v>
      </c>
      <c r="S90">
        <f>IFERROR(SEARCH(Crewlist!$P$5,V90)+ROW()/100000,"")</f>
        <v>1.0008999999999999</v>
      </c>
      <c r="T90">
        <f t="shared" si="8"/>
        <v>89</v>
      </c>
      <c r="U90">
        <f t="shared" si="9"/>
        <v>0</v>
      </c>
      <c r="V90" t="str">
        <f t="shared" si="11"/>
        <v xml:space="preserve"> </v>
      </c>
      <c r="Y90" s="162" t="e">
        <f>VLOOKUP(B90,Crewlist!AS:AU,3,FALSE)</f>
        <v>#N/A</v>
      </c>
      <c r="Z90" s="163">
        <f t="shared" si="10"/>
        <v>0</v>
      </c>
    </row>
    <row r="91" spans="2:26">
      <c r="B91" s="171">
        <v>90</v>
      </c>
      <c r="H91" s="173"/>
      <c r="I91" s="174"/>
      <c r="J91" s="174"/>
      <c r="Q91">
        <f t="shared" si="6"/>
        <v>0</v>
      </c>
      <c r="R91">
        <f t="shared" si="7"/>
        <v>90</v>
      </c>
      <c r="S91">
        <f>IFERROR(SEARCH(Crewlist!$P$5,V91)+ROW()/100000,"")</f>
        <v>1.00091</v>
      </c>
      <c r="T91">
        <f t="shared" si="8"/>
        <v>90</v>
      </c>
      <c r="U91">
        <f t="shared" si="9"/>
        <v>0</v>
      </c>
      <c r="V91" t="str">
        <f t="shared" si="11"/>
        <v xml:space="preserve"> </v>
      </c>
      <c r="Y91" s="162" t="e">
        <f>VLOOKUP(B91,Crewlist!AS:AU,3,FALSE)</f>
        <v>#N/A</v>
      </c>
      <c r="Z91" s="163">
        <f t="shared" si="10"/>
        <v>0</v>
      </c>
    </row>
    <row r="92" spans="2:26">
      <c r="B92" s="202">
        <v>91</v>
      </c>
      <c r="E92" s="169"/>
      <c r="I92" s="176"/>
      <c r="J92" s="176"/>
      <c r="Q92">
        <f t="shared" si="6"/>
        <v>0</v>
      </c>
      <c r="R92">
        <f t="shared" si="7"/>
        <v>91</v>
      </c>
      <c r="S92">
        <f>IFERROR(SEARCH(Crewlist!$P$5,V92)+ROW()/100000,"")</f>
        <v>1.00092</v>
      </c>
      <c r="T92">
        <f t="shared" si="8"/>
        <v>91</v>
      </c>
      <c r="U92">
        <f t="shared" si="9"/>
        <v>0</v>
      </c>
      <c r="V92" t="str">
        <f t="shared" si="11"/>
        <v xml:space="preserve"> </v>
      </c>
      <c r="Y92" s="162" t="e">
        <f>VLOOKUP(B92,Crewlist!AS:AU,3,FALSE)</f>
        <v>#N/A</v>
      </c>
      <c r="Z92" s="163">
        <f t="shared" si="10"/>
        <v>0</v>
      </c>
    </row>
    <row r="93" spans="2:26">
      <c r="B93" s="171">
        <v>92</v>
      </c>
      <c r="C93" s="169"/>
      <c r="D93" s="169"/>
      <c r="E93" s="169"/>
      <c r="F93" s="176"/>
      <c r="H93" s="169"/>
      <c r="I93" s="176"/>
      <c r="J93" s="176"/>
      <c r="K93" s="179"/>
      <c r="L93" s="179"/>
      <c r="Q93">
        <f t="shared" si="6"/>
        <v>0</v>
      </c>
      <c r="R93">
        <f t="shared" si="7"/>
        <v>92</v>
      </c>
      <c r="S93">
        <f>IFERROR(SEARCH(Crewlist!$P$5,V93)+ROW()/100000,"")</f>
        <v>1.0009300000000001</v>
      </c>
      <c r="T93">
        <f t="shared" si="8"/>
        <v>92</v>
      </c>
      <c r="U93">
        <f t="shared" si="9"/>
        <v>0</v>
      </c>
      <c r="V93" t="str">
        <f t="shared" si="11"/>
        <v xml:space="preserve"> </v>
      </c>
      <c r="Y93" s="162" t="e">
        <f>VLOOKUP(B93,Crewlist!AS:AU,3,FALSE)</f>
        <v>#N/A</v>
      </c>
      <c r="Z93" s="163">
        <f t="shared" si="10"/>
        <v>0</v>
      </c>
    </row>
    <row r="94" spans="2:26">
      <c r="B94" s="171">
        <v>93</v>
      </c>
      <c r="Q94">
        <f t="shared" si="6"/>
        <v>0</v>
      </c>
      <c r="R94">
        <f t="shared" si="7"/>
        <v>93</v>
      </c>
      <c r="S94">
        <f>IFERROR(SEARCH(Crewlist!$P$5,V94)+ROW()/100000,"")</f>
        <v>1.0009399999999999</v>
      </c>
      <c r="T94">
        <f t="shared" si="8"/>
        <v>93</v>
      </c>
      <c r="U94">
        <f t="shared" si="9"/>
        <v>0</v>
      </c>
      <c r="V94" t="str">
        <f t="shared" si="11"/>
        <v xml:space="preserve"> </v>
      </c>
      <c r="Y94" s="162" t="e">
        <f>VLOOKUP(B94,Crewlist!AS:AU,3,FALSE)</f>
        <v>#N/A</v>
      </c>
      <c r="Z94" s="163">
        <f t="shared" si="10"/>
        <v>0</v>
      </c>
    </row>
    <row r="95" spans="2:26">
      <c r="B95" s="202">
        <v>94</v>
      </c>
      <c r="C95" s="169"/>
      <c r="D95" s="169"/>
      <c r="F95" s="183"/>
      <c r="H95" s="173"/>
      <c r="I95" s="179"/>
      <c r="J95" s="179"/>
      <c r="L95" s="183"/>
      <c r="Q95">
        <f t="shared" si="6"/>
        <v>0</v>
      </c>
      <c r="R95">
        <f t="shared" si="7"/>
        <v>94</v>
      </c>
      <c r="S95">
        <f>IFERROR(SEARCH(Crewlist!$P$5,V95)+ROW()/100000,"")</f>
        <v>1.00095</v>
      </c>
      <c r="T95">
        <f t="shared" si="8"/>
        <v>94</v>
      </c>
      <c r="U95">
        <f t="shared" si="9"/>
        <v>0</v>
      </c>
      <c r="V95" t="str">
        <f t="shared" si="11"/>
        <v xml:space="preserve"> </v>
      </c>
      <c r="Y95" s="162" t="e">
        <f>VLOOKUP(B95,Crewlist!AS:AU,3,FALSE)</f>
        <v>#N/A</v>
      </c>
      <c r="Z95" s="163">
        <f t="shared" si="10"/>
        <v>0</v>
      </c>
    </row>
    <row r="96" spans="2:26">
      <c r="B96" s="171">
        <v>95</v>
      </c>
      <c r="H96" s="173"/>
      <c r="I96" s="174"/>
      <c r="J96" s="174"/>
      <c r="Q96">
        <f t="shared" si="6"/>
        <v>0</v>
      </c>
      <c r="R96">
        <f t="shared" si="7"/>
        <v>95</v>
      </c>
      <c r="S96">
        <f>IFERROR(SEARCH(Crewlist!$P$5,V96)+ROW()/100000,"")</f>
        <v>1.0009600000000001</v>
      </c>
      <c r="T96">
        <f t="shared" si="8"/>
        <v>95</v>
      </c>
      <c r="U96">
        <f t="shared" si="9"/>
        <v>0</v>
      </c>
      <c r="V96" t="str">
        <f t="shared" si="11"/>
        <v xml:space="preserve"> </v>
      </c>
      <c r="Y96" s="162" t="e">
        <f>VLOOKUP(B96,Crewlist!AS:AU,3,FALSE)</f>
        <v>#N/A</v>
      </c>
      <c r="Z96" s="163">
        <f t="shared" si="10"/>
        <v>0</v>
      </c>
    </row>
    <row r="97" spans="2:26">
      <c r="B97" s="171">
        <v>96</v>
      </c>
      <c r="H97" s="173"/>
      <c r="I97" s="174"/>
      <c r="J97" s="174"/>
      <c r="Q97">
        <f t="shared" si="6"/>
        <v>0</v>
      </c>
      <c r="R97">
        <f t="shared" si="7"/>
        <v>96</v>
      </c>
      <c r="S97">
        <f>IFERROR(SEARCH(Crewlist!$P$5,V97)+ROW()/100000,"")</f>
        <v>1.0009699999999999</v>
      </c>
      <c r="T97">
        <f t="shared" si="8"/>
        <v>96</v>
      </c>
      <c r="U97">
        <f t="shared" si="9"/>
        <v>0</v>
      </c>
      <c r="V97" t="str">
        <f t="shared" si="11"/>
        <v xml:space="preserve"> </v>
      </c>
      <c r="Y97" s="162" t="e">
        <f>VLOOKUP(B97,Crewlist!AS:AU,3,FALSE)</f>
        <v>#N/A</v>
      </c>
      <c r="Z97" s="163">
        <f t="shared" si="10"/>
        <v>0</v>
      </c>
    </row>
    <row r="98" spans="2:26">
      <c r="B98" s="202">
        <v>97</v>
      </c>
      <c r="C98" s="169"/>
      <c r="D98" s="169"/>
      <c r="E98" s="169"/>
      <c r="F98" s="176"/>
      <c r="G98" s="177"/>
      <c r="H98" s="178"/>
      <c r="I98" s="179"/>
      <c r="J98" s="179"/>
      <c r="K98" s="179"/>
      <c r="L98" s="179"/>
      <c r="M98" s="180"/>
      <c r="Q98">
        <f t="shared" si="6"/>
        <v>0</v>
      </c>
      <c r="R98">
        <f t="shared" si="7"/>
        <v>97</v>
      </c>
      <c r="S98">
        <f>IFERROR(SEARCH(Crewlist!$P$5,V98)+ROW()/100000,"")</f>
        <v>1.00098</v>
      </c>
      <c r="T98">
        <f t="shared" si="8"/>
        <v>97</v>
      </c>
      <c r="U98">
        <f t="shared" si="9"/>
        <v>0</v>
      </c>
      <c r="V98" t="str">
        <f t="shared" si="11"/>
        <v xml:space="preserve"> </v>
      </c>
      <c r="Y98" s="162" t="e">
        <f>VLOOKUP(B98,Crewlist!AS:AU,3,FALSE)</f>
        <v>#N/A</v>
      </c>
      <c r="Z98" s="163">
        <f t="shared" si="10"/>
        <v>0</v>
      </c>
    </row>
    <row r="99" spans="2:26">
      <c r="B99" s="171">
        <v>98</v>
      </c>
      <c r="C99" s="169"/>
      <c r="D99" s="169"/>
      <c r="E99" s="169"/>
      <c r="F99" s="176"/>
      <c r="H99" s="169"/>
      <c r="I99" s="176"/>
      <c r="J99" s="176"/>
      <c r="K99" s="179"/>
      <c r="L99" s="179"/>
      <c r="Q99">
        <f t="shared" si="6"/>
        <v>0</v>
      </c>
      <c r="R99">
        <f t="shared" si="7"/>
        <v>98</v>
      </c>
      <c r="S99">
        <f>IFERROR(SEARCH(Crewlist!$P$5,V99)+ROW()/100000,"")</f>
        <v>1.00099</v>
      </c>
      <c r="T99">
        <f t="shared" si="8"/>
        <v>98</v>
      </c>
      <c r="U99">
        <f t="shared" si="9"/>
        <v>0</v>
      </c>
      <c r="V99" t="str">
        <f t="shared" si="11"/>
        <v xml:space="preserve"> </v>
      </c>
      <c r="Y99" s="162" t="e">
        <f>VLOOKUP(B99,Crewlist!AS:AU,3,FALSE)</f>
        <v>#N/A</v>
      </c>
      <c r="Z99" s="163">
        <f t="shared" si="10"/>
        <v>0</v>
      </c>
    </row>
    <row r="100" spans="2:26">
      <c r="B100" s="171">
        <v>99</v>
      </c>
      <c r="C100" s="169"/>
      <c r="D100" s="169"/>
      <c r="E100" s="169"/>
      <c r="F100" s="176"/>
      <c r="H100" s="169"/>
      <c r="I100" s="176"/>
      <c r="J100" s="176"/>
      <c r="L100" s="179"/>
      <c r="Q100">
        <f t="shared" si="6"/>
        <v>0</v>
      </c>
      <c r="R100">
        <f t="shared" si="7"/>
        <v>99</v>
      </c>
      <c r="S100">
        <f>IFERROR(SEARCH(Crewlist!$P$5,V100)+ROW()/100000,"")</f>
        <v>1.0009999999999999</v>
      </c>
      <c r="T100">
        <f t="shared" si="8"/>
        <v>99</v>
      </c>
      <c r="U100">
        <f t="shared" si="9"/>
        <v>0</v>
      </c>
      <c r="V100" t="str">
        <f t="shared" si="11"/>
        <v xml:space="preserve"> </v>
      </c>
      <c r="Y100" s="162" t="e">
        <f>VLOOKUP(B100,Crewlist!AS:AU,3,FALSE)</f>
        <v>#N/A</v>
      </c>
      <c r="Z100" s="163">
        <f t="shared" si="10"/>
        <v>0</v>
      </c>
    </row>
    <row r="101" spans="2:26">
      <c r="B101" s="202">
        <v>100</v>
      </c>
      <c r="F101" s="176"/>
      <c r="I101" s="176"/>
      <c r="J101" s="176"/>
      <c r="L101" s="179"/>
      <c r="Q101">
        <f t="shared" si="6"/>
        <v>0</v>
      </c>
      <c r="R101">
        <f t="shared" si="7"/>
        <v>100</v>
      </c>
      <c r="S101">
        <f>IFERROR(SEARCH(Crewlist!$P$5,V101)+ROW()/100000,"")</f>
        <v>1.00101</v>
      </c>
      <c r="T101">
        <f t="shared" si="8"/>
        <v>100</v>
      </c>
      <c r="U101">
        <f t="shared" si="9"/>
        <v>0</v>
      </c>
      <c r="V101" t="str">
        <f t="shared" si="11"/>
        <v xml:space="preserve"> </v>
      </c>
      <c r="Y101" s="162" t="e">
        <f>VLOOKUP(B101,Crewlist!AS:AU,3,FALSE)</f>
        <v>#N/A</v>
      </c>
      <c r="Z101" s="163">
        <f t="shared" si="10"/>
        <v>0</v>
      </c>
    </row>
    <row r="102" spans="2:26">
      <c r="B102" s="171">
        <v>101</v>
      </c>
      <c r="E102" s="169"/>
      <c r="H102" s="173"/>
      <c r="I102" s="179"/>
      <c r="J102" s="179"/>
      <c r="Q102">
        <f t="shared" si="6"/>
        <v>0</v>
      </c>
      <c r="R102">
        <f t="shared" si="7"/>
        <v>101</v>
      </c>
      <c r="S102">
        <f>IFERROR(SEARCH(Crewlist!$P$5,V102)+ROW()/100000,"")</f>
        <v>1.00102</v>
      </c>
      <c r="T102">
        <f t="shared" si="8"/>
        <v>101</v>
      </c>
      <c r="U102">
        <f t="shared" si="9"/>
        <v>0</v>
      </c>
      <c r="V102" t="str">
        <f t="shared" si="11"/>
        <v xml:space="preserve"> </v>
      </c>
      <c r="Y102" s="162" t="e">
        <f>VLOOKUP(B102,Crewlist!AS:AU,3,FALSE)</f>
        <v>#N/A</v>
      </c>
      <c r="Z102" s="163">
        <f t="shared" si="10"/>
        <v>0</v>
      </c>
    </row>
    <row r="103" spans="2:26">
      <c r="B103" s="171">
        <v>102</v>
      </c>
      <c r="H103" s="173"/>
      <c r="I103" s="174"/>
      <c r="J103" s="174"/>
      <c r="Q103">
        <f t="shared" si="6"/>
        <v>0</v>
      </c>
      <c r="R103">
        <f t="shared" si="7"/>
        <v>102</v>
      </c>
      <c r="S103">
        <f>IFERROR(SEARCH(Crewlist!$P$5,V103)+ROW()/100000,"")</f>
        <v>1.0010300000000001</v>
      </c>
      <c r="T103">
        <f t="shared" si="8"/>
        <v>102</v>
      </c>
      <c r="U103">
        <f t="shared" si="9"/>
        <v>0</v>
      </c>
      <c r="V103" t="str">
        <f t="shared" si="11"/>
        <v xml:space="preserve"> </v>
      </c>
      <c r="Y103" s="162" t="e">
        <f>VLOOKUP(B103,Crewlist!AS:AU,3,FALSE)</f>
        <v>#N/A</v>
      </c>
      <c r="Z103" s="163">
        <f t="shared" si="10"/>
        <v>0</v>
      </c>
    </row>
    <row r="104" spans="2:26">
      <c r="B104" s="202">
        <v>103</v>
      </c>
      <c r="H104" s="173"/>
      <c r="I104" s="174"/>
      <c r="J104" s="174"/>
      <c r="Q104">
        <f t="shared" si="6"/>
        <v>0</v>
      </c>
      <c r="R104">
        <f t="shared" si="7"/>
        <v>103</v>
      </c>
      <c r="S104">
        <f>IFERROR(SEARCH(Crewlist!$P$5,V104)+ROW()/100000,"")</f>
        <v>1.0010399999999999</v>
      </c>
      <c r="T104">
        <f t="shared" si="8"/>
        <v>103</v>
      </c>
      <c r="U104">
        <f t="shared" si="9"/>
        <v>0</v>
      </c>
      <c r="V104" t="str">
        <f t="shared" si="11"/>
        <v xml:space="preserve"> </v>
      </c>
      <c r="Y104" s="162" t="e">
        <f>VLOOKUP(B104,Crewlist!AS:AU,3,FALSE)</f>
        <v>#N/A</v>
      </c>
      <c r="Z104" s="163">
        <f t="shared" si="10"/>
        <v>0</v>
      </c>
    </row>
    <row r="105" spans="2:26">
      <c r="B105" s="171">
        <v>104</v>
      </c>
      <c r="H105" s="173"/>
      <c r="I105" s="174"/>
      <c r="J105" s="174"/>
      <c r="Q105">
        <f t="shared" si="6"/>
        <v>0</v>
      </c>
      <c r="R105">
        <f t="shared" si="7"/>
        <v>104</v>
      </c>
      <c r="S105">
        <f>IFERROR(SEARCH(Crewlist!$P$5,V105)+ROW()/100000,"")</f>
        <v>1.00105</v>
      </c>
      <c r="T105">
        <f t="shared" si="8"/>
        <v>104</v>
      </c>
      <c r="U105">
        <f t="shared" si="9"/>
        <v>0</v>
      </c>
      <c r="V105" t="str">
        <f t="shared" si="11"/>
        <v xml:space="preserve"> </v>
      </c>
      <c r="Y105" s="162" t="e">
        <f>VLOOKUP(B105,Crewlist!AS:AU,3,FALSE)</f>
        <v>#N/A</v>
      </c>
      <c r="Z105" s="163">
        <f t="shared" si="10"/>
        <v>0</v>
      </c>
    </row>
    <row r="106" spans="2:26">
      <c r="B106" s="171">
        <v>105</v>
      </c>
      <c r="C106" s="169"/>
      <c r="D106" s="169"/>
      <c r="E106" s="169"/>
      <c r="F106" s="176"/>
      <c r="H106" s="169"/>
      <c r="I106" s="176"/>
      <c r="J106" s="176"/>
      <c r="K106" s="179"/>
      <c r="L106" s="179"/>
      <c r="Q106">
        <f t="shared" si="6"/>
        <v>0</v>
      </c>
      <c r="R106">
        <f t="shared" si="7"/>
        <v>105</v>
      </c>
      <c r="S106">
        <f>IFERROR(SEARCH(Crewlist!$P$5,V106)+ROW()/100000,"")</f>
        <v>1.0010600000000001</v>
      </c>
      <c r="T106">
        <f t="shared" si="8"/>
        <v>105</v>
      </c>
      <c r="U106">
        <f t="shared" si="9"/>
        <v>0</v>
      </c>
      <c r="V106" t="str">
        <f t="shared" si="11"/>
        <v xml:space="preserve"> </v>
      </c>
      <c r="Y106" s="162" t="e">
        <f>VLOOKUP(B106,Crewlist!AS:AU,3,FALSE)</f>
        <v>#N/A</v>
      </c>
      <c r="Z106" s="163">
        <f t="shared" si="10"/>
        <v>0</v>
      </c>
    </row>
    <row r="107" spans="2:26">
      <c r="B107" s="202">
        <v>106</v>
      </c>
      <c r="F107" s="183"/>
      <c r="H107" s="173"/>
      <c r="I107" s="176"/>
      <c r="J107" s="176"/>
      <c r="Q107">
        <f t="shared" si="6"/>
        <v>0</v>
      </c>
      <c r="R107">
        <f t="shared" si="7"/>
        <v>106</v>
      </c>
      <c r="S107">
        <f>IFERROR(SEARCH(Crewlist!$P$5,V107)+ROW()/100000,"")</f>
        <v>1.0010699999999999</v>
      </c>
      <c r="T107">
        <f t="shared" si="8"/>
        <v>106</v>
      </c>
      <c r="U107">
        <f t="shared" si="9"/>
        <v>0</v>
      </c>
      <c r="V107" t="str">
        <f t="shared" si="11"/>
        <v xml:space="preserve"> </v>
      </c>
      <c r="Y107" s="162" t="e">
        <f>VLOOKUP(B107,Crewlist!AS:AU,3,FALSE)</f>
        <v>#N/A</v>
      </c>
      <c r="Z107" s="163">
        <f t="shared" si="10"/>
        <v>0</v>
      </c>
    </row>
    <row r="108" spans="2:26">
      <c r="B108" s="171">
        <v>107</v>
      </c>
      <c r="H108" s="169"/>
      <c r="I108" s="176"/>
      <c r="J108" s="176"/>
      <c r="M108" s="180"/>
      <c r="Q108">
        <f t="shared" si="6"/>
        <v>0</v>
      </c>
      <c r="R108">
        <f t="shared" si="7"/>
        <v>107</v>
      </c>
      <c r="S108">
        <f>IFERROR(SEARCH(Crewlist!$P$5,V108)+ROW()/100000,"")</f>
        <v>1.00108</v>
      </c>
      <c r="T108">
        <f t="shared" si="8"/>
        <v>107</v>
      </c>
      <c r="U108">
        <f t="shared" si="9"/>
        <v>0</v>
      </c>
      <c r="V108" t="str">
        <f t="shared" si="11"/>
        <v xml:space="preserve"> </v>
      </c>
      <c r="Y108" s="162" t="e">
        <f>VLOOKUP(B108,Crewlist!AS:AU,3,FALSE)</f>
        <v>#N/A</v>
      </c>
      <c r="Z108" s="163">
        <f t="shared" si="10"/>
        <v>0</v>
      </c>
    </row>
    <row r="109" spans="2:26">
      <c r="B109" s="171">
        <v>108</v>
      </c>
      <c r="C109" s="169"/>
      <c r="D109" s="169"/>
      <c r="E109" s="169"/>
      <c r="F109" s="176"/>
      <c r="H109" s="169"/>
      <c r="I109" s="176"/>
      <c r="J109" s="176"/>
      <c r="K109" s="179"/>
      <c r="L109" s="179"/>
      <c r="Q109">
        <f t="shared" si="6"/>
        <v>0</v>
      </c>
      <c r="R109">
        <f t="shared" si="7"/>
        <v>108</v>
      </c>
      <c r="S109">
        <f>IFERROR(SEARCH(Crewlist!$P$5,V109)+ROW()/100000,"")</f>
        <v>1.00109</v>
      </c>
      <c r="T109">
        <f t="shared" si="8"/>
        <v>108</v>
      </c>
      <c r="U109">
        <f t="shared" si="9"/>
        <v>0</v>
      </c>
      <c r="V109" t="str">
        <f t="shared" si="11"/>
        <v xml:space="preserve"> </v>
      </c>
      <c r="Y109" s="162" t="e">
        <f>VLOOKUP(B109,Crewlist!AS:AU,3,FALSE)</f>
        <v>#N/A</v>
      </c>
      <c r="Z109" s="163">
        <f t="shared" si="10"/>
        <v>0</v>
      </c>
    </row>
    <row r="110" spans="2:26">
      <c r="B110" s="202">
        <v>109</v>
      </c>
      <c r="H110" s="173"/>
      <c r="I110" s="174"/>
      <c r="J110" s="174"/>
      <c r="K110" s="179"/>
      <c r="M110" s="180"/>
      <c r="Q110">
        <f t="shared" si="6"/>
        <v>0</v>
      </c>
      <c r="R110">
        <f t="shared" si="7"/>
        <v>109</v>
      </c>
      <c r="S110">
        <f>IFERROR(SEARCH(Crewlist!$P$5,V110)+ROW()/100000,"")</f>
        <v>1.0011000000000001</v>
      </c>
      <c r="T110">
        <f t="shared" si="8"/>
        <v>109</v>
      </c>
      <c r="U110">
        <f t="shared" si="9"/>
        <v>0</v>
      </c>
      <c r="V110" t="str">
        <f t="shared" si="11"/>
        <v xml:space="preserve"> </v>
      </c>
      <c r="Y110" s="162" t="e">
        <f>VLOOKUP(B110,Crewlist!AS:AU,3,FALSE)</f>
        <v>#N/A</v>
      </c>
      <c r="Z110" s="163">
        <f t="shared" si="10"/>
        <v>0</v>
      </c>
    </row>
    <row r="111" spans="2:26">
      <c r="B111" s="171">
        <v>110</v>
      </c>
      <c r="C111" s="169"/>
      <c r="D111" s="169"/>
      <c r="H111" s="173"/>
      <c r="I111" s="174"/>
      <c r="J111" s="174"/>
      <c r="K111" s="179"/>
      <c r="Q111">
        <f t="shared" si="6"/>
        <v>0</v>
      </c>
      <c r="R111">
        <f t="shared" si="7"/>
        <v>110</v>
      </c>
      <c r="S111">
        <f>IFERROR(SEARCH(Crewlist!$P$5,V111)+ROW()/100000,"")</f>
        <v>1.0011099999999999</v>
      </c>
      <c r="T111">
        <f t="shared" si="8"/>
        <v>110</v>
      </c>
      <c r="U111">
        <f t="shared" si="9"/>
        <v>0</v>
      </c>
      <c r="V111" t="str">
        <f t="shared" si="11"/>
        <v xml:space="preserve"> </v>
      </c>
      <c r="Y111" s="162" t="e">
        <f>VLOOKUP(B111,Crewlist!AS:AU,3,FALSE)</f>
        <v>#N/A</v>
      </c>
      <c r="Z111" s="163">
        <f t="shared" si="10"/>
        <v>0</v>
      </c>
    </row>
    <row r="112" spans="2:26">
      <c r="B112" s="171">
        <v>111</v>
      </c>
      <c r="H112" s="173"/>
      <c r="I112" s="174"/>
      <c r="J112" s="174"/>
      <c r="Q112">
        <f t="shared" si="6"/>
        <v>0</v>
      </c>
      <c r="R112">
        <f t="shared" si="7"/>
        <v>111</v>
      </c>
      <c r="S112">
        <f>IFERROR(SEARCH(Crewlist!$P$5,V112)+ROW()/100000,"")</f>
        <v>1.00112</v>
      </c>
      <c r="T112">
        <f t="shared" si="8"/>
        <v>111</v>
      </c>
      <c r="U112">
        <f t="shared" si="9"/>
        <v>0</v>
      </c>
      <c r="V112" t="str">
        <f t="shared" si="11"/>
        <v xml:space="preserve"> </v>
      </c>
      <c r="Y112" s="162" t="e">
        <f>VLOOKUP(B112,Crewlist!AS:AU,3,FALSE)</f>
        <v>#N/A</v>
      </c>
      <c r="Z112" s="163">
        <f t="shared" si="10"/>
        <v>0</v>
      </c>
    </row>
    <row r="113" spans="2:26">
      <c r="B113" s="202">
        <v>112</v>
      </c>
      <c r="H113" s="173"/>
      <c r="I113" s="174"/>
      <c r="J113" s="174"/>
      <c r="Q113">
        <f t="shared" si="6"/>
        <v>0</v>
      </c>
      <c r="R113">
        <f t="shared" si="7"/>
        <v>112</v>
      </c>
      <c r="S113">
        <f>IFERROR(SEARCH(Crewlist!$P$5,V113)+ROW()/100000,"")</f>
        <v>1.0011300000000001</v>
      </c>
      <c r="T113">
        <f t="shared" si="8"/>
        <v>112</v>
      </c>
      <c r="U113">
        <f t="shared" si="9"/>
        <v>0</v>
      </c>
      <c r="V113" t="str">
        <f t="shared" si="11"/>
        <v xml:space="preserve"> </v>
      </c>
      <c r="Y113" s="162" t="e">
        <f>VLOOKUP(B113,Crewlist!AS:AU,3,FALSE)</f>
        <v>#N/A</v>
      </c>
      <c r="Z113" s="163">
        <f t="shared" si="10"/>
        <v>0</v>
      </c>
    </row>
    <row r="114" spans="2:26">
      <c r="B114" s="171">
        <v>113</v>
      </c>
      <c r="I114" s="176"/>
      <c r="J114" s="176"/>
      <c r="K114" s="179"/>
      <c r="Q114">
        <f t="shared" si="6"/>
        <v>0</v>
      </c>
      <c r="R114">
        <f t="shared" si="7"/>
        <v>113</v>
      </c>
      <c r="S114">
        <f>IFERROR(SEARCH(Crewlist!$P$5,V114)+ROW()/100000,"")</f>
        <v>1.0011399999999999</v>
      </c>
      <c r="T114">
        <f t="shared" si="8"/>
        <v>113</v>
      </c>
      <c r="U114">
        <f t="shared" si="9"/>
        <v>0</v>
      </c>
      <c r="V114" t="str">
        <f t="shared" si="11"/>
        <v xml:space="preserve"> </v>
      </c>
      <c r="Y114" s="162" t="e">
        <f>VLOOKUP(B114,Crewlist!AS:AU,3,FALSE)</f>
        <v>#N/A</v>
      </c>
      <c r="Z114" s="163">
        <f t="shared" si="10"/>
        <v>0</v>
      </c>
    </row>
    <row r="115" spans="2:26">
      <c r="B115" s="171">
        <v>114</v>
      </c>
      <c r="H115" s="173"/>
      <c r="I115" s="174"/>
      <c r="J115" s="174"/>
      <c r="Q115">
        <f t="shared" si="6"/>
        <v>0</v>
      </c>
      <c r="R115">
        <f t="shared" si="7"/>
        <v>114</v>
      </c>
      <c r="S115">
        <f>IFERROR(SEARCH(Crewlist!$P$5,V115)+ROW()/100000,"")</f>
        <v>1.00115</v>
      </c>
      <c r="T115">
        <f t="shared" si="8"/>
        <v>114</v>
      </c>
      <c r="U115">
        <f t="shared" si="9"/>
        <v>0</v>
      </c>
      <c r="V115" t="str">
        <f t="shared" si="11"/>
        <v xml:space="preserve"> </v>
      </c>
      <c r="Y115" s="162" t="e">
        <f>VLOOKUP(B115,Crewlist!AS:AU,3,FALSE)</f>
        <v>#N/A</v>
      </c>
      <c r="Z115" s="163">
        <f t="shared" si="10"/>
        <v>0</v>
      </c>
    </row>
    <row r="116" spans="2:26">
      <c r="B116" s="202">
        <v>115</v>
      </c>
      <c r="H116" s="173"/>
      <c r="I116" s="174"/>
      <c r="J116" s="174"/>
      <c r="Q116">
        <f t="shared" si="6"/>
        <v>0</v>
      </c>
      <c r="R116">
        <f t="shared" si="7"/>
        <v>115</v>
      </c>
      <c r="S116">
        <f>IFERROR(SEARCH(Crewlist!$P$5,V116)+ROW()/100000,"")</f>
        <v>1.00116</v>
      </c>
      <c r="T116">
        <f t="shared" si="8"/>
        <v>115</v>
      </c>
      <c r="U116">
        <f t="shared" si="9"/>
        <v>0</v>
      </c>
      <c r="V116" t="str">
        <f t="shared" si="11"/>
        <v xml:space="preserve"> </v>
      </c>
      <c r="Y116" s="162" t="e">
        <f>VLOOKUP(B116,Crewlist!AS:AU,3,FALSE)</f>
        <v>#N/A</v>
      </c>
      <c r="Z116" s="163">
        <f t="shared" si="10"/>
        <v>0</v>
      </c>
    </row>
    <row r="117" spans="2:26">
      <c r="B117" s="171">
        <v>116</v>
      </c>
      <c r="C117" s="169"/>
      <c r="D117" s="169"/>
      <c r="E117" s="169"/>
      <c r="F117" s="176"/>
      <c r="H117" s="169"/>
      <c r="I117" s="176"/>
      <c r="J117" s="176"/>
      <c r="K117" s="179"/>
      <c r="L117" s="179"/>
      <c r="Q117">
        <f t="shared" si="6"/>
        <v>0</v>
      </c>
      <c r="R117">
        <f t="shared" si="7"/>
        <v>116</v>
      </c>
      <c r="S117">
        <f>IFERROR(SEARCH(Crewlist!$P$5,V117)+ROW()/100000,"")</f>
        <v>1.0011699999999999</v>
      </c>
      <c r="T117">
        <f t="shared" si="8"/>
        <v>116</v>
      </c>
      <c r="U117">
        <f t="shared" si="9"/>
        <v>0</v>
      </c>
      <c r="V117" t="str">
        <f t="shared" si="11"/>
        <v xml:space="preserve"> </v>
      </c>
      <c r="Y117" s="162" t="e">
        <f>VLOOKUP(B117,Crewlist!AS:AU,3,FALSE)</f>
        <v>#N/A</v>
      </c>
      <c r="Z117" s="163">
        <f t="shared" si="10"/>
        <v>0</v>
      </c>
    </row>
    <row r="118" spans="2:26">
      <c r="B118" s="171">
        <v>117</v>
      </c>
      <c r="E118" s="169"/>
      <c r="H118" s="173"/>
      <c r="I118" s="179"/>
      <c r="J118" s="179"/>
      <c r="Q118">
        <f t="shared" si="6"/>
        <v>0</v>
      </c>
      <c r="R118">
        <f t="shared" si="7"/>
        <v>117</v>
      </c>
      <c r="S118">
        <f>IFERROR(SEARCH(Crewlist!$P$5,V118)+ROW()/100000,"")</f>
        <v>1.00118</v>
      </c>
      <c r="T118">
        <f t="shared" si="8"/>
        <v>117</v>
      </c>
      <c r="U118">
        <f t="shared" si="9"/>
        <v>0</v>
      </c>
      <c r="V118" t="str">
        <f t="shared" si="11"/>
        <v xml:space="preserve"> </v>
      </c>
      <c r="Y118" s="162" t="e">
        <f>VLOOKUP(B118,Crewlist!AS:AU,3,FALSE)</f>
        <v>#N/A</v>
      </c>
      <c r="Z118" s="163">
        <f t="shared" si="10"/>
        <v>0</v>
      </c>
    </row>
    <row r="119" spans="2:26">
      <c r="B119" s="202">
        <v>118</v>
      </c>
      <c r="H119" s="173"/>
      <c r="I119" s="174"/>
      <c r="J119" s="174"/>
      <c r="Q119">
        <f t="shared" si="6"/>
        <v>0</v>
      </c>
      <c r="R119">
        <f t="shared" si="7"/>
        <v>118</v>
      </c>
      <c r="S119">
        <f>IFERROR(SEARCH(Crewlist!$P$5,V119)+ROW()/100000,"")</f>
        <v>1.00119</v>
      </c>
      <c r="T119">
        <f t="shared" si="8"/>
        <v>118</v>
      </c>
      <c r="U119">
        <f t="shared" si="9"/>
        <v>0</v>
      </c>
      <c r="V119" t="str">
        <f t="shared" si="11"/>
        <v xml:space="preserve"> </v>
      </c>
      <c r="Y119" s="162" t="e">
        <f>VLOOKUP(B119,Crewlist!AS:AU,3,FALSE)</f>
        <v>#N/A</v>
      </c>
      <c r="Z119" s="163">
        <f t="shared" si="10"/>
        <v>0</v>
      </c>
    </row>
    <row r="120" spans="2:26">
      <c r="B120" s="171">
        <v>119</v>
      </c>
      <c r="H120" s="173"/>
      <c r="I120" s="179"/>
      <c r="J120" s="179"/>
      <c r="Q120">
        <f t="shared" si="6"/>
        <v>0</v>
      </c>
      <c r="R120">
        <f t="shared" si="7"/>
        <v>119</v>
      </c>
      <c r="S120">
        <f>IFERROR(SEARCH(Crewlist!$P$5,V120)+ROW()/100000,"")</f>
        <v>1.0012000000000001</v>
      </c>
      <c r="T120">
        <f t="shared" si="8"/>
        <v>119</v>
      </c>
      <c r="U120">
        <f t="shared" si="9"/>
        <v>0</v>
      </c>
      <c r="V120" t="str">
        <f t="shared" si="11"/>
        <v xml:space="preserve"> </v>
      </c>
      <c r="Y120" s="162" t="e">
        <f>VLOOKUP(B120,Crewlist!AS:AU,3,FALSE)</f>
        <v>#N/A</v>
      </c>
      <c r="Z120" s="163">
        <f t="shared" si="10"/>
        <v>0</v>
      </c>
    </row>
    <row r="121" spans="2:26">
      <c r="B121" s="171">
        <v>120</v>
      </c>
      <c r="I121" s="176"/>
      <c r="J121" s="176"/>
      <c r="Q121">
        <f t="shared" si="6"/>
        <v>0</v>
      </c>
      <c r="R121">
        <f t="shared" si="7"/>
        <v>120</v>
      </c>
      <c r="S121">
        <f>IFERROR(SEARCH(Crewlist!$P$5,V121)+ROW()/100000,"")</f>
        <v>1.0012099999999999</v>
      </c>
      <c r="T121">
        <f t="shared" si="8"/>
        <v>120</v>
      </c>
      <c r="U121">
        <f t="shared" si="9"/>
        <v>0</v>
      </c>
      <c r="V121" t="str">
        <f t="shared" si="11"/>
        <v xml:space="preserve"> </v>
      </c>
      <c r="Y121" s="162" t="e">
        <f>VLOOKUP(B121,Crewlist!AS:AU,3,FALSE)</f>
        <v>#N/A</v>
      </c>
      <c r="Z121" s="163">
        <f t="shared" si="10"/>
        <v>0</v>
      </c>
    </row>
    <row r="122" spans="2:26">
      <c r="B122" s="202">
        <v>121</v>
      </c>
      <c r="F122" s="215"/>
      <c r="H122" s="173"/>
      <c r="I122" s="179"/>
      <c r="J122" s="179"/>
      <c r="L122" s="183"/>
      <c r="Q122">
        <f t="shared" si="6"/>
        <v>0</v>
      </c>
      <c r="R122">
        <f t="shared" si="7"/>
        <v>121</v>
      </c>
      <c r="S122">
        <f>IFERROR(SEARCH(Crewlist!$P$5,V122)+ROW()/100000,"")</f>
        <v>1.00122</v>
      </c>
      <c r="T122">
        <f t="shared" si="8"/>
        <v>121</v>
      </c>
      <c r="U122">
        <f t="shared" si="9"/>
        <v>0</v>
      </c>
      <c r="V122" t="str">
        <f t="shared" si="11"/>
        <v xml:space="preserve"> </v>
      </c>
      <c r="Y122" s="162" t="e">
        <f>VLOOKUP(B122,Crewlist!AS:AU,3,FALSE)</f>
        <v>#N/A</v>
      </c>
      <c r="Z122" s="163">
        <f t="shared" si="10"/>
        <v>0</v>
      </c>
    </row>
    <row r="123" spans="2:26">
      <c r="B123" s="171">
        <v>122</v>
      </c>
      <c r="C123" s="169"/>
      <c r="Q123">
        <f t="shared" si="6"/>
        <v>0</v>
      </c>
      <c r="R123">
        <f t="shared" si="7"/>
        <v>122</v>
      </c>
      <c r="S123">
        <f>IFERROR(SEARCH(Crewlist!$P$5,V123)+ROW()/100000,"")</f>
        <v>1.0012300000000001</v>
      </c>
      <c r="T123">
        <f t="shared" si="8"/>
        <v>122</v>
      </c>
      <c r="U123">
        <f t="shared" si="9"/>
        <v>0</v>
      </c>
      <c r="V123" t="str">
        <f t="shared" si="11"/>
        <v xml:space="preserve"> </v>
      </c>
      <c r="Y123" s="162" t="e">
        <f>VLOOKUP(B123,Crewlist!AS:AU,3,FALSE)</f>
        <v>#N/A</v>
      </c>
      <c r="Z123" s="163">
        <f t="shared" si="10"/>
        <v>0</v>
      </c>
    </row>
    <row r="124" spans="2:26">
      <c r="B124" s="171">
        <v>123</v>
      </c>
      <c r="Q124">
        <f t="shared" si="6"/>
        <v>0</v>
      </c>
      <c r="R124">
        <f t="shared" si="7"/>
        <v>123</v>
      </c>
      <c r="S124">
        <f>IFERROR(SEARCH(Crewlist!$P$5,V124)+ROW()/100000,"")</f>
        <v>1.0012399999999999</v>
      </c>
      <c r="T124">
        <f t="shared" si="8"/>
        <v>123</v>
      </c>
      <c r="U124">
        <f t="shared" si="9"/>
        <v>0</v>
      </c>
      <c r="V124" t="str">
        <f t="shared" si="11"/>
        <v xml:space="preserve"> </v>
      </c>
      <c r="Y124" s="162" t="e">
        <f>VLOOKUP(B124,Crewlist!AS:AU,3,FALSE)</f>
        <v>#N/A</v>
      </c>
      <c r="Z124" s="163">
        <f t="shared" si="10"/>
        <v>0</v>
      </c>
    </row>
    <row r="125" spans="2:26">
      <c r="B125" s="202">
        <v>124</v>
      </c>
      <c r="C125" s="169"/>
      <c r="D125" s="169"/>
      <c r="E125" s="169"/>
      <c r="F125" s="176"/>
      <c r="H125" s="169"/>
      <c r="I125" s="176"/>
      <c r="J125" s="176"/>
      <c r="K125" s="179"/>
      <c r="L125" s="179"/>
      <c r="Q125">
        <f t="shared" si="6"/>
        <v>0</v>
      </c>
      <c r="R125">
        <f t="shared" si="7"/>
        <v>124</v>
      </c>
      <c r="S125">
        <f>IFERROR(SEARCH(Crewlist!$P$5,V125)+ROW()/100000,"")</f>
        <v>1.00125</v>
      </c>
      <c r="T125">
        <f t="shared" si="8"/>
        <v>124</v>
      </c>
      <c r="U125">
        <f t="shared" si="9"/>
        <v>0</v>
      </c>
      <c r="V125" t="str">
        <f t="shared" si="11"/>
        <v xml:space="preserve"> </v>
      </c>
      <c r="Y125" s="162" t="e">
        <f>VLOOKUP(B125,Crewlist!AS:AU,3,FALSE)</f>
        <v>#N/A</v>
      </c>
      <c r="Z125" s="163">
        <f t="shared" si="10"/>
        <v>0</v>
      </c>
    </row>
    <row r="126" spans="2:26">
      <c r="B126" s="171">
        <v>125</v>
      </c>
      <c r="H126" s="173"/>
      <c r="I126" s="176"/>
      <c r="J126" s="176"/>
      <c r="L126" s="179"/>
      <c r="Q126">
        <f t="shared" si="6"/>
        <v>0</v>
      </c>
      <c r="R126">
        <f t="shared" si="7"/>
        <v>125</v>
      </c>
      <c r="S126">
        <f>IFERROR(SEARCH(Crewlist!$P$5,V126)+ROW()/100000,"")</f>
        <v>1.00126</v>
      </c>
      <c r="T126">
        <f t="shared" si="8"/>
        <v>125</v>
      </c>
      <c r="U126">
        <f t="shared" si="9"/>
        <v>0</v>
      </c>
      <c r="V126" t="str">
        <f t="shared" si="11"/>
        <v xml:space="preserve"> </v>
      </c>
      <c r="Y126" s="162" t="e">
        <f>VLOOKUP(B126,Crewlist!AS:AU,3,FALSE)</f>
        <v>#N/A</v>
      </c>
      <c r="Z126" s="163">
        <f t="shared" si="10"/>
        <v>0</v>
      </c>
    </row>
    <row r="127" spans="2:26">
      <c r="B127" s="171">
        <v>126</v>
      </c>
      <c r="F127" s="183"/>
      <c r="H127" s="173"/>
      <c r="I127" s="174"/>
      <c r="J127" s="174"/>
      <c r="L127" s="183"/>
      <c r="Q127">
        <f t="shared" si="6"/>
        <v>0</v>
      </c>
      <c r="R127">
        <f t="shared" si="7"/>
        <v>126</v>
      </c>
      <c r="S127">
        <f>IFERROR(SEARCH(Crewlist!$P$5,V127)+ROW()/100000,"")</f>
        <v>1.0012700000000001</v>
      </c>
      <c r="T127">
        <f t="shared" si="8"/>
        <v>126</v>
      </c>
      <c r="U127">
        <f t="shared" si="9"/>
        <v>0</v>
      </c>
      <c r="V127" t="str">
        <f t="shared" si="11"/>
        <v xml:space="preserve"> </v>
      </c>
      <c r="Y127" s="162" t="e">
        <f>VLOOKUP(B127,Crewlist!AS:AU,3,FALSE)</f>
        <v>#N/A</v>
      </c>
      <c r="Z127" s="163">
        <f t="shared" si="10"/>
        <v>0</v>
      </c>
    </row>
    <row r="128" spans="2:26">
      <c r="B128" s="202">
        <v>127</v>
      </c>
      <c r="H128" s="173"/>
      <c r="I128" s="174"/>
      <c r="J128" s="174"/>
      <c r="Q128">
        <f t="shared" si="6"/>
        <v>0</v>
      </c>
      <c r="R128">
        <f t="shared" si="7"/>
        <v>127</v>
      </c>
      <c r="S128">
        <f>IFERROR(SEARCH(Crewlist!$P$5,V128)+ROW()/100000,"")</f>
        <v>1.0012799999999999</v>
      </c>
      <c r="T128">
        <f t="shared" si="8"/>
        <v>127</v>
      </c>
      <c r="U128">
        <f t="shared" si="9"/>
        <v>0</v>
      </c>
      <c r="V128" t="str">
        <f t="shared" si="11"/>
        <v xml:space="preserve"> </v>
      </c>
      <c r="Y128" s="162" t="e">
        <f>VLOOKUP(B128,Crewlist!AS:AU,3,FALSE)</f>
        <v>#N/A</v>
      </c>
      <c r="Z128" s="163">
        <f t="shared" si="10"/>
        <v>0</v>
      </c>
    </row>
    <row r="129" spans="2:26">
      <c r="B129" s="171">
        <v>128</v>
      </c>
      <c r="H129" s="173"/>
      <c r="I129" s="174"/>
      <c r="J129" s="174"/>
      <c r="Q129">
        <f t="shared" si="6"/>
        <v>0</v>
      </c>
      <c r="R129">
        <f t="shared" si="7"/>
        <v>128</v>
      </c>
      <c r="S129">
        <f>IFERROR(SEARCH(Crewlist!$P$5,V129)+ROW()/100000,"")</f>
        <v>1.00129</v>
      </c>
      <c r="T129">
        <f t="shared" si="8"/>
        <v>128</v>
      </c>
      <c r="U129">
        <f t="shared" si="9"/>
        <v>0</v>
      </c>
      <c r="V129" t="str">
        <f t="shared" si="11"/>
        <v xml:space="preserve"> </v>
      </c>
      <c r="Y129" s="162" t="e">
        <f>VLOOKUP(B129,Crewlist!AS:AU,3,FALSE)</f>
        <v>#N/A</v>
      </c>
      <c r="Z129" s="163">
        <f t="shared" si="10"/>
        <v>0</v>
      </c>
    </row>
    <row r="130" spans="2:26">
      <c r="B130" s="171">
        <v>129</v>
      </c>
      <c r="I130" s="176"/>
      <c r="J130" s="176"/>
      <c r="L130" s="183"/>
      <c r="Q130">
        <f t="shared" ref="Q130:Q192" si="12">IF(C130&lt;&gt; "",B130,0)</f>
        <v>0</v>
      </c>
      <c r="R130">
        <f t="shared" ref="R130:R193" si="13">IFERROR(RANK(S130,$S$2:$S$1998,1),"")</f>
        <v>129</v>
      </c>
      <c r="S130">
        <f>IFERROR(SEARCH(Crewlist!$P$5,V130)+ROW()/100000,"")</f>
        <v>1.0013000000000001</v>
      </c>
      <c r="T130">
        <f t="shared" ref="T130:T193" si="14">B130</f>
        <v>129</v>
      </c>
      <c r="U130">
        <f t="shared" ref="U130:U193" si="15">C130</f>
        <v>0</v>
      </c>
      <c r="V130" t="str">
        <f t="shared" si="11"/>
        <v xml:space="preserve"> </v>
      </c>
      <c r="Y130" s="162" t="e">
        <f>VLOOKUP(B130,Crewlist!AS:AU,3,FALSE)</f>
        <v>#N/A</v>
      </c>
      <c r="Z130" s="163">
        <f t="shared" ref="Z130:Z193" si="16">IF(ISNUMBER(SEARCH("",Y130)),Y130,N130)</f>
        <v>0</v>
      </c>
    </row>
    <row r="131" spans="2:26">
      <c r="B131" s="202">
        <v>130</v>
      </c>
      <c r="H131" s="173"/>
      <c r="I131" s="174"/>
      <c r="J131" s="174"/>
      <c r="Q131">
        <f t="shared" si="12"/>
        <v>0</v>
      </c>
      <c r="R131">
        <f t="shared" si="13"/>
        <v>130</v>
      </c>
      <c r="S131">
        <f>IFERROR(SEARCH(Crewlist!$P$5,V131)+ROW()/100000,"")</f>
        <v>1.0013099999999999</v>
      </c>
      <c r="T131">
        <f t="shared" si="14"/>
        <v>130</v>
      </c>
      <c r="U131">
        <f t="shared" si="15"/>
        <v>0</v>
      </c>
      <c r="V131" t="str">
        <f t="shared" ref="V131:V194" si="17">CONCATENATE(C131," ",D131)</f>
        <v xml:space="preserve"> </v>
      </c>
      <c r="Y131" s="162" t="e">
        <f>VLOOKUP(B131,Crewlist!AS:AU,3,FALSE)</f>
        <v>#N/A</v>
      </c>
      <c r="Z131" s="163">
        <f t="shared" si="16"/>
        <v>0</v>
      </c>
    </row>
    <row r="132" spans="2:26">
      <c r="B132" s="171">
        <v>131</v>
      </c>
      <c r="Q132">
        <f t="shared" si="12"/>
        <v>0</v>
      </c>
      <c r="R132">
        <f t="shared" si="13"/>
        <v>131</v>
      </c>
      <c r="S132">
        <f>IFERROR(SEARCH(Crewlist!$P$5,V132)+ROW()/100000,"")</f>
        <v>1.00132</v>
      </c>
      <c r="T132">
        <f t="shared" si="14"/>
        <v>131</v>
      </c>
      <c r="U132">
        <f t="shared" si="15"/>
        <v>0</v>
      </c>
      <c r="V132" t="str">
        <f t="shared" si="17"/>
        <v xml:space="preserve"> </v>
      </c>
      <c r="Y132" s="162" t="e">
        <f>VLOOKUP(B132,Crewlist!AS:AU,3,FALSE)</f>
        <v>#N/A</v>
      </c>
      <c r="Z132" s="163">
        <f t="shared" si="16"/>
        <v>0</v>
      </c>
    </row>
    <row r="133" spans="2:26">
      <c r="B133" s="171">
        <v>132</v>
      </c>
      <c r="C133" s="169"/>
      <c r="D133" s="169"/>
      <c r="G133" s="177"/>
      <c r="H133" s="178"/>
      <c r="I133" s="179"/>
      <c r="J133" s="179"/>
      <c r="K133" s="179"/>
      <c r="M133" s="180"/>
      <c r="Q133">
        <f t="shared" si="12"/>
        <v>0</v>
      </c>
      <c r="R133">
        <f t="shared" si="13"/>
        <v>132</v>
      </c>
      <c r="S133">
        <f>IFERROR(SEARCH(Crewlist!$P$5,V133)+ROW()/100000,"")</f>
        <v>1.0013300000000001</v>
      </c>
      <c r="T133">
        <f t="shared" si="14"/>
        <v>132</v>
      </c>
      <c r="U133">
        <f t="shared" si="15"/>
        <v>0</v>
      </c>
      <c r="V133" t="str">
        <f t="shared" si="17"/>
        <v xml:space="preserve"> </v>
      </c>
      <c r="Y133" s="162" t="e">
        <f>VLOOKUP(B133,Crewlist!AS:AU,3,FALSE)</f>
        <v>#N/A</v>
      </c>
      <c r="Z133" s="163">
        <f t="shared" si="16"/>
        <v>0</v>
      </c>
    </row>
    <row r="134" spans="2:26">
      <c r="B134" s="202">
        <v>133</v>
      </c>
      <c r="F134" s="183"/>
      <c r="H134" s="173"/>
      <c r="I134" s="174"/>
      <c r="J134" s="174"/>
      <c r="L134" s="183"/>
      <c r="Q134">
        <f t="shared" si="12"/>
        <v>0</v>
      </c>
      <c r="R134">
        <f t="shared" si="13"/>
        <v>133</v>
      </c>
      <c r="S134">
        <f>IFERROR(SEARCH(Crewlist!$P$5,V134)+ROW()/100000,"")</f>
        <v>1.0013399999999999</v>
      </c>
      <c r="T134">
        <f t="shared" si="14"/>
        <v>133</v>
      </c>
      <c r="U134">
        <f t="shared" si="15"/>
        <v>0</v>
      </c>
      <c r="V134" t="str">
        <f t="shared" si="17"/>
        <v xml:space="preserve"> </v>
      </c>
      <c r="Y134" s="162" t="e">
        <f>VLOOKUP(B134,Crewlist!AS:AU,3,FALSE)</f>
        <v>#N/A</v>
      </c>
      <c r="Z134" s="163">
        <f t="shared" si="16"/>
        <v>0</v>
      </c>
    </row>
    <row r="135" spans="2:26">
      <c r="B135" s="171">
        <v>134</v>
      </c>
      <c r="C135" s="169"/>
      <c r="D135" s="169"/>
      <c r="E135" s="169"/>
      <c r="F135" s="176"/>
      <c r="H135" s="169"/>
      <c r="I135" s="176"/>
      <c r="J135" s="176"/>
      <c r="L135" s="179"/>
      <c r="Q135">
        <f t="shared" si="12"/>
        <v>0</v>
      </c>
      <c r="R135">
        <f t="shared" si="13"/>
        <v>134</v>
      </c>
      <c r="S135">
        <f>IFERROR(SEARCH(Crewlist!$P$5,V135)+ROW()/100000,"")</f>
        <v>1.00135</v>
      </c>
      <c r="T135">
        <f t="shared" si="14"/>
        <v>134</v>
      </c>
      <c r="U135">
        <f t="shared" si="15"/>
        <v>0</v>
      </c>
      <c r="V135" t="str">
        <f t="shared" si="17"/>
        <v xml:space="preserve"> </v>
      </c>
      <c r="Y135" s="162" t="e">
        <f>VLOOKUP(B135,Crewlist!AS:AU,3,FALSE)</f>
        <v>#N/A</v>
      </c>
      <c r="Z135" s="163">
        <f t="shared" si="16"/>
        <v>0</v>
      </c>
    </row>
    <row r="136" spans="2:26">
      <c r="B136" s="171">
        <v>135</v>
      </c>
      <c r="F136" s="183"/>
      <c r="H136" s="173"/>
      <c r="I136" s="174"/>
      <c r="J136" s="174"/>
      <c r="L136" s="183"/>
      <c r="Q136">
        <f t="shared" si="12"/>
        <v>0</v>
      </c>
      <c r="R136">
        <f t="shared" si="13"/>
        <v>135</v>
      </c>
      <c r="S136">
        <f>IFERROR(SEARCH(Crewlist!$P$5,V136)+ROW()/100000,"")</f>
        <v>1.00136</v>
      </c>
      <c r="T136">
        <f t="shared" si="14"/>
        <v>135</v>
      </c>
      <c r="U136">
        <f t="shared" si="15"/>
        <v>0</v>
      </c>
      <c r="V136" t="str">
        <f t="shared" si="17"/>
        <v xml:space="preserve"> </v>
      </c>
      <c r="Y136" s="162" t="e">
        <f>VLOOKUP(B136,Crewlist!AS:AU,3,FALSE)</f>
        <v>#N/A</v>
      </c>
      <c r="Z136" s="163">
        <f t="shared" si="16"/>
        <v>0</v>
      </c>
    </row>
    <row r="137" spans="2:26">
      <c r="B137" s="202">
        <v>136</v>
      </c>
      <c r="H137" s="173"/>
      <c r="I137" s="174"/>
      <c r="J137" s="174"/>
      <c r="Q137">
        <f t="shared" si="12"/>
        <v>0</v>
      </c>
      <c r="R137">
        <f t="shared" si="13"/>
        <v>136</v>
      </c>
      <c r="S137">
        <f>IFERROR(SEARCH(Crewlist!$P$5,V137)+ROW()/100000,"")</f>
        <v>1.0013700000000001</v>
      </c>
      <c r="T137">
        <f t="shared" si="14"/>
        <v>136</v>
      </c>
      <c r="U137">
        <f t="shared" si="15"/>
        <v>0</v>
      </c>
      <c r="V137" t="str">
        <f t="shared" si="17"/>
        <v xml:space="preserve"> </v>
      </c>
      <c r="Y137" s="162" t="e">
        <f>VLOOKUP(B137,Crewlist!AS:AU,3,FALSE)</f>
        <v>#N/A</v>
      </c>
      <c r="Z137" s="163">
        <f t="shared" si="16"/>
        <v>0</v>
      </c>
    </row>
    <row r="138" spans="2:26">
      <c r="B138" s="171">
        <v>137</v>
      </c>
      <c r="C138" s="169"/>
      <c r="D138" s="169"/>
      <c r="E138" s="169"/>
      <c r="F138" s="176"/>
      <c r="H138" s="169"/>
      <c r="I138" s="176"/>
      <c r="J138" s="176"/>
      <c r="K138" s="179"/>
      <c r="L138" s="179"/>
      <c r="Q138">
        <f t="shared" si="12"/>
        <v>0</v>
      </c>
      <c r="R138">
        <f t="shared" si="13"/>
        <v>137</v>
      </c>
      <c r="S138">
        <f>IFERROR(SEARCH(Crewlist!$P$5,V138)+ROW()/100000,"")</f>
        <v>1.0013799999999999</v>
      </c>
      <c r="T138">
        <f t="shared" si="14"/>
        <v>137</v>
      </c>
      <c r="U138">
        <f t="shared" si="15"/>
        <v>0</v>
      </c>
      <c r="V138" t="str">
        <f t="shared" si="17"/>
        <v xml:space="preserve"> </v>
      </c>
      <c r="Y138" s="162" t="e">
        <f>VLOOKUP(B138,Crewlist!AS:AU,3,FALSE)</f>
        <v>#N/A</v>
      </c>
      <c r="Z138" s="163">
        <f t="shared" si="16"/>
        <v>0</v>
      </c>
    </row>
    <row r="139" spans="2:26">
      <c r="B139" s="171">
        <v>138</v>
      </c>
      <c r="F139" s="183"/>
      <c r="H139" s="173"/>
      <c r="I139" s="174"/>
      <c r="J139" s="174"/>
      <c r="L139" s="183"/>
      <c r="Q139">
        <f t="shared" si="12"/>
        <v>0</v>
      </c>
      <c r="R139">
        <f t="shared" si="13"/>
        <v>138</v>
      </c>
      <c r="S139">
        <f>IFERROR(SEARCH(Crewlist!$P$5,V139)+ROW()/100000,"")</f>
        <v>1.00139</v>
      </c>
      <c r="T139">
        <f t="shared" si="14"/>
        <v>138</v>
      </c>
      <c r="U139">
        <f t="shared" si="15"/>
        <v>0</v>
      </c>
      <c r="V139" t="str">
        <f t="shared" si="17"/>
        <v xml:space="preserve"> </v>
      </c>
      <c r="Y139" s="162" t="e">
        <f>VLOOKUP(B139,Crewlist!AS:AU,3,FALSE)</f>
        <v>#N/A</v>
      </c>
      <c r="Z139" s="163">
        <f t="shared" si="16"/>
        <v>0</v>
      </c>
    </row>
    <row r="140" spans="2:26">
      <c r="B140" s="202">
        <v>139</v>
      </c>
      <c r="F140" s="183"/>
      <c r="H140" s="173"/>
      <c r="I140" s="174"/>
      <c r="J140" s="174"/>
      <c r="L140" s="183"/>
      <c r="Q140">
        <f t="shared" si="12"/>
        <v>0</v>
      </c>
      <c r="R140">
        <f t="shared" si="13"/>
        <v>139</v>
      </c>
      <c r="S140">
        <f>IFERROR(SEARCH(Crewlist!$P$5,V140)+ROW()/100000,"")</f>
        <v>1.0014000000000001</v>
      </c>
      <c r="T140">
        <f t="shared" si="14"/>
        <v>139</v>
      </c>
      <c r="U140">
        <f t="shared" si="15"/>
        <v>0</v>
      </c>
      <c r="V140" t="str">
        <f t="shared" si="17"/>
        <v xml:space="preserve"> </v>
      </c>
      <c r="Y140" s="162" t="e">
        <f>VLOOKUP(B140,Crewlist!AS:AU,3,FALSE)</f>
        <v>#N/A</v>
      </c>
      <c r="Z140" s="163">
        <f t="shared" si="16"/>
        <v>0</v>
      </c>
    </row>
    <row r="141" spans="2:26">
      <c r="B141" s="171">
        <v>140</v>
      </c>
      <c r="H141" s="173"/>
      <c r="I141" s="174"/>
      <c r="J141" s="174"/>
      <c r="Q141">
        <f t="shared" si="12"/>
        <v>0</v>
      </c>
      <c r="R141">
        <f t="shared" si="13"/>
        <v>140</v>
      </c>
      <c r="S141">
        <f>IFERROR(SEARCH(Crewlist!$P$5,V141)+ROW()/100000,"")</f>
        <v>1.0014099999999999</v>
      </c>
      <c r="T141">
        <f t="shared" si="14"/>
        <v>140</v>
      </c>
      <c r="U141">
        <f t="shared" si="15"/>
        <v>0</v>
      </c>
      <c r="V141" t="str">
        <f t="shared" si="17"/>
        <v xml:space="preserve"> </v>
      </c>
      <c r="Y141" s="162" t="e">
        <f>VLOOKUP(B141,Crewlist!AS:AU,3,FALSE)</f>
        <v>#N/A</v>
      </c>
      <c r="Z141" s="163">
        <f t="shared" si="16"/>
        <v>0</v>
      </c>
    </row>
    <row r="142" spans="2:26">
      <c r="B142" s="171">
        <v>141</v>
      </c>
      <c r="H142" s="173"/>
      <c r="I142" s="174"/>
      <c r="J142" s="174"/>
      <c r="Q142">
        <f t="shared" si="12"/>
        <v>0</v>
      </c>
      <c r="R142">
        <f t="shared" si="13"/>
        <v>141</v>
      </c>
      <c r="S142">
        <f>IFERROR(SEARCH(Crewlist!$P$5,V142)+ROW()/100000,"")</f>
        <v>1.00142</v>
      </c>
      <c r="T142">
        <f t="shared" si="14"/>
        <v>141</v>
      </c>
      <c r="U142">
        <f t="shared" si="15"/>
        <v>0</v>
      </c>
      <c r="V142" t="str">
        <f t="shared" si="17"/>
        <v xml:space="preserve"> </v>
      </c>
      <c r="Y142" s="162" t="e">
        <f>VLOOKUP(B142,Crewlist!AS:AU,3,FALSE)</f>
        <v>#N/A</v>
      </c>
      <c r="Z142" s="163">
        <f t="shared" si="16"/>
        <v>0</v>
      </c>
    </row>
    <row r="143" spans="2:26">
      <c r="B143" s="202">
        <v>142</v>
      </c>
      <c r="Q143">
        <f t="shared" si="12"/>
        <v>0</v>
      </c>
      <c r="R143">
        <f t="shared" si="13"/>
        <v>142</v>
      </c>
      <c r="S143">
        <f>IFERROR(SEARCH(Crewlist!$P$5,V143)+ROW()/100000,"")</f>
        <v>1.00143</v>
      </c>
      <c r="T143">
        <f t="shared" si="14"/>
        <v>142</v>
      </c>
      <c r="U143">
        <f t="shared" si="15"/>
        <v>0</v>
      </c>
      <c r="V143" t="str">
        <f t="shared" si="17"/>
        <v xml:space="preserve"> </v>
      </c>
      <c r="Y143" s="162" t="e">
        <f>VLOOKUP(B143,Crewlist!AS:AU,3,FALSE)</f>
        <v>#N/A</v>
      </c>
      <c r="Z143" s="163">
        <f t="shared" si="16"/>
        <v>0</v>
      </c>
    </row>
    <row r="144" spans="2:26">
      <c r="B144" s="171">
        <v>143</v>
      </c>
      <c r="H144" s="173"/>
      <c r="I144" s="174"/>
      <c r="J144" s="174"/>
      <c r="Q144">
        <f t="shared" si="12"/>
        <v>0</v>
      </c>
      <c r="R144">
        <f t="shared" si="13"/>
        <v>143</v>
      </c>
      <c r="S144">
        <f>IFERROR(SEARCH(Crewlist!$P$5,V144)+ROW()/100000,"")</f>
        <v>1.0014400000000001</v>
      </c>
      <c r="T144">
        <f t="shared" si="14"/>
        <v>143</v>
      </c>
      <c r="U144">
        <f t="shared" si="15"/>
        <v>0</v>
      </c>
      <c r="V144" t="str">
        <f t="shared" si="17"/>
        <v xml:space="preserve"> </v>
      </c>
      <c r="Y144" s="162" t="e">
        <f>VLOOKUP(B144,Crewlist!AS:AU,3,FALSE)</f>
        <v>#N/A</v>
      </c>
      <c r="Z144" s="163">
        <f t="shared" si="16"/>
        <v>0</v>
      </c>
    </row>
    <row r="145" spans="2:26">
      <c r="B145" s="171">
        <v>144</v>
      </c>
      <c r="C145" s="169"/>
      <c r="D145" s="169"/>
      <c r="H145" s="173"/>
      <c r="I145" s="174"/>
      <c r="J145" s="174"/>
      <c r="Q145">
        <f t="shared" si="12"/>
        <v>0</v>
      </c>
      <c r="R145">
        <f t="shared" si="13"/>
        <v>144</v>
      </c>
      <c r="S145">
        <f>IFERROR(SEARCH(Crewlist!$P$5,V145)+ROW()/100000,"")</f>
        <v>1.00145</v>
      </c>
      <c r="T145">
        <f t="shared" si="14"/>
        <v>144</v>
      </c>
      <c r="U145">
        <f t="shared" si="15"/>
        <v>0</v>
      </c>
      <c r="V145" t="str">
        <f t="shared" si="17"/>
        <v xml:space="preserve"> </v>
      </c>
      <c r="Y145" s="162" t="e">
        <f>VLOOKUP(B145,Crewlist!AS:AU,3,FALSE)</f>
        <v>#N/A</v>
      </c>
      <c r="Z145" s="163">
        <f t="shared" si="16"/>
        <v>0</v>
      </c>
    </row>
    <row r="146" spans="2:26">
      <c r="B146" s="202">
        <v>145</v>
      </c>
      <c r="C146" s="169"/>
      <c r="D146" s="169"/>
      <c r="E146" s="169"/>
      <c r="F146" s="176"/>
      <c r="H146" s="169"/>
      <c r="I146" s="176"/>
      <c r="J146" s="176"/>
      <c r="K146" s="179"/>
      <c r="L146" s="179"/>
      <c r="Q146">
        <f t="shared" si="12"/>
        <v>0</v>
      </c>
      <c r="R146">
        <f t="shared" si="13"/>
        <v>145</v>
      </c>
      <c r="S146">
        <f>IFERROR(SEARCH(Crewlist!$P$5,V146)+ROW()/100000,"")</f>
        <v>1.00146</v>
      </c>
      <c r="T146">
        <f t="shared" si="14"/>
        <v>145</v>
      </c>
      <c r="U146">
        <f t="shared" si="15"/>
        <v>0</v>
      </c>
      <c r="V146" t="str">
        <f t="shared" si="17"/>
        <v xml:space="preserve"> </v>
      </c>
      <c r="Y146" s="162" t="e">
        <f>VLOOKUP(B146,Crewlist!AS:AU,3,FALSE)</f>
        <v>#N/A</v>
      </c>
      <c r="Z146" s="163">
        <f t="shared" si="16"/>
        <v>0</v>
      </c>
    </row>
    <row r="147" spans="2:26">
      <c r="B147" s="171">
        <v>146</v>
      </c>
      <c r="C147" s="169"/>
      <c r="D147" s="169"/>
      <c r="E147" s="169"/>
      <c r="F147" s="176"/>
      <c r="H147" s="169"/>
      <c r="I147" s="176"/>
      <c r="J147" s="176"/>
      <c r="K147" s="179"/>
      <c r="L147" s="179"/>
      <c r="Q147">
        <f t="shared" si="12"/>
        <v>0</v>
      </c>
      <c r="R147">
        <f t="shared" si="13"/>
        <v>146</v>
      </c>
      <c r="S147">
        <f>IFERROR(SEARCH(Crewlist!$P$5,V147)+ROW()/100000,"")</f>
        <v>1.0014700000000001</v>
      </c>
      <c r="T147">
        <f t="shared" si="14"/>
        <v>146</v>
      </c>
      <c r="U147">
        <f t="shared" si="15"/>
        <v>0</v>
      </c>
      <c r="V147" t="str">
        <f t="shared" si="17"/>
        <v xml:space="preserve"> </v>
      </c>
      <c r="Y147" s="162" t="e">
        <f>VLOOKUP(B147,Crewlist!AS:AU,3,FALSE)</f>
        <v>#N/A</v>
      </c>
      <c r="Z147" s="163">
        <f t="shared" si="16"/>
        <v>0</v>
      </c>
    </row>
    <row r="148" spans="2:26">
      <c r="B148" s="171">
        <v>147</v>
      </c>
      <c r="H148" s="173"/>
      <c r="I148" s="174"/>
      <c r="J148" s="174"/>
      <c r="Q148">
        <f t="shared" si="12"/>
        <v>0</v>
      </c>
      <c r="R148">
        <f t="shared" si="13"/>
        <v>147</v>
      </c>
      <c r="S148">
        <f>IFERROR(SEARCH(Crewlist!$P$5,V148)+ROW()/100000,"")</f>
        <v>1.0014799999999999</v>
      </c>
      <c r="T148">
        <f t="shared" si="14"/>
        <v>147</v>
      </c>
      <c r="U148">
        <f t="shared" si="15"/>
        <v>0</v>
      </c>
      <c r="V148" t="str">
        <f t="shared" si="17"/>
        <v xml:space="preserve"> </v>
      </c>
      <c r="Y148" s="162" t="e">
        <f>VLOOKUP(B148,Crewlist!AS:AU,3,FALSE)</f>
        <v>#N/A</v>
      </c>
      <c r="Z148" s="163">
        <f t="shared" si="16"/>
        <v>0</v>
      </c>
    </row>
    <row r="149" spans="2:26">
      <c r="B149" s="202">
        <v>148</v>
      </c>
      <c r="H149" s="173"/>
      <c r="I149" s="174"/>
      <c r="J149" s="174"/>
      <c r="Q149">
        <f t="shared" si="12"/>
        <v>0</v>
      </c>
      <c r="R149">
        <f t="shared" si="13"/>
        <v>148</v>
      </c>
      <c r="S149">
        <f>IFERROR(SEARCH(Crewlist!$P$5,V149)+ROW()/100000,"")</f>
        <v>1.00149</v>
      </c>
      <c r="T149">
        <f t="shared" si="14"/>
        <v>148</v>
      </c>
      <c r="U149">
        <f t="shared" si="15"/>
        <v>0</v>
      </c>
      <c r="V149" t="str">
        <f t="shared" si="17"/>
        <v xml:space="preserve"> </v>
      </c>
      <c r="Y149" s="162" t="e">
        <f>VLOOKUP(B149,Crewlist!AS:AU,3,FALSE)</f>
        <v>#N/A</v>
      </c>
      <c r="Z149" s="163">
        <f t="shared" si="16"/>
        <v>0</v>
      </c>
    </row>
    <row r="150" spans="2:26">
      <c r="B150" s="171">
        <v>149</v>
      </c>
      <c r="C150" s="169"/>
      <c r="Q150">
        <f t="shared" si="12"/>
        <v>0</v>
      </c>
      <c r="R150">
        <f t="shared" si="13"/>
        <v>149</v>
      </c>
      <c r="S150">
        <f>IFERROR(SEARCH(Crewlist!$P$5,V150)+ROW()/100000,"")</f>
        <v>1.0015000000000001</v>
      </c>
      <c r="T150">
        <f t="shared" si="14"/>
        <v>149</v>
      </c>
      <c r="U150">
        <f t="shared" si="15"/>
        <v>0</v>
      </c>
      <c r="V150" t="str">
        <f t="shared" si="17"/>
        <v xml:space="preserve"> </v>
      </c>
      <c r="Y150" s="162" t="e">
        <f>VLOOKUP(B150,Crewlist!AS:AU,3,FALSE)</f>
        <v>#N/A</v>
      </c>
      <c r="Z150" s="163">
        <f t="shared" si="16"/>
        <v>0</v>
      </c>
    </row>
    <row r="151" spans="2:26">
      <c r="B151" s="171">
        <v>150</v>
      </c>
      <c r="C151" s="169"/>
      <c r="D151" s="169"/>
      <c r="E151" s="169"/>
      <c r="F151" s="176"/>
      <c r="H151" s="169"/>
      <c r="I151" s="176"/>
      <c r="J151" s="176"/>
      <c r="K151" s="179"/>
      <c r="L151" s="179"/>
      <c r="Q151">
        <f t="shared" si="12"/>
        <v>0</v>
      </c>
      <c r="R151">
        <f t="shared" si="13"/>
        <v>150</v>
      </c>
      <c r="S151">
        <f>IFERROR(SEARCH(Crewlist!$P$5,V151)+ROW()/100000,"")</f>
        <v>1.0015099999999999</v>
      </c>
      <c r="T151">
        <f t="shared" si="14"/>
        <v>150</v>
      </c>
      <c r="U151">
        <f t="shared" si="15"/>
        <v>0</v>
      </c>
      <c r="V151" t="str">
        <f t="shared" si="17"/>
        <v xml:space="preserve"> </v>
      </c>
      <c r="Y151" s="162" t="e">
        <f>VLOOKUP(B151,Crewlist!AS:AU,3,FALSE)</f>
        <v>#N/A</v>
      </c>
      <c r="Z151" s="163">
        <f t="shared" si="16"/>
        <v>0</v>
      </c>
    </row>
    <row r="152" spans="2:26">
      <c r="B152" s="202">
        <v>151</v>
      </c>
      <c r="F152" s="183"/>
      <c r="H152" s="173"/>
      <c r="I152" s="176"/>
      <c r="J152" s="176"/>
      <c r="L152" s="183"/>
      <c r="Q152">
        <f t="shared" si="12"/>
        <v>0</v>
      </c>
      <c r="R152">
        <f t="shared" si="13"/>
        <v>151</v>
      </c>
      <c r="S152">
        <f>IFERROR(SEARCH(Crewlist!$P$5,V152)+ROW()/100000,"")</f>
        <v>1.00152</v>
      </c>
      <c r="T152">
        <f t="shared" si="14"/>
        <v>151</v>
      </c>
      <c r="U152">
        <f t="shared" si="15"/>
        <v>0</v>
      </c>
      <c r="V152" t="str">
        <f t="shared" si="17"/>
        <v xml:space="preserve"> </v>
      </c>
      <c r="Y152" s="162" t="e">
        <f>VLOOKUP(B152,Crewlist!AS:AU,3,FALSE)</f>
        <v>#N/A</v>
      </c>
      <c r="Z152" s="163">
        <f t="shared" si="16"/>
        <v>0</v>
      </c>
    </row>
    <row r="153" spans="2:26">
      <c r="B153" s="171">
        <v>152</v>
      </c>
      <c r="E153" s="169"/>
      <c r="H153" s="173"/>
      <c r="I153" s="176"/>
      <c r="J153" s="176"/>
      <c r="K153" s="179"/>
      <c r="L153" s="179"/>
      <c r="Q153">
        <f t="shared" si="12"/>
        <v>0</v>
      </c>
      <c r="R153">
        <f t="shared" si="13"/>
        <v>152</v>
      </c>
      <c r="S153">
        <f>IFERROR(SEARCH(Crewlist!$P$5,V153)+ROW()/100000,"")</f>
        <v>1.00153</v>
      </c>
      <c r="T153">
        <f t="shared" si="14"/>
        <v>152</v>
      </c>
      <c r="U153">
        <f t="shared" si="15"/>
        <v>0</v>
      </c>
      <c r="V153" t="str">
        <f t="shared" si="17"/>
        <v xml:space="preserve"> </v>
      </c>
      <c r="Y153" s="162" t="e">
        <f>VLOOKUP(B153,Crewlist!AS:AU,3,FALSE)</f>
        <v>#N/A</v>
      </c>
      <c r="Z153" s="163">
        <f t="shared" si="16"/>
        <v>0</v>
      </c>
    </row>
    <row r="154" spans="2:26">
      <c r="B154" s="171">
        <v>153</v>
      </c>
      <c r="H154" s="173"/>
      <c r="I154" s="174"/>
      <c r="J154" s="174"/>
      <c r="Q154">
        <f t="shared" si="12"/>
        <v>0</v>
      </c>
      <c r="R154">
        <f t="shared" si="13"/>
        <v>153</v>
      </c>
      <c r="S154">
        <f>IFERROR(SEARCH(Crewlist!$P$5,V154)+ROW()/100000,"")</f>
        <v>1.0015400000000001</v>
      </c>
      <c r="T154">
        <f t="shared" si="14"/>
        <v>153</v>
      </c>
      <c r="U154">
        <f t="shared" si="15"/>
        <v>0</v>
      </c>
      <c r="V154" t="str">
        <f t="shared" si="17"/>
        <v xml:space="preserve"> </v>
      </c>
      <c r="Y154" s="162" t="e">
        <f>VLOOKUP(B154,Crewlist!AS:AU,3,FALSE)</f>
        <v>#N/A</v>
      </c>
      <c r="Z154" s="163">
        <f t="shared" si="16"/>
        <v>0</v>
      </c>
    </row>
    <row r="155" spans="2:26">
      <c r="B155" s="202">
        <v>154</v>
      </c>
      <c r="C155" s="169"/>
      <c r="E155" s="169"/>
      <c r="F155" s="176"/>
      <c r="H155" s="169"/>
      <c r="K155" s="179"/>
      <c r="Q155">
        <f t="shared" si="12"/>
        <v>0</v>
      </c>
      <c r="R155">
        <f t="shared" si="13"/>
        <v>154</v>
      </c>
      <c r="S155">
        <f>IFERROR(SEARCH(Crewlist!$P$5,V155)+ROW()/100000,"")</f>
        <v>1.0015499999999999</v>
      </c>
      <c r="T155">
        <f t="shared" si="14"/>
        <v>154</v>
      </c>
      <c r="U155">
        <f t="shared" si="15"/>
        <v>0</v>
      </c>
      <c r="V155" t="str">
        <f t="shared" si="17"/>
        <v xml:space="preserve"> </v>
      </c>
      <c r="Y155" s="162" t="e">
        <f>VLOOKUP(B155,Crewlist!AS:AU,3,FALSE)</f>
        <v>#N/A</v>
      </c>
      <c r="Z155" s="163">
        <f t="shared" si="16"/>
        <v>0</v>
      </c>
    </row>
    <row r="156" spans="2:26">
      <c r="B156" s="171">
        <v>155</v>
      </c>
      <c r="C156" s="169"/>
      <c r="L156" s="179"/>
      <c r="Q156">
        <f t="shared" si="12"/>
        <v>0</v>
      </c>
      <c r="R156">
        <f t="shared" si="13"/>
        <v>155</v>
      </c>
      <c r="S156">
        <f>IFERROR(SEARCH(Crewlist!$P$5,V156)+ROW()/100000,"")</f>
        <v>1.00156</v>
      </c>
      <c r="T156">
        <f t="shared" si="14"/>
        <v>155</v>
      </c>
      <c r="U156">
        <f t="shared" si="15"/>
        <v>0</v>
      </c>
      <c r="V156" t="str">
        <f t="shared" si="17"/>
        <v xml:space="preserve"> </v>
      </c>
      <c r="Y156" s="162" t="e">
        <f>VLOOKUP(B156,Crewlist!AS:AU,3,FALSE)</f>
        <v>#N/A</v>
      </c>
      <c r="Z156" s="163">
        <f t="shared" si="16"/>
        <v>0</v>
      </c>
    </row>
    <row r="157" spans="2:26">
      <c r="B157" s="171">
        <v>156</v>
      </c>
      <c r="H157" s="173"/>
      <c r="I157" s="174"/>
      <c r="J157" s="174"/>
      <c r="Q157">
        <f t="shared" si="12"/>
        <v>0</v>
      </c>
      <c r="R157">
        <f t="shared" si="13"/>
        <v>156</v>
      </c>
      <c r="S157">
        <f>IFERROR(SEARCH(Crewlist!$P$5,V157)+ROW()/100000,"")</f>
        <v>1.0015700000000001</v>
      </c>
      <c r="T157">
        <f t="shared" si="14"/>
        <v>156</v>
      </c>
      <c r="U157">
        <f t="shared" si="15"/>
        <v>0</v>
      </c>
      <c r="V157" t="str">
        <f t="shared" si="17"/>
        <v xml:space="preserve"> </v>
      </c>
      <c r="Y157" s="162" t="e">
        <f>VLOOKUP(B157,Crewlist!AS:AU,3,FALSE)</f>
        <v>#N/A</v>
      </c>
      <c r="Z157" s="163">
        <f t="shared" si="16"/>
        <v>0</v>
      </c>
    </row>
    <row r="158" spans="2:26">
      <c r="B158" s="202">
        <v>157</v>
      </c>
      <c r="H158" s="173"/>
      <c r="I158" s="174"/>
      <c r="J158" s="174"/>
      <c r="Q158">
        <f t="shared" si="12"/>
        <v>0</v>
      </c>
      <c r="R158">
        <f t="shared" si="13"/>
        <v>157</v>
      </c>
      <c r="S158">
        <f>IFERROR(SEARCH(Crewlist!$P$5,V158)+ROW()/100000,"")</f>
        <v>1.0015799999999999</v>
      </c>
      <c r="T158">
        <f t="shared" si="14"/>
        <v>157</v>
      </c>
      <c r="U158">
        <f t="shared" si="15"/>
        <v>0</v>
      </c>
      <c r="V158" t="str">
        <f t="shared" si="17"/>
        <v xml:space="preserve"> </v>
      </c>
      <c r="Y158" s="162" t="e">
        <f>VLOOKUP(B158,Crewlist!AS:AU,3,FALSE)</f>
        <v>#N/A</v>
      </c>
      <c r="Z158" s="163">
        <f t="shared" si="16"/>
        <v>0</v>
      </c>
    </row>
    <row r="159" spans="2:26">
      <c r="B159" s="171">
        <v>158</v>
      </c>
      <c r="H159" s="173"/>
      <c r="I159" s="174"/>
      <c r="J159" s="174"/>
      <c r="Q159">
        <f t="shared" si="12"/>
        <v>0</v>
      </c>
      <c r="R159">
        <f t="shared" si="13"/>
        <v>158</v>
      </c>
      <c r="S159">
        <f>IFERROR(SEARCH(Crewlist!$P$5,V159)+ROW()/100000,"")</f>
        <v>1.00159</v>
      </c>
      <c r="T159">
        <f t="shared" si="14"/>
        <v>158</v>
      </c>
      <c r="U159">
        <f t="shared" si="15"/>
        <v>0</v>
      </c>
      <c r="V159" t="str">
        <f t="shared" si="17"/>
        <v xml:space="preserve"> </v>
      </c>
      <c r="Y159" s="162" t="e">
        <f>VLOOKUP(B159,Crewlist!AS:AU,3,FALSE)</f>
        <v>#N/A</v>
      </c>
      <c r="Z159" s="163">
        <f t="shared" si="16"/>
        <v>0</v>
      </c>
    </row>
    <row r="160" spans="2:26">
      <c r="B160" s="171">
        <v>159</v>
      </c>
      <c r="C160" s="169"/>
      <c r="F160" s="176"/>
      <c r="H160" s="173"/>
      <c r="I160" s="176"/>
      <c r="J160" s="176"/>
      <c r="K160" s="179"/>
      <c r="L160" s="179"/>
      <c r="Q160">
        <f t="shared" si="12"/>
        <v>0</v>
      </c>
      <c r="R160">
        <f t="shared" si="13"/>
        <v>159</v>
      </c>
      <c r="S160">
        <f>IFERROR(SEARCH(Crewlist!$P$5,V160)+ROW()/100000,"")</f>
        <v>1.0016</v>
      </c>
      <c r="T160">
        <f t="shared" si="14"/>
        <v>159</v>
      </c>
      <c r="U160">
        <f t="shared" si="15"/>
        <v>0</v>
      </c>
      <c r="V160" t="str">
        <f t="shared" si="17"/>
        <v xml:space="preserve"> </v>
      </c>
      <c r="Y160" s="162" t="e">
        <f>VLOOKUP(B160,Crewlist!AS:AU,3,FALSE)</f>
        <v>#N/A</v>
      </c>
      <c r="Z160" s="163">
        <f t="shared" si="16"/>
        <v>0</v>
      </c>
    </row>
    <row r="161" spans="2:26">
      <c r="B161" s="202">
        <v>160</v>
      </c>
      <c r="C161" s="169"/>
      <c r="D161" s="169"/>
      <c r="E161" s="169"/>
      <c r="F161" s="176"/>
      <c r="H161" s="169"/>
      <c r="I161" s="176"/>
      <c r="J161" s="176"/>
      <c r="K161" s="179"/>
      <c r="L161" s="179"/>
      <c r="Q161">
        <f t="shared" si="12"/>
        <v>0</v>
      </c>
      <c r="R161">
        <f t="shared" si="13"/>
        <v>160</v>
      </c>
      <c r="S161">
        <f>IFERROR(SEARCH(Crewlist!$P$5,V161)+ROW()/100000,"")</f>
        <v>1.0016099999999999</v>
      </c>
      <c r="T161">
        <f t="shared" si="14"/>
        <v>160</v>
      </c>
      <c r="U161">
        <f t="shared" si="15"/>
        <v>0</v>
      </c>
      <c r="V161" t="str">
        <f t="shared" si="17"/>
        <v xml:space="preserve"> </v>
      </c>
      <c r="Y161" s="162" t="e">
        <f>VLOOKUP(B161,Crewlist!AS:AU,3,FALSE)</f>
        <v>#N/A</v>
      </c>
      <c r="Z161" s="163">
        <f t="shared" si="16"/>
        <v>0</v>
      </c>
    </row>
    <row r="162" spans="2:26">
      <c r="B162" s="171">
        <v>161</v>
      </c>
      <c r="E162" s="169"/>
      <c r="F162" s="183"/>
      <c r="H162" s="173"/>
      <c r="I162" s="179"/>
      <c r="J162" s="179"/>
      <c r="L162" s="183"/>
      <c r="M162" s="180"/>
      <c r="Q162">
        <f t="shared" si="12"/>
        <v>0</v>
      </c>
      <c r="R162">
        <f t="shared" si="13"/>
        <v>161</v>
      </c>
      <c r="S162">
        <f>IFERROR(SEARCH(Crewlist!$P$5,V162)+ROW()/100000,"")</f>
        <v>1.00162</v>
      </c>
      <c r="T162">
        <f t="shared" si="14"/>
        <v>161</v>
      </c>
      <c r="U162">
        <f t="shared" si="15"/>
        <v>0</v>
      </c>
      <c r="V162" t="str">
        <f t="shared" si="17"/>
        <v xml:space="preserve"> </v>
      </c>
      <c r="Y162" s="162" t="e">
        <f>VLOOKUP(B162,Crewlist!AS:AU,3,FALSE)</f>
        <v>#N/A</v>
      </c>
      <c r="Z162" s="163">
        <f t="shared" si="16"/>
        <v>0</v>
      </c>
    </row>
    <row r="163" spans="2:26">
      <c r="B163" s="171">
        <v>162</v>
      </c>
      <c r="F163" s="183"/>
      <c r="H163" s="173"/>
      <c r="I163" s="174"/>
      <c r="J163" s="174"/>
      <c r="L163" s="183"/>
      <c r="Q163">
        <f t="shared" si="12"/>
        <v>0</v>
      </c>
      <c r="R163">
        <f t="shared" si="13"/>
        <v>162</v>
      </c>
      <c r="S163">
        <f>IFERROR(SEARCH(Crewlist!$P$5,V163)+ROW()/100000,"")</f>
        <v>1.00163</v>
      </c>
      <c r="T163">
        <f t="shared" si="14"/>
        <v>162</v>
      </c>
      <c r="U163">
        <f t="shared" si="15"/>
        <v>0</v>
      </c>
      <c r="V163" t="str">
        <f t="shared" si="17"/>
        <v xml:space="preserve"> </v>
      </c>
      <c r="Y163" s="162" t="e">
        <f>VLOOKUP(B163,Crewlist!AS:AU,3,FALSE)</f>
        <v>#N/A</v>
      </c>
      <c r="Z163" s="163">
        <f t="shared" si="16"/>
        <v>0</v>
      </c>
    </row>
    <row r="164" spans="2:26">
      <c r="B164" s="202">
        <v>163</v>
      </c>
      <c r="C164" s="169"/>
      <c r="Q164">
        <f t="shared" si="12"/>
        <v>0</v>
      </c>
      <c r="R164">
        <f t="shared" si="13"/>
        <v>163</v>
      </c>
      <c r="S164">
        <f>IFERROR(SEARCH(Crewlist!$P$5,V164)+ROW()/100000,"")</f>
        <v>1.0016400000000001</v>
      </c>
      <c r="T164">
        <f t="shared" si="14"/>
        <v>163</v>
      </c>
      <c r="U164">
        <f t="shared" si="15"/>
        <v>0</v>
      </c>
      <c r="V164" t="str">
        <f t="shared" si="17"/>
        <v xml:space="preserve"> </v>
      </c>
      <c r="Y164" s="162" t="e">
        <f>VLOOKUP(B164,Crewlist!AS:AU,3,FALSE)</f>
        <v>#N/A</v>
      </c>
      <c r="Z164" s="163">
        <f t="shared" si="16"/>
        <v>0</v>
      </c>
    </row>
    <row r="165" spans="2:26">
      <c r="B165" s="171">
        <v>164</v>
      </c>
      <c r="C165" s="169"/>
      <c r="D165" s="169"/>
      <c r="E165" s="169"/>
      <c r="F165" s="176"/>
      <c r="H165" s="169"/>
      <c r="I165" s="176"/>
      <c r="J165" s="176"/>
      <c r="K165" s="179"/>
      <c r="L165" s="179"/>
      <c r="Q165">
        <f t="shared" si="12"/>
        <v>0</v>
      </c>
      <c r="R165">
        <f t="shared" si="13"/>
        <v>164</v>
      </c>
      <c r="S165">
        <f>IFERROR(SEARCH(Crewlist!$P$5,V165)+ROW()/100000,"")</f>
        <v>1.0016499999999999</v>
      </c>
      <c r="T165">
        <f t="shared" si="14"/>
        <v>164</v>
      </c>
      <c r="U165">
        <f t="shared" si="15"/>
        <v>0</v>
      </c>
      <c r="V165" t="str">
        <f t="shared" si="17"/>
        <v xml:space="preserve"> </v>
      </c>
      <c r="Y165" s="162" t="e">
        <f>VLOOKUP(B165,Crewlist!AS:AU,3,FALSE)</f>
        <v>#N/A</v>
      </c>
      <c r="Z165" s="163">
        <f t="shared" si="16"/>
        <v>0</v>
      </c>
    </row>
    <row r="166" spans="2:26">
      <c r="B166" s="171">
        <v>165</v>
      </c>
      <c r="H166" s="173"/>
      <c r="I166" s="179"/>
      <c r="J166" s="179"/>
      <c r="K166" s="179"/>
      <c r="L166" s="179"/>
      <c r="Q166">
        <f t="shared" si="12"/>
        <v>0</v>
      </c>
      <c r="R166">
        <f t="shared" si="13"/>
        <v>165</v>
      </c>
      <c r="S166">
        <f>IFERROR(SEARCH(Crewlist!$P$5,V166)+ROW()/100000,"")</f>
        <v>1.00166</v>
      </c>
      <c r="T166">
        <f t="shared" si="14"/>
        <v>165</v>
      </c>
      <c r="U166">
        <f t="shared" si="15"/>
        <v>0</v>
      </c>
      <c r="V166" t="str">
        <f t="shared" si="17"/>
        <v xml:space="preserve"> </v>
      </c>
      <c r="Y166" s="162" t="e">
        <f>VLOOKUP(B166,Crewlist!AS:AU,3,FALSE)</f>
        <v>#N/A</v>
      </c>
      <c r="Z166" s="163">
        <f t="shared" si="16"/>
        <v>0</v>
      </c>
    </row>
    <row r="167" spans="2:26">
      <c r="B167" s="202">
        <v>166</v>
      </c>
      <c r="C167" s="169"/>
      <c r="D167" s="169"/>
      <c r="E167" s="169"/>
      <c r="F167" s="176"/>
      <c r="H167" s="169"/>
      <c r="I167" s="176"/>
      <c r="J167" s="176"/>
      <c r="K167" s="179"/>
      <c r="L167" s="179"/>
      <c r="Q167">
        <f t="shared" si="12"/>
        <v>0</v>
      </c>
      <c r="R167">
        <f t="shared" si="13"/>
        <v>166</v>
      </c>
      <c r="S167">
        <f>IFERROR(SEARCH(Crewlist!$P$5,V167)+ROW()/100000,"")</f>
        <v>1.0016700000000001</v>
      </c>
      <c r="T167">
        <f t="shared" si="14"/>
        <v>166</v>
      </c>
      <c r="U167">
        <f t="shared" si="15"/>
        <v>0</v>
      </c>
      <c r="V167" t="str">
        <f t="shared" si="17"/>
        <v xml:space="preserve"> </v>
      </c>
      <c r="Y167" s="162" t="e">
        <f>VLOOKUP(B167,Crewlist!AS:AU,3,FALSE)</f>
        <v>#N/A</v>
      </c>
      <c r="Z167" s="163">
        <f t="shared" si="16"/>
        <v>0</v>
      </c>
    </row>
    <row r="168" spans="2:26">
      <c r="B168" s="171">
        <v>167</v>
      </c>
      <c r="C168" s="169"/>
      <c r="D168" s="169"/>
      <c r="H168" s="173"/>
      <c r="I168" s="174"/>
      <c r="J168" s="174"/>
      <c r="K168" s="181"/>
      <c r="M168" s="182"/>
      <c r="Q168">
        <f t="shared" si="12"/>
        <v>0</v>
      </c>
      <c r="R168">
        <f t="shared" si="13"/>
        <v>167</v>
      </c>
      <c r="S168">
        <f>IFERROR(SEARCH(Crewlist!$P$5,V168)+ROW()/100000,"")</f>
        <v>1.0016799999999999</v>
      </c>
      <c r="T168">
        <f t="shared" si="14"/>
        <v>167</v>
      </c>
      <c r="U168">
        <f t="shared" si="15"/>
        <v>0</v>
      </c>
      <c r="V168" t="str">
        <f t="shared" si="17"/>
        <v xml:space="preserve"> </v>
      </c>
      <c r="Y168" s="162" t="e">
        <f>VLOOKUP(B168,Crewlist!AS:AU,3,FALSE)</f>
        <v>#N/A</v>
      </c>
      <c r="Z168" s="163">
        <f t="shared" si="16"/>
        <v>0</v>
      </c>
    </row>
    <row r="169" spans="2:26">
      <c r="B169" s="171">
        <v>168</v>
      </c>
      <c r="C169" s="169"/>
      <c r="D169" s="169"/>
      <c r="E169" s="169"/>
      <c r="F169" s="176"/>
      <c r="H169" s="169"/>
      <c r="I169" s="176"/>
      <c r="J169" s="176"/>
      <c r="K169" s="179"/>
      <c r="L169" s="179"/>
      <c r="Q169">
        <f t="shared" si="12"/>
        <v>0</v>
      </c>
      <c r="R169">
        <f t="shared" si="13"/>
        <v>168</v>
      </c>
      <c r="S169">
        <f>IFERROR(SEARCH(Crewlist!$P$5,V169)+ROW()/100000,"")</f>
        <v>1.00169</v>
      </c>
      <c r="T169">
        <f t="shared" si="14"/>
        <v>168</v>
      </c>
      <c r="U169">
        <f t="shared" si="15"/>
        <v>0</v>
      </c>
      <c r="V169" t="str">
        <f t="shared" si="17"/>
        <v xml:space="preserve"> </v>
      </c>
      <c r="Y169" s="162" t="e">
        <f>VLOOKUP(B169,Crewlist!AS:AU,3,FALSE)</f>
        <v>#N/A</v>
      </c>
      <c r="Z169" s="163">
        <f t="shared" si="16"/>
        <v>0</v>
      </c>
    </row>
    <row r="170" spans="2:26">
      <c r="B170" s="202">
        <v>169</v>
      </c>
      <c r="H170" s="173"/>
      <c r="I170" s="174"/>
      <c r="J170" s="174"/>
      <c r="Q170">
        <f t="shared" si="12"/>
        <v>0</v>
      </c>
      <c r="R170">
        <f t="shared" si="13"/>
        <v>169</v>
      </c>
      <c r="S170">
        <f>IFERROR(SEARCH(Crewlist!$P$5,V170)+ROW()/100000,"")</f>
        <v>1.0017</v>
      </c>
      <c r="T170">
        <f t="shared" si="14"/>
        <v>169</v>
      </c>
      <c r="U170">
        <f t="shared" si="15"/>
        <v>0</v>
      </c>
      <c r="V170" t="str">
        <f t="shared" si="17"/>
        <v xml:space="preserve"> </v>
      </c>
      <c r="Y170" s="162" t="e">
        <f>VLOOKUP(B170,Crewlist!AS:AU,3,FALSE)</f>
        <v>#N/A</v>
      </c>
      <c r="Z170" s="163">
        <f t="shared" si="16"/>
        <v>0</v>
      </c>
    </row>
    <row r="171" spans="2:26">
      <c r="B171" s="171">
        <v>170</v>
      </c>
      <c r="H171" s="173"/>
      <c r="I171" s="174"/>
      <c r="J171" s="174"/>
      <c r="Q171">
        <f t="shared" si="12"/>
        <v>0</v>
      </c>
      <c r="R171">
        <f t="shared" si="13"/>
        <v>170</v>
      </c>
      <c r="S171">
        <f>IFERROR(SEARCH(Crewlist!$P$5,V171)+ROW()/100000,"")</f>
        <v>1.0017100000000001</v>
      </c>
      <c r="T171">
        <f t="shared" si="14"/>
        <v>170</v>
      </c>
      <c r="U171">
        <f t="shared" si="15"/>
        <v>0</v>
      </c>
      <c r="V171" t="str">
        <f t="shared" si="17"/>
        <v xml:space="preserve"> </v>
      </c>
      <c r="Y171" s="162" t="e">
        <f>VLOOKUP(B171,Crewlist!AS:AU,3,FALSE)</f>
        <v>#N/A</v>
      </c>
      <c r="Z171" s="163">
        <f t="shared" si="16"/>
        <v>0</v>
      </c>
    </row>
    <row r="172" spans="2:26">
      <c r="B172" s="171">
        <v>171</v>
      </c>
      <c r="H172" s="173"/>
      <c r="I172" s="174"/>
      <c r="J172" s="174"/>
      <c r="Q172">
        <f t="shared" si="12"/>
        <v>0</v>
      </c>
      <c r="R172">
        <f t="shared" si="13"/>
        <v>171</v>
      </c>
      <c r="S172">
        <f>IFERROR(SEARCH(Crewlist!$P$5,V172)+ROW()/100000,"")</f>
        <v>1.0017199999999999</v>
      </c>
      <c r="T172">
        <f t="shared" si="14"/>
        <v>171</v>
      </c>
      <c r="U172">
        <f t="shared" si="15"/>
        <v>0</v>
      </c>
      <c r="V172" t="str">
        <f t="shared" si="17"/>
        <v xml:space="preserve"> </v>
      </c>
      <c r="Y172" s="162" t="e">
        <f>VLOOKUP(B172,Crewlist!AS:AU,3,FALSE)</f>
        <v>#N/A</v>
      </c>
      <c r="Z172" s="163">
        <f t="shared" si="16"/>
        <v>0</v>
      </c>
    </row>
    <row r="173" spans="2:26">
      <c r="B173" s="202">
        <v>172</v>
      </c>
      <c r="H173" s="173"/>
      <c r="I173" s="174"/>
      <c r="J173" s="174"/>
      <c r="Q173">
        <f t="shared" si="12"/>
        <v>0</v>
      </c>
      <c r="R173">
        <f t="shared" si="13"/>
        <v>172</v>
      </c>
      <c r="S173">
        <f>IFERROR(SEARCH(Crewlist!$P$5,V173)+ROW()/100000,"")</f>
        <v>1.00173</v>
      </c>
      <c r="T173">
        <f t="shared" si="14"/>
        <v>172</v>
      </c>
      <c r="U173">
        <f t="shared" si="15"/>
        <v>0</v>
      </c>
      <c r="V173" t="str">
        <f t="shared" si="17"/>
        <v xml:space="preserve"> </v>
      </c>
      <c r="Y173" s="162" t="e">
        <f>VLOOKUP(B173,Crewlist!AS:AU,3,FALSE)</f>
        <v>#N/A</v>
      </c>
      <c r="Z173" s="163">
        <f t="shared" si="16"/>
        <v>0</v>
      </c>
    </row>
    <row r="174" spans="2:26">
      <c r="B174" s="171">
        <v>173</v>
      </c>
      <c r="C174" s="169"/>
      <c r="D174" s="169"/>
      <c r="E174" s="169"/>
      <c r="F174" s="176"/>
      <c r="I174" s="176"/>
      <c r="J174" s="176"/>
      <c r="K174" s="179"/>
      <c r="L174" s="179"/>
      <c r="Q174">
        <f t="shared" si="12"/>
        <v>0</v>
      </c>
      <c r="R174">
        <f t="shared" si="13"/>
        <v>173</v>
      </c>
      <c r="S174">
        <f>IFERROR(SEARCH(Crewlist!$P$5,V174)+ROW()/100000,"")</f>
        <v>1.0017400000000001</v>
      </c>
      <c r="T174">
        <f t="shared" si="14"/>
        <v>173</v>
      </c>
      <c r="U174">
        <f t="shared" si="15"/>
        <v>0</v>
      </c>
      <c r="V174" t="str">
        <f t="shared" si="17"/>
        <v xml:space="preserve"> </v>
      </c>
      <c r="Y174" s="162" t="e">
        <f>VLOOKUP(B174,Crewlist!AS:AU,3,FALSE)</f>
        <v>#N/A</v>
      </c>
      <c r="Z174" s="163">
        <f t="shared" si="16"/>
        <v>0</v>
      </c>
    </row>
    <row r="175" spans="2:26">
      <c r="B175" s="171">
        <v>174</v>
      </c>
      <c r="H175" s="173"/>
      <c r="I175" s="174"/>
      <c r="J175" s="174"/>
      <c r="Q175">
        <f t="shared" si="12"/>
        <v>0</v>
      </c>
      <c r="R175">
        <f t="shared" si="13"/>
        <v>174</v>
      </c>
      <c r="S175">
        <f>IFERROR(SEARCH(Crewlist!$P$5,V175)+ROW()/100000,"")</f>
        <v>1.0017499999999999</v>
      </c>
      <c r="T175">
        <f t="shared" si="14"/>
        <v>174</v>
      </c>
      <c r="U175">
        <f t="shared" si="15"/>
        <v>0</v>
      </c>
      <c r="V175" t="str">
        <f t="shared" si="17"/>
        <v xml:space="preserve"> </v>
      </c>
      <c r="Y175" s="162" t="e">
        <f>VLOOKUP(B175,Crewlist!AS:AU,3,FALSE)</f>
        <v>#N/A</v>
      </c>
      <c r="Z175" s="163">
        <f t="shared" si="16"/>
        <v>0</v>
      </c>
    </row>
    <row r="176" spans="2:26">
      <c r="B176" s="202">
        <v>175</v>
      </c>
      <c r="C176" s="169"/>
      <c r="Q176">
        <f t="shared" si="12"/>
        <v>0</v>
      </c>
      <c r="R176">
        <f t="shared" si="13"/>
        <v>175</v>
      </c>
      <c r="S176">
        <f>IFERROR(SEARCH(Crewlist!$P$5,V176)+ROW()/100000,"")</f>
        <v>1.00176</v>
      </c>
      <c r="T176">
        <f t="shared" si="14"/>
        <v>175</v>
      </c>
      <c r="U176">
        <f t="shared" si="15"/>
        <v>0</v>
      </c>
      <c r="V176" t="str">
        <f t="shared" si="17"/>
        <v xml:space="preserve"> </v>
      </c>
      <c r="Y176" s="162" t="e">
        <f>VLOOKUP(B176,Crewlist!AS:AU,3,FALSE)</f>
        <v>#N/A</v>
      </c>
      <c r="Z176" s="163">
        <f t="shared" si="16"/>
        <v>0</v>
      </c>
    </row>
    <row r="177" spans="2:26">
      <c r="B177" s="171">
        <v>176</v>
      </c>
      <c r="H177" s="173"/>
      <c r="I177" s="179"/>
      <c r="J177" s="179"/>
      <c r="Q177">
        <f t="shared" si="12"/>
        <v>0</v>
      </c>
      <c r="R177">
        <f t="shared" si="13"/>
        <v>176</v>
      </c>
      <c r="S177">
        <f>IFERROR(SEARCH(Crewlist!$P$5,V177)+ROW()/100000,"")</f>
        <v>1.00177</v>
      </c>
      <c r="T177">
        <f t="shared" si="14"/>
        <v>176</v>
      </c>
      <c r="U177">
        <f t="shared" si="15"/>
        <v>0</v>
      </c>
      <c r="V177" t="str">
        <f t="shared" si="17"/>
        <v xml:space="preserve"> </v>
      </c>
      <c r="Y177" s="162" t="e">
        <f>VLOOKUP(B177,Crewlist!AS:AU,3,FALSE)</f>
        <v>#N/A</v>
      </c>
      <c r="Z177" s="163">
        <f t="shared" si="16"/>
        <v>0</v>
      </c>
    </row>
    <row r="178" spans="2:26">
      <c r="B178" s="171">
        <v>177</v>
      </c>
      <c r="H178" s="173"/>
      <c r="I178" s="174"/>
      <c r="J178" s="174"/>
      <c r="Q178">
        <f t="shared" si="12"/>
        <v>0</v>
      </c>
      <c r="R178">
        <f t="shared" si="13"/>
        <v>177</v>
      </c>
      <c r="S178">
        <f>IFERROR(SEARCH(Crewlist!$P$5,V178)+ROW()/100000,"")</f>
        <v>1.0017799999999999</v>
      </c>
      <c r="T178">
        <f t="shared" si="14"/>
        <v>177</v>
      </c>
      <c r="U178">
        <f t="shared" si="15"/>
        <v>0</v>
      </c>
      <c r="V178" t="str">
        <f t="shared" si="17"/>
        <v xml:space="preserve"> </v>
      </c>
      <c r="Y178" s="162" t="e">
        <f>VLOOKUP(B178,Crewlist!AS:AU,3,FALSE)</f>
        <v>#N/A</v>
      </c>
      <c r="Z178" s="163">
        <f t="shared" si="16"/>
        <v>0</v>
      </c>
    </row>
    <row r="179" spans="2:26">
      <c r="B179" s="202">
        <v>178</v>
      </c>
      <c r="C179" s="169"/>
      <c r="Q179">
        <f t="shared" si="12"/>
        <v>0</v>
      </c>
      <c r="R179">
        <f t="shared" si="13"/>
        <v>178</v>
      </c>
      <c r="S179">
        <f>IFERROR(SEARCH(Crewlist!$P$5,V179)+ROW()/100000,"")</f>
        <v>1.00179</v>
      </c>
      <c r="T179">
        <f t="shared" si="14"/>
        <v>178</v>
      </c>
      <c r="U179">
        <f t="shared" si="15"/>
        <v>0</v>
      </c>
      <c r="V179" t="str">
        <f t="shared" si="17"/>
        <v xml:space="preserve"> </v>
      </c>
      <c r="Y179" s="162" t="e">
        <f>VLOOKUP(B179,Crewlist!AS:AU,3,FALSE)</f>
        <v>#N/A</v>
      </c>
      <c r="Z179" s="163">
        <f t="shared" si="16"/>
        <v>0</v>
      </c>
    </row>
    <row r="180" spans="2:26">
      <c r="B180" s="171">
        <v>179</v>
      </c>
      <c r="H180" s="173"/>
      <c r="I180" s="174"/>
      <c r="J180" s="174"/>
      <c r="Q180">
        <f t="shared" si="12"/>
        <v>0</v>
      </c>
      <c r="R180">
        <f t="shared" si="13"/>
        <v>179</v>
      </c>
      <c r="S180">
        <f>IFERROR(SEARCH(Crewlist!$P$5,V180)+ROW()/100000,"")</f>
        <v>1.0018</v>
      </c>
      <c r="T180">
        <f t="shared" si="14"/>
        <v>179</v>
      </c>
      <c r="U180">
        <f t="shared" si="15"/>
        <v>0</v>
      </c>
      <c r="V180" t="str">
        <f t="shared" si="17"/>
        <v xml:space="preserve"> </v>
      </c>
      <c r="Y180" s="162" t="e">
        <f>VLOOKUP(B180,Crewlist!AS:AU,3,FALSE)</f>
        <v>#N/A</v>
      </c>
      <c r="Z180" s="163">
        <f t="shared" si="16"/>
        <v>0</v>
      </c>
    </row>
    <row r="181" spans="2:26">
      <c r="B181" s="171">
        <v>180</v>
      </c>
      <c r="C181" s="169"/>
      <c r="D181" s="169"/>
      <c r="E181" s="169"/>
      <c r="G181" s="177"/>
      <c r="H181" s="178"/>
      <c r="I181" s="179"/>
      <c r="J181" s="179"/>
      <c r="K181" s="184"/>
      <c r="M181" s="185"/>
      <c r="Q181">
        <f t="shared" si="12"/>
        <v>0</v>
      </c>
      <c r="R181">
        <f t="shared" si="13"/>
        <v>180</v>
      </c>
      <c r="S181">
        <f>IFERROR(SEARCH(Crewlist!$P$5,V181)+ROW()/100000,"")</f>
        <v>1.0018100000000001</v>
      </c>
      <c r="T181">
        <f t="shared" si="14"/>
        <v>180</v>
      </c>
      <c r="U181">
        <f t="shared" si="15"/>
        <v>0</v>
      </c>
      <c r="V181" t="str">
        <f t="shared" si="17"/>
        <v xml:space="preserve"> </v>
      </c>
      <c r="Y181" s="162" t="e">
        <f>VLOOKUP(B181,Crewlist!AS:AU,3,FALSE)</f>
        <v>#N/A</v>
      </c>
      <c r="Z181" s="163">
        <f t="shared" si="16"/>
        <v>0</v>
      </c>
    </row>
    <row r="182" spans="2:26">
      <c r="B182" s="202">
        <v>181</v>
      </c>
      <c r="C182" s="169"/>
      <c r="D182" s="169"/>
      <c r="E182" s="169"/>
      <c r="F182" s="176"/>
      <c r="H182" s="169"/>
      <c r="I182" s="176"/>
      <c r="J182" s="176"/>
      <c r="K182" s="179"/>
      <c r="L182" s="179"/>
      <c r="Q182">
        <f t="shared" si="12"/>
        <v>0</v>
      </c>
      <c r="R182">
        <f t="shared" si="13"/>
        <v>181</v>
      </c>
      <c r="S182">
        <f>IFERROR(SEARCH(Crewlist!$P$5,V182)+ROW()/100000,"")</f>
        <v>1.0018199999999999</v>
      </c>
      <c r="T182">
        <f t="shared" si="14"/>
        <v>181</v>
      </c>
      <c r="U182">
        <f t="shared" si="15"/>
        <v>0</v>
      </c>
      <c r="V182" t="str">
        <f t="shared" si="17"/>
        <v xml:space="preserve"> </v>
      </c>
      <c r="Y182" s="162" t="e">
        <f>VLOOKUP(B182,Crewlist!AS:AU,3,FALSE)</f>
        <v>#N/A</v>
      </c>
      <c r="Z182" s="163">
        <f t="shared" si="16"/>
        <v>0</v>
      </c>
    </row>
    <row r="183" spans="2:26">
      <c r="B183" s="171">
        <v>182</v>
      </c>
      <c r="E183" s="169"/>
      <c r="F183" s="176"/>
      <c r="H183" s="169"/>
      <c r="I183" s="176"/>
      <c r="J183" s="176"/>
      <c r="K183" s="179"/>
      <c r="M183" s="180"/>
      <c r="Q183">
        <f t="shared" si="12"/>
        <v>0</v>
      </c>
      <c r="R183">
        <f t="shared" si="13"/>
        <v>182</v>
      </c>
      <c r="S183">
        <f>IFERROR(SEARCH(Crewlist!$P$5,V183)+ROW()/100000,"")</f>
        <v>1.00183</v>
      </c>
      <c r="T183">
        <f t="shared" si="14"/>
        <v>182</v>
      </c>
      <c r="U183">
        <f t="shared" si="15"/>
        <v>0</v>
      </c>
      <c r="V183" t="str">
        <f t="shared" si="17"/>
        <v xml:space="preserve"> </v>
      </c>
      <c r="Y183" s="162" t="e">
        <f>VLOOKUP(B183,Crewlist!AS:AU,3,FALSE)</f>
        <v>#N/A</v>
      </c>
      <c r="Z183" s="163">
        <f t="shared" si="16"/>
        <v>0</v>
      </c>
    </row>
    <row r="184" spans="2:26">
      <c r="B184" s="171">
        <v>183</v>
      </c>
      <c r="H184" s="173"/>
      <c r="I184" s="174"/>
      <c r="J184" s="174"/>
      <c r="Q184">
        <f t="shared" si="12"/>
        <v>0</v>
      </c>
      <c r="R184">
        <f t="shared" si="13"/>
        <v>183</v>
      </c>
      <c r="S184">
        <f>IFERROR(SEARCH(Crewlist!$P$5,V184)+ROW()/100000,"")</f>
        <v>1.0018400000000001</v>
      </c>
      <c r="T184">
        <f t="shared" si="14"/>
        <v>183</v>
      </c>
      <c r="U184">
        <f t="shared" si="15"/>
        <v>0</v>
      </c>
      <c r="V184" t="str">
        <f t="shared" si="17"/>
        <v xml:space="preserve"> </v>
      </c>
      <c r="Y184" s="162" t="e">
        <f>VLOOKUP(B184,Crewlist!AS:AU,3,FALSE)</f>
        <v>#N/A</v>
      </c>
      <c r="Z184" s="163">
        <f t="shared" si="16"/>
        <v>0</v>
      </c>
    </row>
    <row r="185" spans="2:26">
      <c r="B185" s="202">
        <v>184</v>
      </c>
      <c r="H185" s="173"/>
      <c r="I185" s="174"/>
      <c r="J185" s="174"/>
      <c r="Q185">
        <f t="shared" si="12"/>
        <v>0</v>
      </c>
      <c r="R185">
        <f t="shared" si="13"/>
        <v>184</v>
      </c>
      <c r="S185">
        <f>IFERROR(SEARCH(Crewlist!$P$5,V185)+ROW()/100000,"")</f>
        <v>1.0018499999999999</v>
      </c>
      <c r="T185">
        <f t="shared" si="14"/>
        <v>184</v>
      </c>
      <c r="U185">
        <f t="shared" si="15"/>
        <v>0</v>
      </c>
      <c r="V185" t="str">
        <f t="shared" si="17"/>
        <v xml:space="preserve"> </v>
      </c>
      <c r="Y185" s="162" t="e">
        <f>VLOOKUP(B185,Crewlist!AS:AU,3,FALSE)</f>
        <v>#N/A</v>
      </c>
      <c r="Z185" s="163">
        <f t="shared" si="16"/>
        <v>0</v>
      </c>
    </row>
    <row r="186" spans="2:26">
      <c r="B186" s="171">
        <v>185</v>
      </c>
      <c r="H186" s="173"/>
      <c r="I186" s="174"/>
      <c r="J186" s="174"/>
      <c r="Q186">
        <f t="shared" si="12"/>
        <v>0</v>
      </c>
      <c r="R186">
        <f t="shared" si="13"/>
        <v>185</v>
      </c>
      <c r="S186">
        <f>IFERROR(SEARCH(Crewlist!$P$5,V186)+ROW()/100000,"")</f>
        <v>1.00186</v>
      </c>
      <c r="T186">
        <f t="shared" si="14"/>
        <v>185</v>
      </c>
      <c r="U186">
        <f t="shared" si="15"/>
        <v>0</v>
      </c>
      <c r="V186" t="str">
        <f t="shared" si="17"/>
        <v xml:space="preserve"> </v>
      </c>
      <c r="Y186" s="162" t="e">
        <f>VLOOKUP(B186,Crewlist!AS:AU,3,FALSE)</f>
        <v>#N/A</v>
      </c>
      <c r="Z186" s="163">
        <f t="shared" si="16"/>
        <v>0</v>
      </c>
    </row>
    <row r="187" spans="2:26">
      <c r="B187" s="171">
        <v>186</v>
      </c>
      <c r="C187" s="169"/>
      <c r="D187" s="169"/>
      <c r="E187" s="169"/>
      <c r="F187" s="176"/>
      <c r="H187" s="169"/>
      <c r="I187" s="176"/>
      <c r="J187" s="176"/>
      <c r="L187" s="179"/>
      <c r="Q187">
        <f t="shared" si="12"/>
        <v>0</v>
      </c>
      <c r="R187">
        <f t="shared" si="13"/>
        <v>186</v>
      </c>
      <c r="S187">
        <f>IFERROR(SEARCH(Crewlist!$P$5,V187)+ROW()/100000,"")</f>
        <v>1.00187</v>
      </c>
      <c r="T187">
        <f t="shared" si="14"/>
        <v>186</v>
      </c>
      <c r="U187">
        <f t="shared" si="15"/>
        <v>0</v>
      </c>
      <c r="V187" t="str">
        <f t="shared" si="17"/>
        <v xml:space="preserve"> </v>
      </c>
      <c r="Y187" s="162" t="e">
        <f>VLOOKUP(B187,Crewlist!AS:AU,3,FALSE)</f>
        <v>#N/A</v>
      </c>
      <c r="Z187" s="163">
        <f t="shared" si="16"/>
        <v>0</v>
      </c>
    </row>
    <row r="188" spans="2:26">
      <c r="B188" s="202">
        <v>187</v>
      </c>
      <c r="E188" s="169"/>
      <c r="F188" s="176"/>
      <c r="H188" s="173"/>
      <c r="I188" s="176"/>
      <c r="J188" s="176"/>
      <c r="K188" s="179"/>
      <c r="L188" s="179"/>
      <c r="Q188">
        <f t="shared" si="12"/>
        <v>0</v>
      </c>
      <c r="R188">
        <f t="shared" si="13"/>
        <v>187</v>
      </c>
      <c r="S188">
        <f>IFERROR(SEARCH(Crewlist!$P$5,V188)+ROW()/100000,"")</f>
        <v>1.0018800000000001</v>
      </c>
      <c r="T188">
        <f t="shared" si="14"/>
        <v>187</v>
      </c>
      <c r="U188">
        <f t="shared" si="15"/>
        <v>0</v>
      </c>
      <c r="V188" t="str">
        <f t="shared" si="17"/>
        <v xml:space="preserve"> </v>
      </c>
      <c r="Y188" s="162" t="e">
        <f>VLOOKUP(B188,Crewlist!AS:AU,3,FALSE)</f>
        <v>#N/A</v>
      </c>
      <c r="Z188" s="163">
        <f t="shared" si="16"/>
        <v>0</v>
      </c>
    </row>
    <row r="189" spans="2:26">
      <c r="B189" s="171">
        <v>188</v>
      </c>
      <c r="C189" s="169"/>
      <c r="D189" s="169"/>
      <c r="G189" s="177"/>
      <c r="H189" s="178"/>
      <c r="I189" s="179"/>
      <c r="J189" s="179"/>
      <c r="Q189">
        <f t="shared" si="12"/>
        <v>0</v>
      </c>
      <c r="R189">
        <f t="shared" si="13"/>
        <v>188</v>
      </c>
      <c r="S189">
        <f>IFERROR(SEARCH(Crewlist!$P$5,V189)+ROW()/100000,"")</f>
        <v>1.0018899999999999</v>
      </c>
      <c r="T189">
        <f t="shared" si="14"/>
        <v>188</v>
      </c>
      <c r="U189">
        <f t="shared" si="15"/>
        <v>0</v>
      </c>
      <c r="V189" t="str">
        <f t="shared" si="17"/>
        <v xml:space="preserve"> </v>
      </c>
      <c r="Y189" s="162" t="e">
        <f>VLOOKUP(B189,Crewlist!AS:AU,3,FALSE)</f>
        <v>#N/A</v>
      </c>
      <c r="Z189" s="163">
        <f t="shared" si="16"/>
        <v>0</v>
      </c>
    </row>
    <row r="190" spans="2:26">
      <c r="B190" s="171">
        <v>189</v>
      </c>
      <c r="H190" s="173"/>
      <c r="I190" s="174"/>
      <c r="J190" s="174"/>
      <c r="Q190">
        <f t="shared" si="12"/>
        <v>0</v>
      </c>
      <c r="R190">
        <f t="shared" si="13"/>
        <v>189</v>
      </c>
      <c r="S190">
        <f>IFERROR(SEARCH(Crewlist!$P$5,V190)+ROW()/100000,"")</f>
        <v>1.0019</v>
      </c>
      <c r="T190">
        <f t="shared" si="14"/>
        <v>189</v>
      </c>
      <c r="U190">
        <f t="shared" si="15"/>
        <v>0</v>
      </c>
      <c r="V190" t="str">
        <f t="shared" si="17"/>
        <v xml:space="preserve"> </v>
      </c>
      <c r="Y190" s="162" t="e">
        <f>VLOOKUP(B190,Crewlist!AS:AU,3,FALSE)</f>
        <v>#N/A</v>
      </c>
      <c r="Z190" s="163">
        <f t="shared" si="16"/>
        <v>0</v>
      </c>
    </row>
    <row r="191" spans="2:26">
      <c r="B191" s="202">
        <v>190</v>
      </c>
      <c r="E191" s="169"/>
      <c r="H191" s="173"/>
      <c r="I191" s="179"/>
      <c r="J191" s="179"/>
      <c r="Q191">
        <f t="shared" si="12"/>
        <v>0</v>
      </c>
      <c r="R191">
        <f t="shared" si="13"/>
        <v>190</v>
      </c>
      <c r="S191">
        <f>IFERROR(SEARCH(Crewlist!$P$5,V191)+ROW()/100000,"")</f>
        <v>1.0019100000000001</v>
      </c>
      <c r="T191">
        <f t="shared" si="14"/>
        <v>190</v>
      </c>
      <c r="U191">
        <f t="shared" si="15"/>
        <v>0</v>
      </c>
      <c r="V191" t="str">
        <f t="shared" si="17"/>
        <v xml:space="preserve"> </v>
      </c>
      <c r="Y191" s="162" t="e">
        <f>VLOOKUP(B191,Crewlist!AS:AU,3,FALSE)</f>
        <v>#N/A</v>
      </c>
      <c r="Z191" s="163">
        <f t="shared" si="16"/>
        <v>0</v>
      </c>
    </row>
    <row r="192" spans="2:26">
      <c r="B192" s="171">
        <v>191</v>
      </c>
      <c r="H192" s="173"/>
      <c r="I192" s="174"/>
      <c r="J192" s="174"/>
      <c r="Q192">
        <f t="shared" si="12"/>
        <v>0</v>
      </c>
      <c r="R192">
        <f t="shared" si="13"/>
        <v>191</v>
      </c>
      <c r="S192">
        <f>IFERROR(SEARCH(Crewlist!$P$5,V192)+ROW()/100000,"")</f>
        <v>1.0019199999999999</v>
      </c>
      <c r="T192">
        <f t="shared" si="14"/>
        <v>191</v>
      </c>
      <c r="U192">
        <f t="shared" si="15"/>
        <v>0</v>
      </c>
      <c r="V192" t="str">
        <f t="shared" si="17"/>
        <v xml:space="preserve"> </v>
      </c>
      <c r="Y192" s="162" t="e">
        <f>VLOOKUP(B192,Crewlist!AS:AU,3,FALSE)</f>
        <v>#N/A</v>
      </c>
      <c r="Z192" s="163">
        <f t="shared" si="16"/>
        <v>0</v>
      </c>
    </row>
    <row r="193" spans="2:26">
      <c r="B193" s="171">
        <v>192</v>
      </c>
      <c r="K193" s="179"/>
      <c r="Q193">
        <f t="shared" ref="Q193:Q256" si="18">IF(C193&lt;&gt; "",B193,0)</f>
        <v>0</v>
      </c>
      <c r="R193">
        <f t="shared" si="13"/>
        <v>192</v>
      </c>
      <c r="S193">
        <f>IFERROR(SEARCH(Crewlist!$P$5,V193)+ROW()/100000,"")</f>
        <v>1.00193</v>
      </c>
      <c r="T193">
        <f t="shared" si="14"/>
        <v>192</v>
      </c>
      <c r="U193">
        <f t="shared" si="15"/>
        <v>0</v>
      </c>
      <c r="V193" t="str">
        <f t="shared" si="17"/>
        <v xml:space="preserve"> </v>
      </c>
      <c r="Y193" s="162" t="e">
        <f>VLOOKUP(B193,Crewlist!AS:AU,3,FALSE)</f>
        <v>#N/A</v>
      </c>
      <c r="Z193" s="163">
        <f t="shared" si="16"/>
        <v>0</v>
      </c>
    </row>
    <row r="194" spans="2:26">
      <c r="B194" s="202">
        <v>193</v>
      </c>
      <c r="H194" s="173"/>
      <c r="I194" s="174"/>
      <c r="J194" s="174"/>
      <c r="L194" s="179"/>
      <c r="Q194">
        <f t="shared" si="18"/>
        <v>0</v>
      </c>
      <c r="R194">
        <f t="shared" ref="R194:R257" si="19">IFERROR(RANK(S194,$S$2:$S$1998,1),"")</f>
        <v>193</v>
      </c>
      <c r="S194">
        <f>IFERROR(SEARCH(Crewlist!$P$5,V194)+ROW()/100000,"")</f>
        <v>1.0019400000000001</v>
      </c>
      <c r="T194">
        <f t="shared" ref="T194:T257" si="20">B194</f>
        <v>193</v>
      </c>
      <c r="U194">
        <f t="shared" ref="U194:U257" si="21">C194</f>
        <v>0</v>
      </c>
      <c r="V194" t="str">
        <f t="shared" si="17"/>
        <v xml:space="preserve"> </v>
      </c>
      <c r="Y194" s="162" t="e">
        <f>VLOOKUP(B194,Crewlist!AS:AU,3,FALSE)</f>
        <v>#N/A</v>
      </c>
      <c r="Z194" s="163">
        <f t="shared" ref="Z194:Z257" si="22">IF(ISNUMBER(SEARCH("",Y194)),Y194,N194)</f>
        <v>0</v>
      </c>
    </row>
    <row r="195" spans="2:26">
      <c r="B195" s="171">
        <v>194</v>
      </c>
      <c r="C195" s="169"/>
      <c r="Q195">
        <f t="shared" si="18"/>
        <v>0</v>
      </c>
      <c r="R195">
        <f t="shared" si="19"/>
        <v>194</v>
      </c>
      <c r="S195">
        <f>IFERROR(SEARCH(Crewlist!$P$5,V195)+ROW()/100000,"")</f>
        <v>1.0019499999999999</v>
      </c>
      <c r="T195">
        <f t="shared" si="20"/>
        <v>194</v>
      </c>
      <c r="U195">
        <f t="shared" si="21"/>
        <v>0</v>
      </c>
      <c r="V195" t="str">
        <f t="shared" ref="V195:V258" si="23">CONCATENATE(C195," ",D195)</f>
        <v xml:space="preserve"> </v>
      </c>
      <c r="Y195" s="162" t="e">
        <f>VLOOKUP(B195,Crewlist!AS:AU,3,FALSE)</f>
        <v>#N/A</v>
      </c>
      <c r="Z195" s="163">
        <f t="shared" si="22"/>
        <v>0</v>
      </c>
    </row>
    <row r="196" spans="2:26">
      <c r="B196" s="171">
        <v>195</v>
      </c>
      <c r="H196" s="173"/>
      <c r="I196" s="174"/>
      <c r="J196" s="174"/>
      <c r="Q196">
        <f t="shared" si="18"/>
        <v>0</v>
      </c>
      <c r="R196">
        <f t="shared" si="19"/>
        <v>195</v>
      </c>
      <c r="S196">
        <f>IFERROR(SEARCH(Crewlist!$P$5,V196)+ROW()/100000,"")</f>
        <v>1.00196</v>
      </c>
      <c r="T196">
        <f t="shared" si="20"/>
        <v>195</v>
      </c>
      <c r="U196">
        <f t="shared" si="21"/>
        <v>0</v>
      </c>
      <c r="V196" t="str">
        <f t="shared" si="23"/>
        <v xml:space="preserve"> </v>
      </c>
      <c r="Y196" s="162" t="e">
        <f>VLOOKUP(B196,Crewlist!AS:AU,3,FALSE)</f>
        <v>#N/A</v>
      </c>
      <c r="Z196" s="163">
        <f t="shared" si="22"/>
        <v>0</v>
      </c>
    </row>
    <row r="197" spans="2:26">
      <c r="B197" s="202">
        <v>196</v>
      </c>
      <c r="C197" s="169"/>
      <c r="D197" s="169"/>
      <c r="E197" s="169"/>
      <c r="F197" s="176"/>
      <c r="H197" s="169"/>
      <c r="I197" s="176"/>
      <c r="J197" s="176"/>
      <c r="K197" s="179"/>
      <c r="L197" s="179"/>
      <c r="Q197">
        <f t="shared" si="18"/>
        <v>0</v>
      </c>
      <c r="R197">
        <f t="shared" si="19"/>
        <v>196</v>
      </c>
      <c r="S197">
        <f>IFERROR(SEARCH(Crewlist!$P$5,V197)+ROW()/100000,"")</f>
        <v>1.00197</v>
      </c>
      <c r="T197">
        <f t="shared" si="20"/>
        <v>196</v>
      </c>
      <c r="U197">
        <f t="shared" si="21"/>
        <v>0</v>
      </c>
      <c r="V197" t="str">
        <f t="shared" si="23"/>
        <v xml:space="preserve"> </v>
      </c>
      <c r="Y197" s="162" t="e">
        <f>VLOOKUP(B197,Crewlist!AS:AU,3,FALSE)</f>
        <v>#N/A</v>
      </c>
      <c r="Z197" s="163">
        <f t="shared" si="22"/>
        <v>0</v>
      </c>
    </row>
    <row r="198" spans="2:26">
      <c r="B198" s="171">
        <v>197</v>
      </c>
      <c r="H198" s="173"/>
      <c r="I198" s="174"/>
      <c r="J198" s="174"/>
      <c r="Q198">
        <f t="shared" si="18"/>
        <v>0</v>
      </c>
      <c r="R198">
        <f t="shared" si="19"/>
        <v>197</v>
      </c>
      <c r="S198">
        <f>IFERROR(SEARCH(Crewlist!$P$5,V198)+ROW()/100000,"")</f>
        <v>1.0019800000000001</v>
      </c>
      <c r="T198">
        <f t="shared" si="20"/>
        <v>197</v>
      </c>
      <c r="U198">
        <f t="shared" si="21"/>
        <v>0</v>
      </c>
      <c r="V198" t="str">
        <f t="shared" si="23"/>
        <v xml:space="preserve"> </v>
      </c>
      <c r="Y198" s="162" t="e">
        <f>VLOOKUP(B198,Crewlist!AS:AU,3,FALSE)</f>
        <v>#N/A</v>
      </c>
      <c r="Z198" s="163">
        <f t="shared" si="22"/>
        <v>0</v>
      </c>
    </row>
    <row r="199" spans="2:26">
      <c r="B199" s="171">
        <v>198</v>
      </c>
      <c r="I199" s="176"/>
      <c r="J199" s="176"/>
      <c r="L199" s="179"/>
      <c r="Q199">
        <f t="shared" si="18"/>
        <v>0</v>
      </c>
      <c r="R199">
        <f t="shared" si="19"/>
        <v>198</v>
      </c>
      <c r="S199">
        <f>IFERROR(SEARCH(Crewlist!$P$5,V199)+ROW()/100000,"")</f>
        <v>1.0019899999999999</v>
      </c>
      <c r="T199">
        <f t="shared" si="20"/>
        <v>198</v>
      </c>
      <c r="U199">
        <f t="shared" si="21"/>
        <v>0</v>
      </c>
      <c r="V199" t="str">
        <f t="shared" si="23"/>
        <v xml:space="preserve"> </v>
      </c>
      <c r="Y199" s="162" t="e">
        <f>VLOOKUP(B199,Crewlist!AS:AU,3,FALSE)</f>
        <v>#N/A</v>
      </c>
      <c r="Z199" s="163">
        <f t="shared" si="22"/>
        <v>0</v>
      </c>
    </row>
    <row r="200" spans="2:26">
      <c r="B200" s="202">
        <v>199</v>
      </c>
      <c r="C200" s="169"/>
      <c r="D200" s="169"/>
      <c r="F200" s="176"/>
      <c r="G200" s="177"/>
      <c r="H200" s="178"/>
      <c r="I200" s="179"/>
      <c r="J200" s="179"/>
      <c r="K200" s="179"/>
      <c r="M200" s="180"/>
      <c r="Q200">
        <f t="shared" si="18"/>
        <v>0</v>
      </c>
      <c r="R200">
        <f t="shared" si="19"/>
        <v>199</v>
      </c>
      <c r="S200">
        <f>IFERROR(SEARCH(Crewlist!$P$5,V200)+ROW()/100000,"")</f>
        <v>1.002</v>
      </c>
      <c r="T200">
        <f t="shared" si="20"/>
        <v>199</v>
      </c>
      <c r="U200">
        <f t="shared" si="21"/>
        <v>0</v>
      </c>
      <c r="V200" t="str">
        <f t="shared" si="23"/>
        <v xml:space="preserve"> </v>
      </c>
      <c r="Y200" s="162" t="e">
        <f>VLOOKUP(B200,Crewlist!AS:AU,3,FALSE)</f>
        <v>#N/A</v>
      </c>
      <c r="Z200" s="163">
        <f t="shared" si="22"/>
        <v>0</v>
      </c>
    </row>
    <row r="201" spans="2:26">
      <c r="B201" s="171">
        <v>200</v>
      </c>
      <c r="E201" s="169"/>
      <c r="F201" s="183"/>
      <c r="H201" s="173"/>
      <c r="I201" s="179"/>
      <c r="J201" s="179"/>
      <c r="L201" s="183"/>
      <c r="Q201">
        <f t="shared" si="18"/>
        <v>0</v>
      </c>
      <c r="R201">
        <f t="shared" si="19"/>
        <v>200</v>
      </c>
      <c r="S201">
        <f>IFERROR(SEARCH(Crewlist!$P$5,V201)+ROW()/100000,"")</f>
        <v>1.0020100000000001</v>
      </c>
      <c r="T201">
        <f t="shared" si="20"/>
        <v>200</v>
      </c>
      <c r="U201">
        <f t="shared" si="21"/>
        <v>0</v>
      </c>
      <c r="V201" t="str">
        <f t="shared" si="23"/>
        <v xml:space="preserve"> </v>
      </c>
      <c r="Y201" s="162" t="e">
        <f>VLOOKUP(B201,Crewlist!AS:AU,3,FALSE)</f>
        <v>#N/A</v>
      </c>
      <c r="Z201" s="163">
        <f t="shared" si="22"/>
        <v>0</v>
      </c>
    </row>
    <row r="202" spans="2:26">
      <c r="B202" s="171">
        <v>201</v>
      </c>
      <c r="C202" s="169"/>
      <c r="D202" s="169"/>
      <c r="E202" s="169"/>
      <c r="F202" s="176"/>
      <c r="H202" s="169"/>
      <c r="I202" s="176"/>
      <c r="J202" s="176"/>
      <c r="K202" s="179"/>
      <c r="L202" s="179"/>
      <c r="Q202">
        <f t="shared" si="18"/>
        <v>0</v>
      </c>
      <c r="R202">
        <f t="shared" si="19"/>
        <v>201</v>
      </c>
      <c r="S202">
        <f>IFERROR(SEARCH(Crewlist!$P$5,V202)+ROW()/100000,"")</f>
        <v>1.0020199999999999</v>
      </c>
      <c r="T202">
        <f t="shared" si="20"/>
        <v>201</v>
      </c>
      <c r="U202">
        <f t="shared" si="21"/>
        <v>0</v>
      </c>
      <c r="V202" t="str">
        <f t="shared" si="23"/>
        <v xml:space="preserve"> </v>
      </c>
      <c r="Y202" s="162" t="e">
        <f>VLOOKUP(B202,Crewlist!AS:AU,3,FALSE)</f>
        <v>#N/A</v>
      </c>
      <c r="Z202" s="163">
        <f t="shared" si="22"/>
        <v>0</v>
      </c>
    </row>
    <row r="203" spans="2:26">
      <c r="B203" s="202">
        <v>202</v>
      </c>
      <c r="C203" s="169"/>
      <c r="D203" s="169"/>
      <c r="E203" s="169"/>
      <c r="F203" s="176"/>
      <c r="H203" s="178"/>
      <c r="I203" s="179"/>
      <c r="J203" s="179"/>
      <c r="K203" s="179"/>
      <c r="L203" s="179"/>
      <c r="Q203">
        <f t="shared" si="18"/>
        <v>0</v>
      </c>
      <c r="R203">
        <f t="shared" si="19"/>
        <v>202</v>
      </c>
      <c r="S203">
        <f>IFERROR(SEARCH(Crewlist!$P$5,V203)+ROW()/100000,"")</f>
        <v>1.00203</v>
      </c>
      <c r="T203">
        <f t="shared" si="20"/>
        <v>202</v>
      </c>
      <c r="U203">
        <f t="shared" si="21"/>
        <v>0</v>
      </c>
      <c r="V203" t="str">
        <f t="shared" si="23"/>
        <v xml:space="preserve"> </v>
      </c>
      <c r="Y203" s="162" t="e">
        <f>VLOOKUP(B203,Crewlist!AS:AU,3,FALSE)</f>
        <v>#N/A</v>
      </c>
      <c r="Z203" s="163">
        <f t="shared" si="22"/>
        <v>0</v>
      </c>
    </row>
    <row r="204" spans="2:26">
      <c r="B204" s="171">
        <v>203</v>
      </c>
      <c r="H204" s="173"/>
      <c r="I204" s="174"/>
      <c r="J204" s="174"/>
      <c r="Q204">
        <f t="shared" si="18"/>
        <v>0</v>
      </c>
      <c r="R204">
        <f t="shared" si="19"/>
        <v>203</v>
      </c>
      <c r="S204">
        <f>IFERROR(SEARCH(Crewlist!$P$5,V204)+ROW()/100000,"")</f>
        <v>1.00204</v>
      </c>
      <c r="T204">
        <f t="shared" si="20"/>
        <v>203</v>
      </c>
      <c r="U204">
        <f t="shared" si="21"/>
        <v>0</v>
      </c>
      <c r="V204" t="str">
        <f t="shared" si="23"/>
        <v xml:space="preserve"> </v>
      </c>
      <c r="Y204" s="162" t="e">
        <f>VLOOKUP(B204,Crewlist!AS:AU,3,FALSE)</f>
        <v>#N/A</v>
      </c>
      <c r="Z204" s="163">
        <f t="shared" si="22"/>
        <v>0</v>
      </c>
    </row>
    <row r="205" spans="2:26">
      <c r="B205" s="171">
        <v>204</v>
      </c>
      <c r="E205" s="169"/>
      <c r="H205" s="173"/>
      <c r="I205" s="179"/>
      <c r="J205" s="179"/>
      <c r="K205" s="179"/>
      <c r="M205" s="180"/>
      <c r="Q205">
        <f t="shared" si="18"/>
        <v>0</v>
      </c>
      <c r="R205">
        <f t="shared" si="19"/>
        <v>204</v>
      </c>
      <c r="S205">
        <f>IFERROR(SEARCH(Crewlist!$P$5,V205)+ROW()/100000,"")</f>
        <v>1.0020500000000001</v>
      </c>
      <c r="T205">
        <f t="shared" si="20"/>
        <v>204</v>
      </c>
      <c r="U205">
        <f t="shared" si="21"/>
        <v>0</v>
      </c>
      <c r="V205" t="str">
        <f t="shared" si="23"/>
        <v xml:space="preserve"> </v>
      </c>
      <c r="Y205" s="162" t="e">
        <f>VLOOKUP(B205,Crewlist!AS:AU,3,FALSE)</f>
        <v>#N/A</v>
      </c>
      <c r="Z205" s="163">
        <f t="shared" si="22"/>
        <v>0</v>
      </c>
    </row>
    <row r="206" spans="2:26">
      <c r="B206" s="202">
        <v>205</v>
      </c>
      <c r="C206" s="169"/>
      <c r="Q206">
        <f t="shared" si="18"/>
        <v>0</v>
      </c>
      <c r="R206">
        <f t="shared" si="19"/>
        <v>205</v>
      </c>
      <c r="S206">
        <f>IFERROR(SEARCH(Crewlist!$P$5,V206)+ROW()/100000,"")</f>
        <v>1.00206</v>
      </c>
      <c r="T206">
        <f t="shared" si="20"/>
        <v>205</v>
      </c>
      <c r="U206">
        <f t="shared" si="21"/>
        <v>0</v>
      </c>
      <c r="V206" t="str">
        <f t="shared" si="23"/>
        <v xml:space="preserve"> </v>
      </c>
      <c r="Y206" s="162" t="e">
        <f>VLOOKUP(B206,Crewlist!AS:AU,3,FALSE)</f>
        <v>#N/A</v>
      </c>
      <c r="Z206" s="163">
        <f t="shared" si="22"/>
        <v>0</v>
      </c>
    </row>
    <row r="207" spans="2:26">
      <c r="B207" s="171">
        <v>206</v>
      </c>
      <c r="I207" s="176"/>
      <c r="J207" s="176"/>
      <c r="K207" s="179"/>
      <c r="Q207">
        <f t="shared" si="18"/>
        <v>0</v>
      </c>
      <c r="R207">
        <f t="shared" si="19"/>
        <v>206</v>
      </c>
      <c r="S207">
        <f>IFERROR(SEARCH(Crewlist!$P$5,V207)+ROW()/100000,"")</f>
        <v>1.00207</v>
      </c>
      <c r="T207">
        <f t="shared" si="20"/>
        <v>206</v>
      </c>
      <c r="U207">
        <f t="shared" si="21"/>
        <v>0</v>
      </c>
      <c r="V207" t="str">
        <f t="shared" si="23"/>
        <v xml:space="preserve"> </v>
      </c>
      <c r="Y207" s="162" t="e">
        <f>VLOOKUP(B207,Crewlist!AS:AU,3,FALSE)</f>
        <v>#N/A</v>
      </c>
      <c r="Z207" s="163">
        <f t="shared" si="22"/>
        <v>0</v>
      </c>
    </row>
    <row r="208" spans="2:26">
      <c r="B208" s="171">
        <v>207</v>
      </c>
      <c r="F208" s="215"/>
      <c r="H208" s="173"/>
      <c r="I208" s="176"/>
      <c r="J208" s="176"/>
      <c r="K208" s="179"/>
      <c r="Q208">
        <f t="shared" si="18"/>
        <v>0</v>
      </c>
      <c r="R208">
        <f t="shared" si="19"/>
        <v>207</v>
      </c>
      <c r="S208">
        <f>IFERROR(SEARCH(Crewlist!$P$5,V208)+ROW()/100000,"")</f>
        <v>1.0020800000000001</v>
      </c>
      <c r="T208">
        <f t="shared" si="20"/>
        <v>207</v>
      </c>
      <c r="U208">
        <f t="shared" si="21"/>
        <v>0</v>
      </c>
      <c r="V208" t="str">
        <f t="shared" si="23"/>
        <v xml:space="preserve"> </v>
      </c>
      <c r="Y208" s="162" t="e">
        <f>VLOOKUP(B208,Crewlist!AS:AU,3,FALSE)</f>
        <v>#N/A</v>
      </c>
      <c r="Z208" s="163">
        <f t="shared" si="22"/>
        <v>0</v>
      </c>
    </row>
    <row r="209" spans="2:26">
      <c r="B209" s="202">
        <v>208</v>
      </c>
      <c r="H209" s="173"/>
      <c r="I209" s="174"/>
      <c r="J209" s="174"/>
      <c r="Q209">
        <f t="shared" si="18"/>
        <v>0</v>
      </c>
      <c r="R209">
        <f t="shared" si="19"/>
        <v>208</v>
      </c>
      <c r="S209">
        <f>IFERROR(SEARCH(Crewlist!$P$5,V209)+ROW()/100000,"")</f>
        <v>1.0020899999999999</v>
      </c>
      <c r="T209">
        <f t="shared" si="20"/>
        <v>208</v>
      </c>
      <c r="U209">
        <f t="shared" si="21"/>
        <v>0</v>
      </c>
      <c r="V209" t="str">
        <f t="shared" si="23"/>
        <v xml:space="preserve"> </v>
      </c>
      <c r="Y209" s="162" t="e">
        <f>VLOOKUP(B209,Crewlist!AS:AU,3,FALSE)</f>
        <v>#N/A</v>
      </c>
      <c r="Z209" s="163">
        <f t="shared" si="22"/>
        <v>0</v>
      </c>
    </row>
    <row r="210" spans="2:26">
      <c r="B210" s="171">
        <v>209</v>
      </c>
      <c r="C210" s="169"/>
      <c r="D210" s="169"/>
      <c r="E210" s="169"/>
      <c r="F210" s="176"/>
      <c r="H210" s="169"/>
      <c r="I210" s="176"/>
      <c r="J210" s="176"/>
      <c r="K210" s="179"/>
      <c r="L210" s="179"/>
      <c r="Q210">
        <f t="shared" si="18"/>
        <v>0</v>
      </c>
      <c r="R210">
        <f t="shared" si="19"/>
        <v>209</v>
      </c>
      <c r="S210">
        <f>IFERROR(SEARCH(Crewlist!$P$5,V210)+ROW()/100000,"")</f>
        <v>1.0021</v>
      </c>
      <c r="T210">
        <f t="shared" si="20"/>
        <v>209</v>
      </c>
      <c r="U210">
        <f t="shared" si="21"/>
        <v>0</v>
      </c>
      <c r="V210" t="str">
        <f t="shared" si="23"/>
        <v xml:space="preserve"> </v>
      </c>
      <c r="Y210" s="162" t="e">
        <f>VLOOKUP(B210,Crewlist!AS:AU,3,FALSE)</f>
        <v>#N/A</v>
      </c>
      <c r="Z210" s="163">
        <f t="shared" si="22"/>
        <v>0</v>
      </c>
    </row>
    <row r="211" spans="2:26">
      <c r="B211" s="171">
        <v>210</v>
      </c>
      <c r="F211" s="183"/>
      <c r="H211" s="173"/>
      <c r="I211" s="176"/>
      <c r="J211" s="176"/>
      <c r="L211" s="183"/>
      <c r="Q211">
        <f t="shared" si="18"/>
        <v>0</v>
      </c>
      <c r="R211">
        <f t="shared" si="19"/>
        <v>210</v>
      </c>
      <c r="S211">
        <f>IFERROR(SEARCH(Crewlist!$P$5,V211)+ROW()/100000,"")</f>
        <v>1.0021100000000001</v>
      </c>
      <c r="T211">
        <f t="shared" si="20"/>
        <v>210</v>
      </c>
      <c r="U211">
        <f t="shared" si="21"/>
        <v>0</v>
      </c>
      <c r="V211" t="str">
        <f t="shared" si="23"/>
        <v xml:space="preserve"> </v>
      </c>
      <c r="Y211" s="162" t="e">
        <f>VLOOKUP(B211,Crewlist!AS:AU,3,FALSE)</f>
        <v>#N/A</v>
      </c>
      <c r="Z211" s="163">
        <f t="shared" si="22"/>
        <v>0</v>
      </c>
    </row>
    <row r="212" spans="2:26">
      <c r="B212" s="202">
        <v>211</v>
      </c>
      <c r="C212" s="169"/>
      <c r="D212" s="169"/>
      <c r="E212" s="169"/>
      <c r="F212" s="176"/>
      <c r="H212" s="169"/>
      <c r="I212" s="176"/>
      <c r="J212" s="176"/>
      <c r="K212" s="179"/>
      <c r="L212" s="179"/>
      <c r="Q212">
        <f t="shared" si="18"/>
        <v>0</v>
      </c>
      <c r="R212">
        <f t="shared" si="19"/>
        <v>211</v>
      </c>
      <c r="S212">
        <f>IFERROR(SEARCH(Crewlist!$P$5,V212)+ROW()/100000,"")</f>
        <v>1.0021199999999999</v>
      </c>
      <c r="T212">
        <f t="shared" si="20"/>
        <v>211</v>
      </c>
      <c r="U212">
        <f t="shared" si="21"/>
        <v>0</v>
      </c>
      <c r="V212" t="str">
        <f t="shared" si="23"/>
        <v xml:space="preserve"> </v>
      </c>
      <c r="Y212" s="162" t="e">
        <f>VLOOKUP(B212,Crewlist!AS:AU,3,FALSE)</f>
        <v>#N/A</v>
      </c>
      <c r="Z212" s="163">
        <f t="shared" si="22"/>
        <v>0</v>
      </c>
    </row>
    <row r="213" spans="2:26">
      <c r="B213" s="171">
        <v>212</v>
      </c>
      <c r="C213" s="169"/>
      <c r="D213" s="169"/>
      <c r="E213" s="169"/>
      <c r="F213" s="176"/>
      <c r="H213" s="169"/>
      <c r="I213" s="176"/>
      <c r="J213" s="176"/>
      <c r="K213" s="179"/>
      <c r="L213" s="179"/>
      <c r="Q213">
        <f t="shared" si="18"/>
        <v>0</v>
      </c>
      <c r="R213">
        <f t="shared" si="19"/>
        <v>212</v>
      </c>
      <c r="S213">
        <f>IFERROR(SEARCH(Crewlist!$P$5,V213)+ROW()/100000,"")</f>
        <v>1.00213</v>
      </c>
      <c r="T213">
        <f t="shared" si="20"/>
        <v>212</v>
      </c>
      <c r="U213">
        <f t="shared" si="21"/>
        <v>0</v>
      </c>
      <c r="V213" t="str">
        <f t="shared" si="23"/>
        <v xml:space="preserve"> </v>
      </c>
      <c r="Y213" s="162" t="e">
        <f>VLOOKUP(B213,Crewlist!AS:AU,3,FALSE)</f>
        <v>#N/A</v>
      </c>
      <c r="Z213" s="163">
        <f t="shared" si="22"/>
        <v>0</v>
      </c>
    </row>
    <row r="214" spans="2:26">
      <c r="B214" s="171">
        <v>213</v>
      </c>
      <c r="I214" s="176"/>
      <c r="J214" s="176"/>
      <c r="K214" s="179"/>
      <c r="Q214">
        <f t="shared" si="18"/>
        <v>0</v>
      </c>
      <c r="R214">
        <f t="shared" si="19"/>
        <v>213</v>
      </c>
      <c r="S214">
        <f>IFERROR(SEARCH(Crewlist!$P$5,V214)+ROW()/100000,"")</f>
        <v>1.00214</v>
      </c>
      <c r="T214">
        <f t="shared" si="20"/>
        <v>213</v>
      </c>
      <c r="U214">
        <f t="shared" si="21"/>
        <v>0</v>
      </c>
      <c r="V214" t="str">
        <f t="shared" si="23"/>
        <v xml:space="preserve"> </v>
      </c>
      <c r="Y214" s="162" t="e">
        <f>VLOOKUP(B214,Crewlist!AS:AU,3,FALSE)</f>
        <v>#N/A</v>
      </c>
      <c r="Z214" s="163">
        <f t="shared" si="22"/>
        <v>0</v>
      </c>
    </row>
    <row r="215" spans="2:26">
      <c r="B215" s="202">
        <v>214</v>
      </c>
      <c r="F215" s="183"/>
      <c r="H215" s="173"/>
      <c r="I215" s="174"/>
      <c r="J215" s="174"/>
      <c r="L215" s="183"/>
      <c r="Q215">
        <f t="shared" si="18"/>
        <v>0</v>
      </c>
      <c r="R215">
        <f t="shared" si="19"/>
        <v>214</v>
      </c>
      <c r="S215">
        <f>IFERROR(SEARCH(Crewlist!$P$5,V215)+ROW()/100000,"")</f>
        <v>1.0021500000000001</v>
      </c>
      <c r="T215">
        <f t="shared" si="20"/>
        <v>214</v>
      </c>
      <c r="U215">
        <f t="shared" si="21"/>
        <v>0</v>
      </c>
      <c r="V215" t="str">
        <f t="shared" si="23"/>
        <v xml:space="preserve"> </v>
      </c>
      <c r="Y215" s="162" t="e">
        <f>VLOOKUP(B215,Crewlist!AS:AU,3,FALSE)</f>
        <v>#N/A</v>
      </c>
      <c r="Z215" s="163">
        <f t="shared" si="22"/>
        <v>0</v>
      </c>
    </row>
    <row r="216" spans="2:26">
      <c r="B216" s="171">
        <v>215</v>
      </c>
      <c r="H216" s="173"/>
      <c r="I216" s="174"/>
      <c r="J216" s="174"/>
      <c r="Q216">
        <f t="shared" si="18"/>
        <v>0</v>
      </c>
      <c r="R216">
        <f t="shared" si="19"/>
        <v>215</v>
      </c>
      <c r="S216">
        <f>IFERROR(SEARCH(Crewlist!$P$5,V216)+ROW()/100000,"")</f>
        <v>1.0021599999999999</v>
      </c>
      <c r="T216">
        <f t="shared" si="20"/>
        <v>215</v>
      </c>
      <c r="U216">
        <f t="shared" si="21"/>
        <v>0</v>
      </c>
      <c r="V216" t="str">
        <f t="shared" si="23"/>
        <v xml:space="preserve"> </v>
      </c>
      <c r="Y216" s="162" t="e">
        <f>VLOOKUP(B216,Crewlist!AS:AU,3,FALSE)</f>
        <v>#N/A</v>
      </c>
      <c r="Z216" s="163">
        <f t="shared" si="22"/>
        <v>0</v>
      </c>
    </row>
    <row r="217" spans="2:26">
      <c r="B217" s="171">
        <v>216</v>
      </c>
      <c r="H217" s="173"/>
      <c r="I217" s="174"/>
      <c r="J217" s="174"/>
      <c r="Q217">
        <f t="shared" si="18"/>
        <v>0</v>
      </c>
      <c r="R217">
        <f t="shared" si="19"/>
        <v>216</v>
      </c>
      <c r="S217">
        <f>IFERROR(SEARCH(Crewlist!$P$5,V217)+ROW()/100000,"")</f>
        <v>1.00217</v>
      </c>
      <c r="T217">
        <f t="shared" si="20"/>
        <v>216</v>
      </c>
      <c r="U217">
        <f t="shared" si="21"/>
        <v>0</v>
      </c>
      <c r="V217" t="str">
        <f t="shared" si="23"/>
        <v xml:space="preserve"> </v>
      </c>
      <c r="Y217" s="162" t="e">
        <f>VLOOKUP(B217,Crewlist!AS:AU,3,FALSE)</f>
        <v>#N/A</v>
      </c>
      <c r="Z217" s="163">
        <f t="shared" si="22"/>
        <v>0</v>
      </c>
    </row>
    <row r="218" spans="2:26">
      <c r="B218" s="202">
        <v>217</v>
      </c>
      <c r="C218" s="169"/>
      <c r="D218" s="169"/>
      <c r="E218" s="169"/>
      <c r="F218" s="176"/>
      <c r="H218" s="169"/>
      <c r="I218" s="176"/>
      <c r="J218" s="176"/>
      <c r="K218" s="179"/>
      <c r="L218" s="179"/>
      <c r="Q218">
        <f t="shared" si="18"/>
        <v>0</v>
      </c>
      <c r="R218">
        <f t="shared" si="19"/>
        <v>217</v>
      </c>
      <c r="S218">
        <f>IFERROR(SEARCH(Crewlist!$P$5,V218)+ROW()/100000,"")</f>
        <v>1.0021800000000001</v>
      </c>
      <c r="T218">
        <f t="shared" si="20"/>
        <v>217</v>
      </c>
      <c r="U218">
        <f t="shared" si="21"/>
        <v>0</v>
      </c>
      <c r="V218" t="str">
        <f t="shared" si="23"/>
        <v xml:space="preserve"> </v>
      </c>
      <c r="Y218" s="162" t="e">
        <f>VLOOKUP(B218,Crewlist!AS:AU,3,FALSE)</f>
        <v>#N/A</v>
      </c>
      <c r="Z218" s="163">
        <f t="shared" si="22"/>
        <v>0</v>
      </c>
    </row>
    <row r="219" spans="2:26">
      <c r="B219" s="171">
        <v>218</v>
      </c>
      <c r="F219" s="183"/>
      <c r="H219" s="173"/>
      <c r="I219" s="179"/>
      <c r="J219" s="179"/>
      <c r="K219" s="179"/>
      <c r="L219" s="183"/>
      <c r="Q219">
        <f t="shared" si="18"/>
        <v>0</v>
      </c>
      <c r="R219">
        <f t="shared" si="19"/>
        <v>218</v>
      </c>
      <c r="S219">
        <f>IFERROR(SEARCH(Crewlist!$P$5,V219)+ROW()/100000,"")</f>
        <v>1.0021899999999999</v>
      </c>
      <c r="T219">
        <f t="shared" si="20"/>
        <v>218</v>
      </c>
      <c r="U219">
        <f t="shared" si="21"/>
        <v>0</v>
      </c>
      <c r="V219" t="str">
        <f t="shared" si="23"/>
        <v xml:space="preserve"> </v>
      </c>
      <c r="Y219" s="162" t="e">
        <f>VLOOKUP(B219,Crewlist!AS:AU,3,FALSE)</f>
        <v>#N/A</v>
      </c>
      <c r="Z219" s="163">
        <f t="shared" si="22"/>
        <v>0</v>
      </c>
    </row>
    <row r="220" spans="2:26">
      <c r="B220" s="171">
        <v>219</v>
      </c>
      <c r="C220" s="169"/>
      <c r="D220" s="169"/>
      <c r="E220" s="169"/>
      <c r="F220" s="176"/>
      <c r="G220" s="177"/>
      <c r="H220" s="178"/>
      <c r="I220" s="179"/>
      <c r="J220" s="179"/>
      <c r="K220" s="179"/>
      <c r="L220" s="179"/>
      <c r="M220" s="180"/>
      <c r="Q220">
        <f t="shared" si="18"/>
        <v>0</v>
      </c>
      <c r="R220">
        <f t="shared" si="19"/>
        <v>219</v>
      </c>
      <c r="S220">
        <f>IFERROR(SEARCH(Crewlist!$P$5,V220)+ROW()/100000,"")</f>
        <v>1.0022</v>
      </c>
      <c r="T220">
        <f t="shared" si="20"/>
        <v>219</v>
      </c>
      <c r="U220">
        <f t="shared" si="21"/>
        <v>0</v>
      </c>
      <c r="V220" t="str">
        <f t="shared" si="23"/>
        <v xml:space="preserve"> </v>
      </c>
      <c r="Y220" s="162" t="e">
        <f>VLOOKUP(B220,Crewlist!AS:AU,3,FALSE)</f>
        <v>#N/A</v>
      </c>
      <c r="Z220" s="163">
        <f t="shared" si="22"/>
        <v>0</v>
      </c>
    </row>
    <row r="221" spans="2:26">
      <c r="B221" s="202">
        <v>220</v>
      </c>
      <c r="C221" s="169"/>
      <c r="D221" s="169"/>
      <c r="E221" s="169"/>
      <c r="F221" s="176"/>
      <c r="H221" s="169"/>
      <c r="I221" s="176"/>
      <c r="J221" s="176"/>
      <c r="K221" s="179"/>
      <c r="L221" s="179"/>
      <c r="Q221">
        <f t="shared" si="18"/>
        <v>0</v>
      </c>
      <c r="R221">
        <f t="shared" si="19"/>
        <v>220</v>
      </c>
      <c r="S221">
        <f>IFERROR(SEARCH(Crewlist!$P$5,V221)+ROW()/100000,"")</f>
        <v>1.00221</v>
      </c>
      <c r="T221">
        <f t="shared" si="20"/>
        <v>220</v>
      </c>
      <c r="U221">
        <f t="shared" si="21"/>
        <v>0</v>
      </c>
      <c r="V221" t="str">
        <f t="shared" si="23"/>
        <v xml:space="preserve"> </v>
      </c>
      <c r="Y221" s="162" t="e">
        <f>VLOOKUP(B221,Crewlist!AS:AU,3,FALSE)</f>
        <v>#N/A</v>
      </c>
      <c r="Z221" s="163">
        <f t="shared" si="22"/>
        <v>0</v>
      </c>
    </row>
    <row r="222" spans="2:26">
      <c r="B222" s="171">
        <v>221</v>
      </c>
      <c r="C222" s="169"/>
      <c r="Q222">
        <f t="shared" si="18"/>
        <v>0</v>
      </c>
      <c r="R222">
        <f t="shared" si="19"/>
        <v>221</v>
      </c>
      <c r="S222">
        <f>IFERROR(SEARCH(Crewlist!$P$5,V222)+ROW()/100000,"")</f>
        <v>1.0022200000000001</v>
      </c>
      <c r="T222">
        <f t="shared" si="20"/>
        <v>221</v>
      </c>
      <c r="U222">
        <f t="shared" si="21"/>
        <v>0</v>
      </c>
      <c r="V222" t="str">
        <f t="shared" si="23"/>
        <v xml:space="preserve"> </v>
      </c>
      <c r="Y222" s="162" t="e">
        <f>VLOOKUP(B222,Crewlist!AS:AU,3,FALSE)</f>
        <v>#N/A</v>
      </c>
      <c r="Z222" s="163">
        <f t="shared" si="22"/>
        <v>0</v>
      </c>
    </row>
    <row r="223" spans="2:26">
      <c r="B223" s="171">
        <v>222</v>
      </c>
      <c r="C223" s="169"/>
      <c r="Q223">
        <f t="shared" si="18"/>
        <v>0</v>
      </c>
      <c r="R223">
        <f t="shared" si="19"/>
        <v>222</v>
      </c>
      <c r="S223">
        <f>IFERROR(SEARCH(Crewlist!$P$5,V223)+ROW()/100000,"")</f>
        <v>1.00223</v>
      </c>
      <c r="T223">
        <f t="shared" si="20"/>
        <v>222</v>
      </c>
      <c r="U223">
        <f t="shared" si="21"/>
        <v>0</v>
      </c>
      <c r="V223" t="str">
        <f t="shared" si="23"/>
        <v xml:space="preserve"> </v>
      </c>
      <c r="Y223" s="162" t="e">
        <f>VLOOKUP(B223,Crewlist!AS:AU,3,FALSE)</f>
        <v>#N/A</v>
      </c>
      <c r="Z223" s="163">
        <f t="shared" si="22"/>
        <v>0</v>
      </c>
    </row>
    <row r="224" spans="2:26">
      <c r="B224" s="202">
        <v>223</v>
      </c>
      <c r="C224" s="169"/>
      <c r="D224" s="169"/>
      <c r="E224" s="169"/>
      <c r="F224" s="176"/>
      <c r="H224" s="169"/>
      <c r="I224" s="176"/>
      <c r="J224" s="176"/>
      <c r="K224" s="179"/>
      <c r="L224" s="179"/>
      <c r="Q224">
        <f t="shared" si="18"/>
        <v>0</v>
      </c>
      <c r="R224">
        <f t="shared" si="19"/>
        <v>223</v>
      </c>
      <c r="S224">
        <f>IFERROR(SEARCH(Crewlist!$P$5,V224)+ROW()/100000,"")</f>
        <v>1.00224</v>
      </c>
      <c r="T224">
        <f t="shared" si="20"/>
        <v>223</v>
      </c>
      <c r="U224">
        <f t="shared" si="21"/>
        <v>0</v>
      </c>
      <c r="V224" t="str">
        <f t="shared" si="23"/>
        <v xml:space="preserve"> </v>
      </c>
      <c r="Y224" s="162" t="e">
        <f>VLOOKUP(B224,Crewlist!AS:AU,3,FALSE)</f>
        <v>#N/A</v>
      </c>
      <c r="Z224" s="163">
        <f t="shared" si="22"/>
        <v>0</v>
      </c>
    </row>
    <row r="225" spans="2:26">
      <c r="B225" s="171">
        <v>224</v>
      </c>
      <c r="Q225">
        <f t="shared" si="18"/>
        <v>0</v>
      </c>
      <c r="R225">
        <f t="shared" si="19"/>
        <v>224</v>
      </c>
      <c r="S225">
        <f>IFERROR(SEARCH(Crewlist!$P$5,V225)+ROW()/100000,"")</f>
        <v>1.0022500000000001</v>
      </c>
      <c r="T225">
        <f t="shared" si="20"/>
        <v>224</v>
      </c>
      <c r="U225">
        <f t="shared" si="21"/>
        <v>0</v>
      </c>
      <c r="V225" t="str">
        <f t="shared" si="23"/>
        <v xml:space="preserve"> </v>
      </c>
      <c r="Y225" s="162" t="e">
        <f>VLOOKUP(B225,Crewlist!AS:AU,3,FALSE)</f>
        <v>#N/A</v>
      </c>
      <c r="Z225" s="163">
        <f t="shared" si="22"/>
        <v>0</v>
      </c>
    </row>
    <row r="226" spans="2:26">
      <c r="B226" s="171">
        <v>225</v>
      </c>
      <c r="E226" s="169"/>
      <c r="F226" s="183"/>
      <c r="H226" s="173"/>
      <c r="I226" s="176"/>
      <c r="J226" s="176"/>
      <c r="L226" s="183"/>
      <c r="M226" s="180"/>
      <c r="Q226">
        <f t="shared" si="18"/>
        <v>0</v>
      </c>
      <c r="R226">
        <f t="shared" si="19"/>
        <v>225</v>
      </c>
      <c r="S226">
        <f>IFERROR(SEARCH(Crewlist!$P$5,V226)+ROW()/100000,"")</f>
        <v>1.0022599999999999</v>
      </c>
      <c r="T226">
        <f t="shared" si="20"/>
        <v>225</v>
      </c>
      <c r="U226">
        <f t="shared" si="21"/>
        <v>0</v>
      </c>
      <c r="V226" t="str">
        <f t="shared" si="23"/>
        <v xml:space="preserve"> </v>
      </c>
      <c r="Y226" s="162" t="e">
        <f>VLOOKUP(B226,Crewlist!AS:AU,3,FALSE)</f>
        <v>#N/A</v>
      </c>
      <c r="Z226" s="163">
        <f t="shared" si="22"/>
        <v>0</v>
      </c>
    </row>
    <row r="227" spans="2:26">
      <c r="B227" s="202">
        <v>226</v>
      </c>
      <c r="C227" s="169"/>
      <c r="D227" s="169"/>
      <c r="E227" s="169"/>
      <c r="F227" s="176"/>
      <c r="H227" s="169"/>
      <c r="I227" s="176"/>
      <c r="J227" s="176"/>
      <c r="K227" s="179"/>
      <c r="L227" s="179"/>
      <c r="Q227">
        <f t="shared" si="18"/>
        <v>0</v>
      </c>
      <c r="R227">
        <f t="shared" si="19"/>
        <v>226</v>
      </c>
      <c r="S227">
        <f>IFERROR(SEARCH(Crewlist!$P$5,V227)+ROW()/100000,"")</f>
        <v>1.00227</v>
      </c>
      <c r="T227">
        <f t="shared" si="20"/>
        <v>226</v>
      </c>
      <c r="U227">
        <f t="shared" si="21"/>
        <v>0</v>
      </c>
      <c r="V227" t="str">
        <f t="shared" si="23"/>
        <v xml:space="preserve"> </v>
      </c>
      <c r="Y227" s="162" t="e">
        <f>VLOOKUP(B227,Crewlist!AS:AU,3,FALSE)</f>
        <v>#N/A</v>
      </c>
      <c r="Z227" s="163">
        <f t="shared" si="22"/>
        <v>0</v>
      </c>
    </row>
    <row r="228" spans="2:26">
      <c r="B228" s="171">
        <v>227</v>
      </c>
      <c r="E228" s="169"/>
      <c r="F228" s="183"/>
      <c r="H228" s="173"/>
      <c r="I228" s="176"/>
      <c r="J228" s="176"/>
      <c r="K228" s="179"/>
      <c r="L228" s="183"/>
      <c r="Q228">
        <f t="shared" si="18"/>
        <v>0</v>
      </c>
      <c r="R228">
        <f t="shared" si="19"/>
        <v>227</v>
      </c>
      <c r="S228">
        <f>IFERROR(SEARCH(Crewlist!$P$5,V228)+ROW()/100000,"")</f>
        <v>1.0022800000000001</v>
      </c>
      <c r="T228">
        <f t="shared" si="20"/>
        <v>227</v>
      </c>
      <c r="U228">
        <f t="shared" si="21"/>
        <v>0</v>
      </c>
      <c r="V228" t="str">
        <f t="shared" si="23"/>
        <v xml:space="preserve"> </v>
      </c>
      <c r="Y228" s="162" t="e">
        <f>VLOOKUP(B228,Crewlist!AS:AU,3,FALSE)</f>
        <v>#N/A</v>
      </c>
      <c r="Z228" s="163">
        <f t="shared" si="22"/>
        <v>0</v>
      </c>
    </row>
    <row r="229" spans="2:26">
      <c r="B229" s="171">
        <v>228</v>
      </c>
      <c r="C229" s="169"/>
      <c r="D229" s="169"/>
      <c r="E229" s="169"/>
      <c r="F229" s="176"/>
      <c r="H229" s="169"/>
      <c r="I229" s="176"/>
      <c r="J229" s="176"/>
      <c r="K229" s="179"/>
      <c r="L229" s="179"/>
      <c r="Q229">
        <f t="shared" si="18"/>
        <v>0</v>
      </c>
      <c r="R229">
        <f t="shared" si="19"/>
        <v>228</v>
      </c>
      <c r="S229">
        <f>IFERROR(SEARCH(Crewlist!$P$5,V229)+ROW()/100000,"")</f>
        <v>1.0022899999999999</v>
      </c>
      <c r="T229">
        <f t="shared" si="20"/>
        <v>228</v>
      </c>
      <c r="U229">
        <f t="shared" si="21"/>
        <v>0</v>
      </c>
      <c r="V229" t="str">
        <f t="shared" si="23"/>
        <v xml:space="preserve"> </v>
      </c>
      <c r="Y229" s="162" t="e">
        <f>VLOOKUP(B229,Crewlist!AS:AU,3,FALSE)</f>
        <v>#N/A</v>
      </c>
      <c r="Z229" s="163">
        <f t="shared" si="22"/>
        <v>0</v>
      </c>
    </row>
    <row r="230" spans="2:26">
      <c r="B230" s="202">
        <v>229</v>
      </c>
      <c r="F230" s="183"/>
      <c r="H230" s="173"/>
      <c r="I230" s="176"/>
      <c r="J230" s="176"/>
      <c r="L230" s="183"/>
      <c r="Q230">
        <f t="shared" si="18"/>
        <v>0</v>
      </c>
      <c r="R230">
        <f t="shared" si="19"/>
        <v>229</v>
      </c>
      <c r="S230">
        <f>IFERROR(SEARCH(Crewlist!$P$5,V230)+ROW()/100000,"")</f>
        <v>1.0023</v>
      </c>
      <c r="T230">
        <f t="shared" si="20"/>
        <v>229</v>
      </c>
      <c r="U230">
        <f t="shared" si="21"/>
        <v>0</v>
      </c>
      <c r="V230" t="str">
        <f t="shared" si="23"/>
        <v xml:space="preserve"> </v>
      </c>
      <c r="Y230" s="162" t="e">
        <f>VLOOKUP(B230,Crewlist!AS:AU,3,FALSE)</f>
        <v>#N/A</v>
      </c>
      <c r="Z230" s="163">
        <f t="shared" si="22"/>
        <v>0</v>
      </c>
    </row>
    <row r="231" spans="2:26">
      <c r="B231" s="171">
        <v>230</v>
      </c>
      <c r="E231" s="169"/>
      <c r="F231" s="183"/>
      <c r="H231" s="169"/>
      <c r="I231" s="176"/>
      <c r="J231" s="176"/>
      <c r="K231" s="179"/>
      <c r="L231" s="183"/>
      <c r="M231" s="180"/>
      <c r="Q231">
        <f t="shared" si="18"/>
        <v>0</v>
      </c>
      <c r="R231">
        <f t="shared" si="19"/>
        <v>230</v>
      </c>
      <c r="S231">
        <f>IFERROR(SEARCH(Crewlist!$P$5,V231)+ROW()/100000,"")</f>
        <v>1.00231</v>
      </c>
      <c r="T231">
        <f t="shared" si="20"/>
        <v>230</v>
      </c>
      <c r="U231">
        <f t="shared" si="21"/>
        <v>0</v>
      </c>
      <c r="V231" t="str">
        <f t="shared" si="23"/>
        <v xml:space="preserve"> </v>
      </c>
      <c r="Y231" s="162" t="e">
        <f>VLOOKUP(B231,Crewlist!AS:AU,3,FALSE)</f>
        <v>#N/A</v>
      </c>
      <c r="Z231" s="163">
        <f t="shared" si="22"/>
        <v>0</v>
      </c>
    </row>
    <row r="232" spans="2:26">
      <c r="B232" s="171">
        <v>231</v>
      </c>
      <c r="C232" s="169"/>
      <c r="D232" s="169"/>
      <c r="E232" s="169"/>
      <c r="F232" s="176"/>
      <c r="H232" s="169"/>
      <c r="I232" s="176"/>
      <c r="J232" s="176"/>
      <c r="K232" s="179"/>
      <c r="L232" s="179"/>
      <c r="Q232">
        <f t="shared" si="18"/>
        <v>0</v>
      </c>
      <c r="R232">
        <f t="shared" si="19"/>
        <v>231</v>
      </c>
      <c r="S232">
        <f>IFERROR(SEARCH(Crewlist!$P$5,V232)+ROW()/100000,"")</f>
        <v>1.0023200000000001</v>
      </c>
      <c r="T232">
        <f t="shared" si="20"/>
        <v>231</v>
      </c>
      <c r="U232">
        <f t="shared" si="21"/>
        <v>0</v>
      </c>
      <c r="V232" t="str">
        <f t="shared" si="23"/>
        <v xml:space="preserve"> </v>
      </c>
      <c r="Y232" s="162" t="e">
        <f>VLOOKUP(B232,Crewlist!AS:AU,3,FALSE)</f>
        <v>#N/A</v>
      </c>
      <c r="Z232" s="163">
        <f t="shared" si="22"/>
        <v>0</v>
      </c>
    </row>
    <row r="233" spans="2:26">
      <c r="B233" s="202">
        <v>232</v>
      </c>
      <c r="C233" s="169"/>
      <c r="D233" s="169"/>
      <c r="E233" s="169"/>
      <c r="F233" s="176"/>
      <c r="H233" s="169"/>
      <c r="I233" s="176"/>
      <c r="J233" s="176"/>
      <c r="K233" s="179"/>
      <c r="L233" s="179"/>
      <c r="Q233">
        <f t="shared" si="18"/>
        <v>0</v>
      </c>
      <c r="R233">
        <f t="shared" si="19"/>
        <v>232</v>
      </c>
      <c r="S233">
        <f>IFERROR(SEARCH(Crewlist!$P$5,V233)+ROW()/100000,"")</f>
        <v>1.0023299999999999</v>
      </c>
      <c r="T233">
        <f t="shared" si="20"/>
        <v>232</v>
      </c>
      <c r="U233">
        <f t="shared" si="21"/>
        <v>0</v>
      </c>
      <c r="V233" t="str">
        <f t="shared" si="23"/>
        <v xml:space="preserve"> </v>
      </c>
      <c r="Y233" s="162" t="e">
        <f>VLOOKUP(B233,Crewlist!AS:AU,3,FALSE)</f>
        <v>#N/A</v>
      </c>
      <c r="Z233" s="163">
        <f t="shared" si="22"/>
        <v>0</v>
      </c>
    </row>
    <row r="234" spans="2:26">
      <c r="B234" s="171">
        <v>233</v>
      </c>
      <c r="C234" s="169"/>
      <c r="D234" s="169"/>
      <c r="E234" s="169"/>
      <c r="F234" s="176"/>
      <c r="H234" s="169"/>
      <c r="I234" s="176"/>
      <c r="J234" s="176"/>
      <c r="K234" s="179"/>
      <c r="L234" s="179"/>
      <c r="Q234">
        <f t="shared" si="18"/>
        <v>0</v>
      </c>
      <c r="R234">
        <f t="shared" si="19"/>
        <v>233</v>
      </c>
      <c r="S234">
        <f>IFERROR(SEARCH(Crewlist!$P$5,V234)+ROW()/100000,"")</f>
        <v>1.00234</v>
      </c>
      <c r="T234">
        <f t="shared" si="20"/>
        <v>233</v>
      </c>
      <c r="U234">
        <f t="shared" si="21"/>
        <v>0</v>
      </c>
      <c r="V234" t="str">
        <f t="shared" si="23"/>
        <v xml:space="preserve"> </v>
      </c>
      <c r="Y234" s="162" t="e">
        <f>VLOOKUP(B234,Crewlist!AS:AU,3,FALSE)</f>
        <v>#N/A</v>
      </c>
      <c r="Z234" s="163">
        <f t="shared" si="22"/>
        <v>0</v>
      </c>
    </row>
    <row r="235" spans="2:26">
      <c r="B235" s="171">
        <v>234</v>
      </c>
      <c r="F235" s="183"/>
      <c r="H235" s="173"/>
      <c r="I235" s="176"/>
      <c r="J235" s="176"/>
      <c r="Q235">
        <f t="shared" si="18"/>
        <v>0</v>
      </c>
      <c r="R235">
        <f t="shared" si="19"/>
        <v>234</v>
      </c>
      <c r="S235">
        <f>IFERROR(SEARCH(Crewlist!$P$5,V235)+ROW()/100000,"")</f>
        <v>1.0023500000000001</v>
      </c>
      <c r="T235">
        <f t="shared" si="20"/>
        <v>234</v>
      </c>
      <c r="U235">
        <f t="shared" si="21"/>
        <v>0</v>
      </c>
      <c r="V235" t="str">
        <f t="shared" si="23"/>
        <v xml:space="preserve"> </v>
      </c>
      <c r="Y235" s="162" t="e">
        <f>VLOOKUP(B235,Crewlist!AS:AU,3,FALSE)</f>
        <v>#N/A</v>
      </c>
      <c r="Z235" s="163">
        <f t="shared" si="22"/>
        <v>0</v>
      </c>
    </row>
    <row r="236" spans="2:26">
      <c r="B236" s="202">
        <v>235</v>
      </c>
      <c r="E236" s="169"/>
      <c r="F236" s="215"/>
      <c r="H236" s="173"/>
      <c r="I236" s="176"/>
      <c r="J236" s="176"/>
      <c r="K236" s="179"/>
      <c r="L236" s="183"/>
      <c r="Q236">
        <f t="shared" si="18"/>
        <v>0</v>
      </c>
      <c r="R236">
        <f t="shared" si="19"/>
        <v>235</v>
      </c>
      <c r="S236">
        <f>IFERROR(SEARCH(Crewlist!$P$5,V236)+ROW()/100000,"")</f>
        <v>1.0023599999999999</v>
      </c>
      <c r="T236">
        <f t="shared" si="20"/>
        <v>235</v>
      </c>
      <c r="U236">
        <f t="shared" si="21"/>
        <v>0</v>
      </c>
      <c r="V236" t="str">
        <f t="shared" si="23"/>
        <v xml:space="preserve"> </v>
      </c>
      <c r="Y236" s="162" t="e">
        <f>VLOOKUP(B236,Crewlist!AS:AU,3,FALSE)</f>
        <v>#N/A</v>
      </c>
      <c r="Z236" s="163">
        <f t="shared" si="22"/>
        <v>0</v>
      </c>
    </row>
    <row r="237" spans="2:26">
      <c r="B237" s="171">
        <v>236</v>
      </c>
      <c r="H237" s="173"/>
      <c r="I237" s="174"/>
      <c r="J237" s="174"/>
      <c r="Q237">
        <f t="shared" si="18"/>
        <v>0</v>
      </c>
      <c r="R237">
        <f t="shared" si="19"/>
        <v>236</v>
      </c>
      <c r="S237">
        <f>IFERROR(SEARCH(Crewlist!$P$5,V237)+ROW()/100000,"")</f>
        <v>1.00237</v>
      </c>
      <c r="T237">
        <f t="shared" si="20"/>
        <v>236</v>
      </c>
      <c r="U237">
        <f t="shared" si="21"/>
        <v>0</v>
      </c>
      <c r="V237" t="str">
        <f t="shared" si="23"/>
        <v xml:space="preserve"> </v>
      </c>
      <c r="Y237" s="162" t="e">
        <f>VLOOKUP(B237,Crewlist!AS:AU,3,FALSE)</f>
        <v>#N/A</v>
      </c>
      <c r="Z237" s="163">
        <f t="shared" si="22"/>
        <v>0</v>
      </c>
    </row>
    <row r="238" spans="2:26">
      <c r="B238" s="171">
        <v>237</v>
      </c>
      <c r="H238" s="173"/>
      <c r="I238" s="179"/>
      <c r="J238" s="179"/>
      <c r="K238" s="181"/>
      <c r="M238" s="182"/>
      <c r="Q238">
        <f t="shared" si="18"/>
        <v>0</v>
      </c>
      <c r="R238">
        <f t="shared" si="19"/>
        <v>237</v>
      </c>
      <c r="S238">
        <f>IFERROR(SEARCH(Crewlist!$P$5,V238)+ROW()/100000,"")</f>
        <v>1.00238</v>
      </c>
      <c r="T238">
        <f t="shared" si="20"/>
        <v>237</v>
      </c>
      <c r="U238">
        <f t="shared" si="21"/>
        <v>0</v>
      </c>
      <c r="V238" t="str">
        <f t="shared" si="23"/>
        <v xml:space="preserve"> </v>
      </c>
      <c r="Y238" s="162" t="e">
        <f>VLOOKUP(B238,Crewlist!AS:AU,3,FALSE)</f>
        <v>#N/A</v>
      </c>
      <c r="Z238" s="163">
        <f t="shared" si="22"/>
        <v>0</v>
      </c>
    </row>
    <row r="239" spans="2:26">
      <c r="B239" s="202">
        <v>238</v>
      </c>
      <c r="D239" s="169"/>
      <c r="E239" s="169"/>
      <c r="H239" s="173"/>
      <c r="I239" s="179"/>
      <c r="J239" s="179"/>
      <c r="Q239">
        <f t="shared" si="18"/>
        <v>0</v>
      </c>
      <c r="R239">
        <f t="shared" si="19"/>
        <v>238</v>
      </c>
      <c r="S239">
        <f>IFERROR(SEARCH(Crewlist!$P$5,V239)+ROW()/100000,"")</f>
        <v>1.0023899999999999</v>
      </c>
      <c r="T239">
        <f t="shared" si="20"/>
        <v>238</v>
      </c>
      <c r="U239">
        <f t="shared" si="21"/>
        <v>0</v>
      </c>
      <c r="V239" t="str">
        <f t="shared" si="23"/>
        <v xml:space="preserve"> </v>
      </c>
      <c r="Y239" s="162" t="e">
        <f>VLOOKUP(B239,Crewlist!AS:AU,3,FALSE)</f>
        <v>#N/A</v>
      </c>
      <c r="Z239" s="163">
        <f t="shared" si="22"/>
        <v>0</v>
      </c>
    </row>
    <row r="240" spans="2:26">
      <c r="B240" s="171">
        <v>239</v>
      </c>
      <c r="C240" s="169"/>
      <c r="D240" s="169"/>
      <c r="E240" s="169"/>
      <c r="F240" s="176"/>
      <c r="H240" s="169"/>
      <c r="I240" s="176"/>
      <c r="J240" s="176"/>
      <c r="L240" s="179"/>
      <c r="Q240">
        <f t="shared" si="18"/>
        <v>0</v>
      </c>
      <c r="R240">
        <f t="shared" si="19"/>
        <v>239</v>
      </c>
      <c r="S240">
        <f>IFERROR(SEARCH(Crewlist!$P$5,V240)+ROW()/100000,"")</f>
        <v>1.0024</v>
      </c>
      <c r="T240">
        <f t="shared" si="20"/>
        <v>239</v>
      </c>
      <c r="U240">
        <f t="shared" si="21"/>
        <v>0</v>
      </c>
      <c r="V240" t="str">
        <f t="shared" si="23"/>
        <v xml:space="preserve"> </v>
      </c>
      <c r="Y240" s="162" t="e">
        <f>VLOOKUP(B240,Crewlist!AS:AU,3,FALSE)</f>
        <v>#N/A</v>
      </c>
      <c r="Z240" s="163">
        <f t="shared" si="22"/>
        <v>0</v>
      </c>
    </row>
    <row r="241" spans="2:26">
      <c r="B241" s="171">
        <v>240</v>
      </c>
      <c r="F241" s="183"/>
      <c r="H241" s="173"/>
      <c r="I241" s="176"/>
      <c r="J241" s="176"/>
      <c r="K241" s="179"/>
      <c r="Q241">
        <f t="shared" si="18"/>
        <v>0</v>
      </c>
      <c r="R241">
        <f t="shared" si="19"/>
        <v>240</v>
      </c>
      <c r="S241">
        <f>IFERROR(SEARCH(Crewlist!$P$5,V241)+ROW()/100000,"")</f>
        <v>1.00241</v>
      </c>
      <c r="T241">
        <f t="shared" si="20"/>
        <v>240</v>
      </c>
      <c r="U241">
        <f t="shared" si="21"/>
        <v>0</v>
      </c>
      <c r="V241" t="str">
        <f t="shared" si="23"/>
        <v xml:space="preserve"> </v>
      </c>
      <c r="Y241" s="162" t="e">
        <f>VLOOKUP(B241,Crewlist!AS:AU,3,FALSE)</f>
        <v>#N/A</v>
      </c>
      <c r="Z241" s="163">
        <f t="shared" si="22"/>
        <v>0</v>
      </c>
    </row>
    <row r="242" spans="2:26">
      <c r="B242" s="202">
        <v>241</v>
      </c>
      <c r="C242" s="169"/>
      <c r="Q242">
        <f t="shared" si="18"/>
        <v>0</v>
      </c>
      <c r="R242">
        <f t="shared" si="19"/>
        <v>241</v>
      </c>
      <c r="S242">
        <f>IFERROR(SEARCH(Crewlist!$P$5,V242)+ROW()/100000,"")</f>
        <v>1.0024200000000001</v>
      </c>
      <c r="T242">
        <f t="shared" si="20"/>
        <v>241</v>
      </c>
      <c r="U242">
        <f t="shared" si="21"/>
        <v>0</v>
      </c>
      <c r="V242" t="str">
        <f t="shared" si="23"/>
        <v xml:space="preserve"> </v>
      </c>
      <c r="Y242" s="162" t="e">
        <f>VLOOKUP(B242,Crewlist!AS:AU,3,FALSE)</f>
        <v>#N/A</v>
      </c>
      <c r="Z242" s="163">
        <f t="shared" si="22"/>
        <v>0</v>
      </c>
    </row>
    <row r="243" spans="2:26">
      <c r="B243" s="171">
        <v>242</v>
      </c>
      <c r="C243" s="169"/>
      <c r="D243" s="169"/>
      <c r="E243" s="169"/>
      <c r="F243" s="176"/>
      <c r="H243" s="169"/>
      <c r="I243" s="176"/>
      <c r="J243" s="176"/>
      <c r="K243" s="179"/>
      <c r="L243" s="179"/>
      <c r="Q243">
        <f t="shared" si="18"/>
        <v>0</v>
      </c>
      <c r="R243">
        <f t="shared" si="19"/>
        <v>242</v>
      </c>
      <c r="S243">
        <f>IFERROR(SEARCH(Crewlist!$P$5,V243)+ROW()/100000,"")</f>
        <v>1.0024299999999999</v>
      </c>
      <c r="T243">
        <f t="shared" si="20"/>
        <v>242</v>
      </c>
      <c r="U243">
        <f t="shared" si="21"/>
        <v>0</v>
      </c>
      <c r="V243" t="str">
        <f t="shared" si="23"/>
        <v xml:space="preserve"> </v>
      </c>
      <c r="Y243" s="162" t="e">
        <f>VLOOKUP(B243,Crewlist!AS:AU,3,FALSE)</f>
        <v>#N/A</v>
      </c>
      <c r="Z243" s="163">
        <f t="shared" si="22"/>
        <v>0</v>
      </c>
    </row>
    <row r="244" spans="2:26">
      <c r="B244" s="171">
        <v>243</v>
      </c>
      <c r="C244" s="169"/>
      <c r="K244" s="179"/>
      <c r="Q244">
        <f t="shared" si="18"/>
        <v>0</v>
      </c>
      <c r="R244">
        <f t="shared" si="19"/>
        <v>243</v>
      </c>
      <c r="S244">
        <f>IFERROR(SEARCH(Crewlist!$P$5,V244)+ROW()/100000,"")</f>
        <v>1.00244</v>
      </c>
      <c r="T244">
        <f t="shared" si="20"/>
        <v>243</v>
      </c>
      <c r="U244">
        <f t="shared" si="21"/>
        <v>0</v>
      </c>
      <c r="V244" t="str">
        <f t="shared" si="23"/>
        <v xml:space="preserve"> </v>
      </c>
      <c r="Y244" s="162" t="e">
        <f>VLOOKUP(B244,Crewlist!AS:AU,3,FALSE)</f>
        <v>#N/A</v>
      </c>
      <c r="Z244" s="163">
        <f t="shared" si="22"/>
        <v>0</v>
      </c>
    </row>
    <row r="245" spans="2:26">
      <c r="B245" s="202">
        <v>244</v>
      </c>
      <c r="C245" s="169"/>
      <c r="D245" s="169"/>
      <c r="E245" s="169"/>
      <c r="F245" s="176"/>
      <c r="H245" s="169"/>
      <c r="I245" s="176"/>
      <c r="J245" s="176"/>
      <c r="K245" s="179"/>
      <c r="L245" s="179"/>
      <c r="Q245">
        <f t="shared" si="18"/>
        <v>0</v>
      </c>
      <c r="R245">
        <f t="shared" si="19"/>
        <v>244</v>
      </c>
      <c r="S245">
        <f>IFERROR(SEARCH(Crewlist!$P$5,V245)+ROW()/100000,"")</f>
        <v>1.0024500000000001</v>
      </c>
      <c r="T245">
        <f t="shared" si="20"/>
        <v>244</v>
      </c>
      <c r="U245">
        <f t="shared" si="21"/>
        <v>0</v>
      </c>
      <c r="V245" t="str">
        <f t="shared" si="23"/>
        <v xml:space="preserve"> </v>
      </c>
      <c r="Y245" s="162" t="e">
        <f>VLOOKUP(B245,Crewlist!AS:AU,3,FALSE)</f>
        <v>#N/A</v>
      </c>
      <c r="Z245" s="163">
        <f t="shared" si="22"/>
        <v>0</v>
      </c>
    </row>
    <row r="246" spans="2:26">
      <c r="B246" s="171">
        <v>245</v>
      </c>
      <c r="I246" s="176"/>
      <c r="J246" s="176"/>
      <c r="Q246">
        <f t="shared" si="18"/>
        <v>0</v>
      </c>
      <c r="R246">
        <f t="shared" si="19"/>
        <v>245</v>
      </c>
      <c r="S246">
        <f>IFERROR(SEARCH(Crewlist!$P$5,V246)+ROW()/100000,"")</f>
        <v>1.0024599999999999</v>
      </c>
      <c r="T246">
        <f t="shared" si="20"/>
        <v>245</v>
      </c>
      <c r="U246">
        <f t="shared" si="21"/>
        <v>0</v>
      </c>
      <c r="V246" t="str">
        <f t="shared" si="23"/>
        <v xml:space="preserve"> </v>
      </c>
      <c r="Y246" s="162" t="e">
        <f>VLOOKUP(B246,Crewlist!AS:AU,3,FALSE)</f>
        <v>#N/A</v>
      </c>
      <c r="Z246" s="163">
        <f t="shared" si="22"/>
        <v>0</v>
      </c>
    </row>
    <row r="247" spans="2:26">
      <c r="B247" s="171">
        <v>246</v>
      </c>
      <c r="I247" s="176"/>
      <c r="J247" s="176"/>
      <c r="Q247">
        <f t="shared" si="18"/>
        <v>0</v>
      </c>
      <c r="R247">
        <f t="shared" si="19"/>
        <v>246</v>
      </c>
      <c r="S247">
        <f>IFERROR(SEARCH(Crewlist!$P$5,V247)+ROW()/100000,"")</f>
        <v>1.00247</v>
      </c>
      <c r="T247">
        <f t="shared" si="20"/>
        <v>246</v>
      </c>
      <c r="U247">
        <f t="shared" si="21"/>
        <v>0</v>
      </c>
      <c r="V247" t="str">
        <f t="shared" si="23"/>
        <v xml:space="preserve"> </v>
      </c>
      <c r="Y247" s="162" t="e">
        <f>VLOOKUP(B247,Crewlist!AS:AU,3,FALSE)</f>
        <v>#N/A</v>
      </c>
      <c r="Z247" s="163">
        <f t="shared" si="22"/>
        <v>0</v>
      </c>
    </row>
    <row r="248" spans="2:26">
      <c r="B248" s="202">
        <v>247</v>
      </c>
      <c r="H248" s="173"/>
      <c r="I248" s="179"/>
      <c r="J248" s="179"/>
      <c r="Q248">
        <f t="shared" si="18"/>
        <v>0</v>
      </c>
      <c r="R248">
        <f t="shared" si="19"/>
        <v>247</v>
      </c>
      <c r="S248">
        <f>IFERROR(SEARCH(Crewlist!$P$5,V248)+ROW()/100000,"")</f>
        <v>1.00248</v>
      </c>
      <c r="T248">
        <f t="shared" si="20"/>
        <v>247</v>
      </c>
      <c r="U248">
        <f t="shared" si="21"/>
        <v>0</v>
      </c>
      <c r="V248" t="str">
        <f t="shared" si="23"/>
        <v xml:space="preserve"> </v>
      </c>
      <c r="Y248" s="162" t="e">
        <f>VLOOKUP(B248,Crewlist!AS:AU,3,FALSE)</f>
        <v>#N/A</v>
      </c>
      <c r="Z248" s="163">
        <f t="shared" si="22"/>
        <v>0</v>
      </c>
    </row>
    <row r="249" spans="2:26">
      <c r="B249" s="171">
        <v>248</v>
      </c>
      <c r="E249" s="169"/>
      <c r="H249" s="173"/>
      <c r="I249" s="179"/>
      <c r="J249" s="179"/>
      <c r="Q249">
        <f t="shared" si="18"/>
        <v>0</v>
      </c>
      <c r="R249">
        <f t="shared" si="19"/>
        <v>248</v>
      </c>
      <c r="S249">
        <f>IFERROR(SEARCH(Crewlist!$P$5,V249)+ROW()/100000,"")</f>
        <v>1.0024900000000001</v>
      </c>
      <c r="T249">
        <f t="shared" si="20"/>
        <v>248</v>
      </c>
      <c r="U249">
        <f t="shared" si="21"/>
        <v>0</v>
      </c>
      <c r="V249" t="str">
        <f t="shared" si="23"/>
        <v xml:space="preserve"> </v>
      </c>
      <c r="Y249" s="162" t="e">
        <f>VLOOKUP(B249,Crewlist!AS:AU,3,FALSE)</f>
        <v>#N/A</v>
      </c>
      <c r="Z249" s="163">
        <f t="shared" si="22"/>
        <v>0</v>
      </c>
    </row>
    <row r="250" spans="2:26">
      <c r="B250" s="171">
        <v>249</v>
      </c>
      <c r="H250" s="173"/>
      <c r="I250" s="179"/>
      <c r="J250" s="179"/>
      <c r="Q250">
        <f t="shared" si="18"/>
        <v>0</v>
      </c>
      <c r="R250">
        <f t="shared" si="19"/>
        <v>249</v>
      </c>
      <c r="S250">
        <f>IFERROR(SEARCH(Crewlist!$P$5,V250)+ROW()/100000,"")</f>
        <v>1.0024999999999999</v>
      </c>
      <c r="T250">
        <f t="shared" si="20"/>
        <v>249</v>
      </c>
      <c r="U250">
        <f t="shared" si="21"/>
        <v>0</v>
      </c>
      <c r="V250" t="str">
        <f t="shared" si="23"/>
        <v xml:space="preserve"> </v>
      </c>
      <c r="Y250" s="162" t="e">
        <f>VLOOKUP(B250,Crewlist!AS:AU,3,FALSE)</f>
        <v>#N/A</v>
      </c>
      <c r="Z250" s="163">
        <f t="shared" si="22"/>
        <v>0</v>
      </c>
    </row>
    <row r="251" spans="2:26">
      <c r="B251" s="202">
        <v>250</v>
      </c>
      <c r="C251" s="169"/>
      <c r="E251" s="169"/>
      <c r="F251" s="176"/>
      <c r="H251" s="169"/>
      <c r="I251" s="176"/>
      <c r="J251" s="176"/>
      <c r="L251" s="179"/>
      <c r="Q251">
        <f t="shared" si="18"/>
        <v>0</v>
      </c>
      <c r="R251">
        <f t="shared" si="19"/>
        <v>250</v>
      </c>
      <c r="S251">
        <f>IFERROR(SEARCH(Crewlist!$P$5,V251)+ROW()/100000,"")</f>
        <v>1.00251</v>
      </c>
      <c r="T251">
        <f t="shared" si="20"/>
        <v>250</v>
      </c>
      <c r="U251">
        <f t="shared" si="21"/>
        <v>0</v>
      </c>
      <c r="V251" t="str">
        <f t="shared" si="23"/>
        <v xml:space="preserve"> </v>
      </c>
      <c r="Y251" s="162" t="e">
        <f>VLOOKUP(B251,Crewlist!AS:AU,3,FALSE)</f>
        <v>#N/A</v>
      </c>
      <c r="Z251" s="163">
        <f t="shared" si="22"/>
        <v>0</v>
      </c>
    </row>
    <row r="252" spans="2:26">
      <c r="B252" s="171">
        <v>251</v>
      </c>
      <c r="I252" s="176"/>
      <c r="J252" s="176"/>
      <c r="K252" s="179"/>
      <c r="Q252">
        <f t="shared" si="18"/>
        <v>0</v>
      </c>
      <c r="R252">
        <f t="shared" si="19"/>
        <v>251</v>
      </c>
      <c r="S252">
        <f>IFERROR(SEARCH(Crewlist!$P$5,V252)+ROW()/100000,"")</f>
        <v>1.0025200000000001</v>
      </c>
      <c r="T252">
        <f t="shared" si="20"/>
        <v>251</v>
      </c>
      <c r="U252">
        <f t="shared" si="21"/>
        <v>0</v>
      </c>
      <c r="V252" t="str">
        <f t="shared" si="23"/>
        <v xml:space="preserve"> </v>
      </c>
      <c r="Y252" s="162" t="e">
        <f>VLOOKUP(B252,Crewlist!AS:AU,3,FALSE)</f>
        <v>#N/A</v>
      </c>
      <c r="Z252" s="163">
        <f t="shared" si="22"/>
        <v>0</v>
      </c>
    </row>
    <row r="253" spans="2:26">
      <c r="B253" s="171">
        <v>252</v>
      </c>
      <c r="C253" s="169"/>
      <c r="D253" s="169"/>
      <c r="E253" s="169"/>
      <c r="F253" s="176"/>
      <c r="H253" s="169"/>
      <c r="I253" s="176"/>
      <c r="J253" s="176"/>
      <c r="K253" s="179"/>
      <c r="L253" s="179"/>
      <c r="Q253">
        <f t="shared" si="18"/>
        <v>0</v>
      </c>
      <c r="R253">
        <f t="shared" si="19"/>
        <v>252</v>
      </c>
      <c r="S253">
        <f>IFERROR(SEARCH(Crewlist!$P$5,V253)+ROW()/100000,"")</f>
        <v>1.0025299999999999</v>
      </c>
      <c r="T253">
        <f t="shared" si="20"/>
        <v>252</v>
      </c>
      <c r="U253">
        <f t="shared" si="21"/>
        <v>0</v>
      </c>
      <c r="V253" t="str">
        <f t="shared" si="23"/>
        <v xml:space="preserve"> </v>
      </c>
      <c r="Y253" s="162" t="e">
        <f>VLOOKUP(B253,Crewlist!AS:AU,3,FALSE)</f>
        <v>#N/A</v>
      </c>
      <c r="Z253" s="163">
        <f t="shared" si="22"/>
        <v>0</v>
      </c>
    </row>
    <row r="254" spans="2:26">
      <c r="B254" s="202">
        <v>253</v>
      </c>
      <c r="I254" s="176"/>
      <c r="J254" s="176"/>
      <c r="L254" s="179"/>
      <c r="Q254">
        <f t="shared" si="18"/>
        <v>0</v>
      </c>
      <c r="R254">
        <f t="shared" si="19"/>
        <v>253</v>
      </c>
      <c r="S254">
        <f>IFERROR(SEARCH(Crewlist!$P$5,V254)+ROW()/100000,"")</f>
        <v>1.00254</v>
      </c>
      <c r="T254">
        <f t="shared" si="20"/>
        <v>253</v>
      </c>
      <c r="U254">
        <f t="shared" si="21"/>
        <v>0</v>
      </c>
      <c r="V254" t="str">
        <f t="shared" si="23"/>
        <v xml:space="preserve"> </v>
      </c>
      <c r="Y254" s="162" t="e">
        <f>VLOOKUP(B254,Crewlist!AS:AU,3,FALSE)</f>
        <v>#N/A</v>
      </c>
      <c r="Z254" s="163">
        <f t="shared" si="22"/>
        <v>0</v>
      </c>
    </row>
    <row r="255" spans="2:26">
      <c r="B255" s="171">
        <v>254</v>
      </c>
      <c r="F255" s="215"/>
      <c r="H255" s="173"/>
      <c r="I255" s="176"/>
      <c r="J255" s="176"/>
      <c r="K255" s="179"/>
      <c r="Q255">
        <f t="shared" si="18"/>
        <v>0</v>
      </c>
      <c r="R255">
        <f t="shared" si="19"/>
        <v>254</v>
      </c>
      <c r="S255">
        <f>IFERROR(SEARCH(Crewlist!$P$5,V255)+ROW()/100000,"")</f>
        <v>1.0025500000000001</v>
      </c>
      <c r="T255">
        <f t="shared" si="20"/>
        <v>254</v>
      </c>
      <c r="U255">
        <f t="shared" si="21"/>
        <v>0</v>
      </c>
      <c r="V255" t="str">
        <f t="shared" si="23"/>
        <v xml:space="preserve"> </v>
      </c>
      <c r="Y255" s="162" t="e">
        <f>VLOOKUP(B255,Crewlist!AS:AU,3,FALSE)</f>
        <v>#N/A</v>
      </c>
      <c r="Z255" s="163">
        <f t="shared" si="22"/>
        <v>0</v>
      </c>
    </row>
    <row r="256" spans="2:26">
      <c r="B256" s="171">
        <v>255</v>
      </c>
      <c r="C256" s="169"/>
      <c r="D256" s="169"/>
      <c r="E256" s="169"/>
      <c r="F256" s="176"/>
      <c r="H256" s="169"/>
      <c r="I256" s="176"/>
      <c r="J256" s="176"/>
      <c r="K256" s="179"/>
      <c r="L256" s="179"/>
      <c r="Q256">
        <f t="shared" si="18"/>
        <v>0</v>
      </c>
      <c r="R256">
        <f t="shared" si="19"/>
        <v>255</v>
      </c>
      <c r="S256">
        <f>IFERROR(SEARCH(Crewlist!$P$5,V256)+ROW()/100000,"")</f>
        <v>1.0025599999999999</v>
      </c>
      <c r="T256">
        <f t="shared" si="20"/>
        <v>255</v>
      </c>
      <c r="U256">
        <f t="shared" si="21"/>
        <v>0</v>
      </c>
      <c r="V256" t="str">
        <f t="shared" si="23"/>
        <v xml:space="preserve"> </v>
      </c>
      <c r="Y256" s="162" t="e">
        <f>VLOOKUP(B256,Crewlist!AS:AU,3,FALSE)</f>
        <v>#N/A</v>
      </c>
      <c r="Z256" s="163">
        <f t="shared" si="22"/>
        <v>0</v>
      </c>
    </row>
    <row r="257" spans="2:26">
      <c r="B257" s="202">
        <v>256</v>
      </c>
      <c r="F257" s="183"/>
      <c r="H257" s="173"/>
      <c r="I257" s="176"/>
      <c r="J257" s="176"/>
      <c r="L257" s="183"/>
      <c r="Q257">
        <f t="shared" ref="Q257:Q320" si="24">IF(C257&lt;&gt; "",B257,0)</f>
        <v>0</v>
      </c>
      <c r="R257">
        <f t="shared" si="19"/>
        <v>256</v>
      </c>
      <c r="S257">
        <f>IFERROR(SEARCH(Crewlist!$P$5,V257)+ROW()/100000,"")</f>
        <v>1.00257</v>
      </c>
      <c r="T257">
        <f t="shared" si="20"/>
        <v>256</v>
      </c>
      <c r="U257">
        <f t="shared" si="21"/>
        <v>0</v>
      </c>
      <c r="V257" t="str">
        <f t="shared" si="23"/>
        <v xml:space="preserve"> </v>
      </c>
      <c r="Y257" s="162" t="e">
        <f>VLOOKUP(B257,Crewlist!AS:AU,3,FALSE)</f>
        <v>#N/A</v>
      </c>
      <c r="Z257" s="163">
        <f t="shared" si="22"/>
        <v>0</v>
      </c>
    </row>
    <row r="258" spans="2:26">
      <c r="B258" s="171">
        <v>257</v>
      </c>
      <c r="C258" s="169"/>
      <c r="D258" s="169"/>
      <c r="E258" s="169"/>
      <c r="F258" s="215"/>
      <c r="H258" s="173"/>
      <c r="I258" s="176"/>
      <c r="J258" s="176"/>
      <c r="L258" s="183"/>
      <c r="Q258">
        <f t="shared" si="24"/>
        <v>0</v>
      </c>
      <c r="R258">
        <f t="shared" ref="R258:R321" si="25">IFERROR(RANK(S258,$S$2:$S$1998,1),"")</f>
        <v>257</v>
      </c>
      <c r="S258">
        <f>IFERROR(SEARCH(Crewlist!$P$5,V258)+ROW()/100000,"")</f>
        <v>1.00258</v>
      </c>
      <c r="T258">
        <f t="shared" ref="T258:T321" si="26">B258</f>
        <v>257</v>
      </c>
      <c r="U258">
        <f t="shared" ref="U258:U321" si="27">C258</f>
        <v>0</v>
      </c>
      <c r="V258" t="str">
        <f t="shared" si="23"/>
        <v xml:space="preserve"> </v>
      </c>
      <c r="Y258" s="162" t="e">
        <f>VLOOKUP(B258,Crewlist!AS:AU,3,FALSE)</f>
        <v>#N/A</v>
      </c>
      <c r="Z258" s="163">
        <f t="shared" ref="Z258:Z321" si="28">IF(ISNUMBER(SEARCH("",Y258)),Y258,N258)</f>
        <v>0</v>
      </c>
    </row>
    <row r="259" spans="2:26">
      <c r="B259" s="171">
        <v>258</v>
      </c>
      <c r="C259" s="169"/>
      <c r="D259" s="169"/>
      <c r="F259" s="183"/>
      <c r="H259" s="173"/>
      <c r="I259" s="174"/>
      <c r="J259" s="174"/>
      <c r="L259" s="183"/>
      <c r="Q259">
        <f t="shared" si="24"/>
        <v>0</v>
      </c>
      <c r="R259">
        <f t="shared" si="25"/>
        <v>258</v>
      </c>
      <c r="S259">
        <f>IFERROR(SEARCH(Crewlist!$P$5,V259)+ROW()/100000,"")</f>
        <v>1.0025900000000001</v>
      </c>
      <c r="T259">
        <f t="shared" si="26"/>
        <v>258</v>
      </c>
      <c r="U259">
        <f t="shared" si="27"/>
        <v>0</v>
      </c>
      <c r="V259" t="str">
        <f t="shared" ref="V259:V322" si="29">CONCATENATE(C259," ",D259)</f>
        <v xml:space="preserve"> </v>
      </c>
      <c r="Y259" s="162" t="e">
        <f>VLOOKUP(B259,Crewlist!AS:AU,3,FALSE)</f>
        <v>#N/A</v>
      </c>
      <c r="Z259" s="163">
        <f t="shared" si="28"/>
        <v>0</v>
      </c>
    </row>
    <row r="260" spans="2:26">
      <c r="B260" s="202">
        <v>259</v>
      </c>
      <c r="C260" s="169"/>
      <c r="D260" s="169"/>
      <c r="F260" s="183"/>
      <c r="H260" s="173"/>
      <c r="I260" s="174"/>
      <c r="J260" s="174"/>
      <c r="L260" s="183"/>
      <c r="Q260">
        <f t="shared" si="24"/>
        <v>0</v>
      </c>
      <c r="R260">
        <f t="shared" si="25"/>
        <v>259</v>
      </c>
      <c r="S260">
        <f>IFERROR(SEARCH(Crewlist!$P$5,V260)+ROW()/100000,"")</f>
        <v>1.0025999999999999</v>
      </c>
      <c r="T260">
        <f t="shared" si="26"/>
        <v>259</v>
      </c>
      <c r="U260">
        <f t="shared" si="27"/>
        <v>0</v>
      </c>
      <c r="V260" t="str">
        <f t="shared" si="29"/>
        <v xml:space="preserve"> </v>
      </c>
      <c r="Y260" s="162" t="e">
        <f>VLOOKUP(B260,Crewlist!AS:AU,3,FALSE)</f>
        <v>#N/A</v>
      </c>
      <c r="Z260" s="163">
        <f t="shared" si="28"/>
        <v>0</v>
      </c>
    </row>
    <row r="261" spans="2:26">
      <c r="B261" s="171">
        <v>260</v>
      </c>
      <c r="C261" s="169"/>
      <c r="D261" s="169"/>
      <c r="F261" s="183"/>
      <c r="H261" s="173"/>
      <c r="I261" s="179"/>
      <c r="J261" s="179"/>
      <c r="L261" s="183"/>
      <c r="Q261">
        <f t="shared" si="24"/>
        <v>0</v>
      </c>
      <c r="R261">
        <f t="shared" si="25"/>
        <v>260</v>
      </c>
      <c r="S261">
        <f>IFERROR(SEARCH(Crewlist!$P$5,V261)+ROW()/100000,"")</f>
        <v>1.00261</v>
      </c>
      <c r="T261">
        <f t="shared" si="26"/>
        <v>260</v>
      </c>
      <c r="U261">
        <f t="shared" si="27"/>
        <v>0</v>
      </c>
      <c r="V261" t="str">
        <f t="shared" si="29"/>
        <v xml:space="preserve"> </v>
      </c>
      <c r="Y261" s="162" t="e">
        <f>VLOOKUP(B261,Crewlist!AS:AU,3,FALSE)</f>
        <v>#N/A</v>
      </c>
      <c r="Z261" s="163">
        <f t="shared" si="28"/>
        <v>0</v>
      </c>
    </row>
    <row r="262" spans="2:26">
      <c r="B262" s="171">
        <v>261</v>
      </c>
      <c r="C262" s="169"/>
      <c r="D262" s="169"/>
      <c r="I262" s="176"/>
      <c r="J262" s="176"/>
      <c r="L262" s="183"/>
      <c r="Q262">
        <f t="shared" si="24"/>
        <v>0</v>
      </c>
      <c r="R262">
        <f t="shared" si="25"/>
        <v>261</v>
      </c>
      <c r="S262">
        <f>IFERROR(SEARCH(Crewlist!$P$5,V262)+ROW()/100000,"")</f>
        <v>1.0026200000000001</v>
      </c>
      <c r="T262">
        <f t="shared" si="26"/>
        <v>261</v>
      </c>
      <c r="U262">
        <f t="shared" si="27"/>
        <v>0</v>
      </c>
      <c r="V262" t="str">
        <f t="shared" si="29"/>
        <v xml:space="preserve"> </v>
      </c>
      <c r="Y262" s="162" t="e">
        <f>VLOOKUP(B262,Crewlist!AS:AU,3,FALSE)</f>
        <v>#N/A</v>
      </c>
      <c r="Z262" s="163">
        <f t="shared" si="28"/>
        <v>0</v>
      </c>
    </row>
    <row r="263" spans="2:26">
      <c r="B263" s="202">
        <v>262</v>
      </c>
      <c r="C263" s="169"/>
      <c r="D263" s="169"/>
      <c r="F263" s="183"/>
      <c r="H263" s="173"/>
      <c r="I263" s="174"/>
      <c r="J263" s="174"/>
      <c r="L263" s="183"/>
      <c r="Q263">
        <f t="shared" si="24"/>
        <v>0</v>
      </c>
      <c r="R263">
        <f t="shared" si="25"/>
        <v>262</v>
      </c>
      <c r="S263">
        <f>IFERROR(SEARCH(Crewlist!$P$5,V263)+ROW()/100000,"")</f>
        <v>1.0026299999999999</v>
      </c>
      <c r="T263">
        <f t="shared" si="26"/>
        <v>262</v>
      </c>
      <c r="U263">
        <f t="shared" si="27"/>
        <v>0</v>
      </c>
      <c r="V263" t="str">
        <f t="shared" si="29"/>
        <v xml:space="preserve"> </v>
      </c>
      <c r="Y263" s="162" t="e">
        <f>VLOOKUP(B263,Crewlist!AS:AU,3,FALSE)</f>
        <v>#N/A</v>
      </c>
      <c r="Z263" s="163">
        <f t="shared" si="28"/>
        <v>0</v>
      </c>
    </row>
    <row r="264" spans="2:26">
      <c r="B264" s="171">
        <v>263</v>
      </c>
      <c r="E264" s="169"/>
      <c r="F264" s="183"/>
      <c r="H264" s="173"/>
      <c r="I264" s="174"/>
      <c r="J264" s="174"/>
      <c r="L264" s="183"/>
      <c r="Q264">
        <f t="shared" si="24"/>
        <v>0</v>
      </c>
      <c r="R264">
        <f t="shared" si="25"/>
        <v>263</v>
      </c>
      <c r="S264">
        <f>IFERROR(SEARCH(Crewlist!$P$5,V264)+ROW()/100000,"")</f>
        <v>1.00264</v>
      </c>
      <c r="T264">
        <f t="shared" si="26"/>
        <v>263</v>
      </c>
      <c r="U264">
        <f t="shared" si="27"/>
        <v>0</v>
      </c>
      <c r="V264" t="str">
        <f t="shared" si="29"/>
        <v xml:space="preserve"> </v>
      </c>
      <c r="Y264" s="162" t="e">
        <f>VLOOKUP(B264,Crewlist!AS:AU,3,FALSE)</f>
        <v>#N/A</v>
      </c>
      <c r="Z264" s="163">
        <f t="shared" si="28"/>
        <v>0</v>
      </c>
    </row>
    <row r="265" spans="2:26">
      <c r="B265" s="171">
        <v>264</v>
      </c>
      <c r="C265" s="169"/>
      <c r="F265" s="183"/>
      <c r="H265" s="173"/>
      <c r="I265" s="179"/>
      <c r="J265" s="179"/>
      <c r="K265" s="179"/>
      <c r="L265" s="183"/>
      <c r="Q265">
        <f t="shared" si="24"/>
        <v>0</v>
      </c>
      <c r="R265">
        <f t="shared" si="25"/>
        <v>264</v>
      </c>
      <c r="S265">
        <f>IFERROR(SEARCH(Crewlist!$P$5,V265)+ROW()/100000,"")</f>
        <v>1.00265</v>
      </c>
      <c r="T265">
        <f t="shared" si="26"/>
        <v>264</v>
      </c>
      <c r="U265">
        <f t="shared" si="27"/>
        <v>0</v>
      </c>
      <c r="V265" t="str">
        <f t="shared" si="29"/>
        <v xml:space="preserve"> </v>
      </c>
      <c r="Y265" s="162" t="e">
        <f>VLOOKUP(B265,Crewlist!AS:AU,3,FALSE)</f>
        <v>#N/A</v>
      </c>
      <c r="Z265" s="163">
        <f t="shared" si="28"/>
        <v>0</v>
      </c>
    </row>
    <row r="266" spans="2:26">
      <c r="B266" s="202">
        <v>265</v>
      </c>
      <c r="C266" s="169"/>
      <c r="Q266">
        <f t="shared" si="24"/>
        <v>0</v>
      </c>
      <c r="R266">
        <f t="shared" si="25"/>
        <v>265</v>
      </c>
      <c r="S266">
        <f>IFERROR(SEARCH(Crewlist!$P$5,V266)+ROW()/100000,"")</f>
        <v>1.0026600000000001</v>
      </c>
      <c r="T266">
        <f t="shared" si="26"/>
        <v>265</v>
      </c>
      <c r="U266">
        <f t="shared" si="27"/>
        <v>0</v>
      </c>
      <c r="V266" t="str">
        <f t="shared" si="29"/>
        <v xml:space="preserve"> </v>
      </c>
      <c r="Y266" s="162" t="e">
        <f>VLOOKUP(B266,Crewlist!AS:AU,3,FALSE)</f>
        <v>#N/A</v>
      </c>
      <c r="Z266" s="163">
        <f t="shared" si="28"/>
        <v>0</v>
      </c>
    </row>
    <row r="267" spans="2:26">
      <c r="B267" s="171">
        <v>266</v>
      </c>
      <c r="C267" s="169"/>
      <c r="D267" s="169"/>
      <c r="F267" s="183"/>
      <c r="H267" s="173"/>
      <c r="I267" s="179"/>
      <c r="J267" s="179"/>
      <c r="K267" s="179"/>
      <c r="L267" s="183"/>
      <c r="Q267">
        <f t="shared" si="24"/>
        <v>0</v>
      </c>
      <c r="R267">
        <f t="shared" si="25"/>
        <v>266</v>
      </c>
      <c r="S267">
        <f>IFERROR(SEARCH(Crewlist!$P$5,V267)+ROW()/100000,"")</f>
        <v>1.00267</v>
      </c>
      <c r="T267">
        <f t="shared" si="26"/>
        <v>266</v>
      </c>
      <c r="U267">
        <f t="shared" si="27"/>
        <v>0</v>
      </c>
      <c r="V267" t="str">
        <f t="shared" si="29"/>
        <v xml:space="preserve"> </v>
      </c>
      <c r="Y267" s="162" t="e">
        <f>VLOOKUP(B267,Crewlist!AS:AU,3,FALSE)</f>
        <v>#N/A</v>
      </c>
      <c r="Z267" s="163">
        <f t="shared" si="28"/>
        <v>0</v>
      </c>
    </row>
    <row r="268" spans="2:26">
      <c r="B268" s="171">
        <v>267</v>
      </c>
      <c r="F268" s="183"/>
      <c r="H268" s="173"/>
      <c r="I268" s="174"/>
      <c r="J268" s="174"/>
      <c r="L268" s="183"/>
      <c r="Q268">
        <f t="shared" si="24"/>
        <v>0</v>
      </c>
      <c r="R268">
        <f t="shared" si="25"/>
        <v>267</v>
      </c>
      <c r="S268">
        <f>IFERROR(SEARCH(Crewlist!$P$5,V268)+ROW()/100000,"")</f>
        <v>1.00268</v>
      </c>
      <c r="T268">
        <f t="shared" si="26"/>
        <v>267</v>
      </c>
      <c r="U268">
        <f t="shared" si="27"/>
        <v>0</v>
      </c>
      <c r="V268" t="str">
        <f t="shared" si="29"/>
        <v xml:space="preserve"> </v>
      </c>
      <c r="Y268" s="162" t="e">
        <f>VLOOKUP(B268,Crewlist!AS:AU,3,FALSE)</f>
        <v>#N/A</v>
      </c>
      <c r="Z268" s="163">
        <f t="shared" si="28"/>
        <v>0</v>
      </c>
    </row>
    <row r="269" spans="2:26">
      <c r="B269" s="202">
        <v>268</v>
      </c>
      <c r="F269" s="183"/>
      <c r="H269" s="173"/>
      <c r="I269" s="176"/>
      <c r="J269" s="176"/>
      <c r="K269" s="179"/>
      <c r="Q269">
        <f t="shared" si="24"/>
        <v>0</v>
      </c>
      <c r="R269">
        <f t="shared" si="25"/>
        <v>268</v>
      </c>
      <c r="S269">
        <f>IFERROR(SEARCH(Crewlist!$P$5,V269)+ROW()/100000,"")</f>
        <v>1.0026900000000001</v>
      </c>
      <c r="T269">
        <f t="shared" si="26"/>
        <v>268</v>
      </c>
      <c r="U269">
        <f t="shared" si="27"/>
        <v>0</v>
      </c>
      <c r="V269" t="str">
        <f t="shared" si="29"/>
        <v xml:space="preserve"> </v>
      </c>
      <c r="Y269" s="162" t="e">
        <f>VLOOKUP(B269,Crewlist!AS:AU,3,FALSE)</f>
        <v>#N/A</v>
      </c>
      <c r="Z269" s="163">
        <f t="shared" si="28"/>
        <v>0</v>
      </c>
    </row>
    <row r="270" spans="2:26">
      <c r="B270" s="171">
        <v>269</v>
      </c>
      <c r="C270" s="169"/>
      <c r="D270" s="169"/>
      <c r="E270" s="169"/>
      <c r="F270" s="176"/>
      <c r="H270" s="169"/>
      <c r="I270" s="176"/>
      <c r="J270" s="176"/>
      <c r="K270" s="179"/>
      <c r="L270" s="179"/>
      <c r="Q270">
        <f t="shared" si="24"/>
        <v>0</v>
      </c>
      <c r="R270">
        <f t="shared" si="25"/>
        <v>269</v>
      </c>
      <c r="S270">
        <f>IFERROR(SEARCH(Crewlist!$P$5,V270)+ROW()/100000,"")</f>
        <v>1.0026999999999999</v>
      </c>
      <c r="T270">
        <f t="shared" si="26"/>
        <v>269</v>
      </c>
      <c r="U270">
        <f t="shared" si="27"/>
        <v>0</v>
      </c>
      <c r="V270" t="str">
        <f t="shared" si="29"/>
        <v xml:space="preserve"> </v>
      </c>
      <c r="Y270" s="162" t="e">
        <f>VLOOKUP(B270,Crewlist!AS:AU,3,FALSE)</f>
        <v>#N/A</v>
      </c>
      <c r="Z270" s="163">
        <f t="shared" si="28"/>
        <v>0</v>
      </c>
    </row>
    <row r="271" spans="2:26">
      <c r="B271" s="171">
        <v>270</v>
      </c>
      <c r="C271" s="169"/>
      <c r="D271" s="169"/>
      <c r="E271" s="169"/>
      <c r="F271" s="176"/>
      <c r="H271" s="169"/>
      <c r="I271" s="176"/>
      <c r="J271" s="176"/>
      <c r="K271" s="179"/>
      <c r="L271" s="179"/>
      <c r="Q271">
        <f t="shared" si="24"/>
        <v>0</v>
      </c>
      <c r="R271">
        <f t="shared" si="25"/>
        <v>270</v>
      </c>
      <c r="S271">
        <f>IFERROR(SEARCH(Crewlist!$P$5,V271)+ROW()/100000,"")</f>
        <v>1.00271</v>
      </c>
      <c r="T271">
        <f t="shared" si="26"/>
        <v>270</v>
      </c>
      <c r="U271">
        <f t="shared" si="27"/>
        <v>0</v>
      </c>
      <c r="V271" t="str">
        <f t="shared" si="29"/>
        <v xml:space="preserve"> </v>
      </c>
      <c r="Y271" s="162" t="e">
        <f>VLOOKUP(B271,Crewlist!AS:AU,3,FALSE)</f>
        <v>#N/A</v>
      </c>
      <c r="Z271" s="163">
        <f t="shared" si="28"/>
        <v>0</v>
      </c>
    </row>
    <row r="272" spans="2:26">
      <c r="B272" s="202">
        <v>271</v>
      </c>
      <c r="F272" s="215"/>
      <c r="H272" s="173"/>
      <c r="I272" s="176"/>
      <c r="J272" s="176"/>
      <c r="K272" s="179"/>
      <c r="Q272">
        <f t="shared" si="24"/>
        <v>0</v>
      </c>
      <c r="R272">
        <f t="shared" si="25"/>
        <v>271</v>
      </c>
      <c r="S272">
        <f>IFERROR(SEARCH(Crewlist!$P$5,V272)+ROW()/100000,"")</f>
        <v>1.0027200000000001</v>
      </c>
      <c r="T272">
        <f t="shared" si="26"/>
        <v>271</v>
      </c>
      <c r="U272">
        <f t="shared" si="27"/>
        <v>0</v>
      </c>
      <c r="V272" t="str">
        <f t="shared" si="29"/>
        <v xml:space="preserve"> </v>
      </c>
      <c r="Y272" s="162" t="e">
        <f>VLOOKUP(B272,Crewlist!AS:AU,3,FALSE)</f>
        <v>#N/A</v>
      </c>
      <c r="Z272" s="163">
        <f t="shared" si="28"/>
        <v>0</v>
      </c>
    </row>
    <row r="273" spans="2:26">
      <c r="B273" s="171">
        <v>272</v>
      </c>
      <c r="C273" s="169"/>
      <c r="D273" s="169"/>
      <c r="E273" s="169"/>
      <c r="F273" s="183"/>
      <c r="G273" s="177"/>
      <c r="H273" s="178"/>
      <c r="I273" s="179"/>
      <c r="J273" s="179"/>
      <c r="K273" s="179"/>
      <c r="L273" s="183"/>
      <c r="M273" s="180"/>
      <c r="Q273">
        <f t="shared" si="24"/>
        <v>0</v>
      </c>
      <c r="R273">
        <f t="shared" si="25"/>
        <v>272</v>
      </c>
      <c r="S273">
        <f>IFERROR(SEARCH(Crewlist!$P$5,V273)+ROW()/100000,"")</f>
        <v>1.0027299999999999</v>
      </c>
      <c r="T273">
        <f t="shared" si="26"/>
        <v>272</v>
      </c>
      <c r="U273">
        <f t="shared" si="27"/>
        <v>0</v>
      </c>
      <c r="V273" t="str">
        <f t="shared" si="29"/>
        <v xml:space="preserve"> </v>
      </c>
      <c r="Y273" s="162" t="e">
        <f>VLOOKUP(B273,Crewlist!AS:AU,3,FALSE)</f>
        <v>#N/A</v>
      </c>
      <c r="Z273" s="163">
        <f t="shared" si="28"/>
        <v>0</v>
      </c>
    </row>
    <row r="274" spans="2:26">
      <c r="B274" s="171">
        <v>273</v>
      </c>
      <c r="C274" s="169"/>
      <c r="Q274">
        <f t="shared" si="24"/>
        <v>0</v>
      </c>
      <c r="R274">
        <f t="shared" si="25"/>
        <v>273</v>
      </c>
      <c r="S274">
        <f>IFERROR(SEARCH(Crewlist!$P$5,V274)+ROW()/100000,"")</f>
        <v>1.00274</v>
      </c>
      <c r="T274">
        <f t="shared" si="26"/>
        <v>273</v>
      </c>
      <c r="U274">
        <f t="shared" si="27"/>
        <v>0</v>
      </c>
      <c r="V274" t="str">
        <f t="shared" si="29"/>
        <v xml:space="preserve"> </v>
      </c>
      <c r="Y274" s="162" t="e">
        <f>VLOOKUP(B274,Crewlist!AS:AU,3,FALSE)</f>
        <v>#N/A</v>
      </c>
      <c r="Z274" s="163">
        <f t="shared" si="28"/>
        <v>0</v>
      </c>
    </row>
    <row r="275" spans="2:26">
      <c r="B275" s="202">
        <v>274</v>
      </c>
      <c r="C275" s="169"/>
      <c r="D275" s="169"/>
      <c r="F275" s="176"/>
      <c r="G275" s="177"/>
      <c r="H275" s="178"/>
      <c r="I275" s="179"/>
      <c r="J275" s="179"/>
      <c r="K275" s="184"/>
      <c r="M275" s="185"/>
      <c r="Q275">
        <f t="shared" si="24"/>
        <v>0</v>
      </c>
      <c r="R275">
        <f t="shared" si="25"/>
        <v>274</v>
      </c>
      <c r="S275">
        <f>IFERROR(SEARCH(Crewlist!$P$5,V275)+ROW()/100000,"")</f>
        <v>1.00275</v>
      </c>
      <c r="T275">
        <f t="shared" si="26"/>
        <v>274</v>
      </c>
      <c r="U275">
        <f t="shared" si="27"/>
        <v>0</v>
      </c>
      <c r="V275" t="str">
        <f t="shared" si="29"/>
        <v xml:space="preserve"> </v>
      </c>
      <c r="Y275" s="162" t="e">
        <f>VLOOKUP(B275,Crewlist!AS:AU,3,FALSE)</f>
        <v>#N/A</v>
      </c>
      <c r="Z275" s="163">
        <f t="shared" si="28"/>
        <v>0</v>
      </c>
    </row>
    <row r="276" spans="2:26">
      <c r="B276" s="171">
        <v>275</v>
      </c>
      <c r="C276" s="169"/>
      <c r="E276" s="169"/>
      <c r="Q276">
        <f t="shared" si="24"/>
        <v>0</v>
      </c>
      <c r="R276">
        <f t="shared" si="25"/>
        <v>275</v>
      </c>
      <c r="S276">
        <f>IFERROR(SEARCH(Crewlist!$P$5,V276)+ROW()/100000,"")</f>
        <v>1.0027600000000001</v>
      </c>
      <c r="T276">
        <f t="shared" si="26"/>
        <v>275</v>
      </c>
      <c r="U276">
        <f t="shared" si="27"/>
        <v>0</v>
      </c>
      <c r="V276" t="str">
        <f t="shared" si="29"/>
        <v xml:space="preserve"> </v>
      </c>
      <c r="Y276" s="162" t="e">
        <f>VLOOKUP(B276,Crewlist!AS:AU,3,FALSE)</f>
        <v>#N/A</v>
      </c>
      <c r="Z276" s="163">
        <f t="shared" si="28"/>
        <v>0</v>
      </c>
    </row>
    <row r="277" spans="2:26">
      <c r="B277" s="171">
        <v>276</v>
      </c>
      <c r="H277" s="173"/>
      <c r="I277" s="179"/>
      <c r="J277" s="179"/>
      <c r="Q277">
        <f t="shared" si="24"/>
        <v>0</v>
      </c>
      <c r="R277">
        <f t="shared" si="25"/>
        <v>276</v>
      </c>
      <c r="S277">
        <f>IFERROR(SEARCH(Crewlist!$P$5,V277)+ROW()/100000,"")</f>
        <v>1.0027699999999999</v>
      </c>
      <c r="T277">
        <f t="shared" si="26"/>
        <v>276</v>
      </c>
      <c r="U277">
        <f t="shared" si="27"/>
        <v>0</v>
      </c>
      <c r="V277" t="str">
        <f t="shared" si="29"/>
        <v xml:space="preserve"> </v>
      </c>
      <c r="Y277" s="162" t="e">
        <f>VLOOKUP(B277,Crewlist!AS:AU,3,FALSE)</f>
        <v>#N/A</v>
      </c>
      <c r="Z277" s="163">
        <f t="shared" si="28"/>
        <v>0</v>
      </c>
    </row>
    <row r="278" spans="2:26">
      <c r="B278" s="202">
        <v>277</v>
      </c>
      <c r="D278" s="169"/>
      <c r="E278" s="169"/>
      <c r="K278" s="179"/>
      <c r="M278" s="180"/>
      <c r="Q278">
        <f t="shared" si="24"/>
        <v>0</v>
      </c>
      <c r="R278">
        <f t="shared" si="25"/>
        <v>277</v>
      </c>
      <c r="S278">
        <f>IFERROR(SEARCH(Crewlist!$P$5,V278)+ROW()/100000,"")</f>
        <v>1.00278</v>
      </c>
      <c r="T278">
        <f t="shared" si="26"/>
        <v>277</v>
      </c>
      <c r="U278">
        <f t="shared" si="27"/>
        <v>0</v>
      </c>
      <c r="V278" t="str">
        <f t="shared" si="29"/>
        <v xml:space="preserve"> </v>
      </c>
      <c r="Y278" s="162" t="e">
        <f>VLOOKUP(B278,Crewlist!AS:AU,3,FALSE)</f>
        <v>#N/A</v>
      </c>
      <c r="Z278" s="163">
        <f t="shared" si="28"/>
        <v>0</v>
      </c>
    </row>
    <row r="279" spans="2:26">
      <c r="B279" s="171">
        <v>278</v>
      </c>
      <c r="C279" s="169"/>
      <c r="E279" s="169"/>
      <c r="F279" s="176"/>
      <c r="I279" s="176"/>
      <c r="J279" s="176"/>
      <c r="L279" s="179"/>
      <c r="Q279">
        <f t="shared" si="24"/>
        <v>0</v>
      </c>
      <c r="R279">
        <f t="shared" si="25"/>
        <v>278</v>
      </c>
      <c r="S279">
        <f>IFERROR(SEARCH(Crewlist!$P$5,V279)+ROW()/100000,"")</f>
        <v>1.0027900000000001</v>
      </c>
      <c r="T279">
        <f t="shared" si="26"/>
        <v>278</v>
      </c>
      <c r="U279">
        <f t="shared" si="27"/>
        <v>0</v>
      </c>
      <c r="V279" t="str">
        <f t="shared" si="29"/>
        <v xml:space="preserve"> </v>
      </c>
      <c r="Y279" s="162" t="e">
        <f>VLOOKUP(B279,Crewlist!AS:AU,3,FALSE)</f>
        <v>#N/A</v>
      </c>
      <c r="Z279" s="163">
        <f t="shared" si="28"/>
        <v>0</v>
      </c>
    </row>
    <row r="280" spans="2:26">
      <c r="B280" s="171">
        <v>279</v>
      </c>
      <c r="I280" s="176"/>
      <c r="J280" s="176"/>
      <c r="Q280">
        <f t="shared" si="24"/>
        <v>0</v>
      </c>
      <c r="R280">
        <f t="shared" si="25"/>
        <v>279</v>
      </c>
      <c r="S280">
        <f>IFERROR(SEARCH(Crewlist!$P$5,V280)+ROW()/100000,"")</f>
        <v>1.0027999999999999</v>
      </c>
      <c r="T280">
        <f t="shared" si="26"/>
        <v>279</v>
      </c>
      <c r="U280">
        <f t="shared" si="27"/>
        <v>0</v>
      </c>
      <c r="V280" t="str">
        <f t="shared" si="29"/>
        <v xml:space="preserve"> </v>
      </c>
      <c r="Y280" s="162" t="e">
        <f>VLOOKUP(B280,Crewlist!AS:AU,3,FALSE)</f>
        <v>#N/A</v>
      </c>
      <c r="Z280" s="163">
        <f t="shared" si="28"/>
        <v>0</v>
      </c>
    </row>
    <row r="281" spans="2:26">
      <c r="B281" s="202">
        <v>280</v>
      </c>
      <c r="C281" s="169"/>
      <c r="D281" s="169"/>
      <c r="E281" s="169"/>
      <c r="F281" s="176"/>
      <c r="H281" s="169"/>
      <c r="I281" s="176"/>
      <c r="J281" s="176"/>
      <c r="K281" s="179"/>
      <c r="L281" s="179"/>
      <c r="Q281">
        <f t="shared" si="24"/>
        <v>0</v>
      </c>
      <c r="R281">
        <f t="shared" si="25"/>
        <v>280</v>
      </c>
      <c r="S281">
        <f>IFERROR(SEARCH(Crewlist!$P$5,V281)+ROW()/100000,"")</f>
        <v>1.00281</v>
      </c>
      <c r="T281">
        <f t="shared" si="26"/>
        <v>280</v>
      </c>
      <c r="U281">
        <f t="shared" si="27"/>
        <v>0</v>
      </c>
      <c r="V281" t="str">
        <f t="shared" si="29"/>
        <v xml:space="preserve"> </v>
      </c>
      <c r="Y281" s="162" t="e">
        <f>VLOOKUP(B281,Crewlist!AS:AU,3,FALSE)</f>
        <v>#N/A</v>
      </c>
      <c r="Z281" s="163">
        <f t="shared" si="28"/>
        <v>0</v>
      </c>
    </row>
    <row r="282" spans="2:26">
      <c r="B282" s="171">
        <v>281</v>
      </c>
      <c r="C282" s="169"/>
      <c r="D282" s="169"/>
      <c r="E282" s="169"/>
      <c r="F282" s="176"/>
      <c r="H282" s="169"/>
      <c r="I282" s="176"/>
      <c r="J282" s="176"/>
      <c r="K282" s="179"/>
      <c r="L282" s="179"/>
      <c r="Q282">
        <f t="shared" si="24"/>
        <v>0</v>
      </c>
      <c r="R282">
        <f t="shared" si="25"/>
        <v>281</v>
      </c>
      <c r="S282">
        <f>IFERROR(SEARCH(Crewlist!$P$5,V282)+ROW()/100000,"")</f>
        <v>1.00282</v>
      </c>
      <c r="T282">
        <f t="shared" si="26"/>
        <v>281</v>
      </c>
      <c r="U282">
        <f t="shared" si="27"/>
        <v>0</v>
      </c>
      <c r="V282" t="str">
        <f t="shared" si="29"/>
        <v xml:space="preserve"> </v>
      </c>
      <c r="Y282" s="162" t="e">
        <f>VLOOKUP(B282,Crewlist!AS:AU,3,FALSE)</f>
        <v>#N/A</v>
      </c>
      <c r="Z282" s="163">
        <f t="shared" si="28"/>
        <v>0</v>
      </c>
    </row>
    <row r="283" spans="2:26">
      <c r="B283" s="171">
        <v>282</v>
      </c>
      <c r="Q283">
        <f t="shared" si="24"/>
        <v>0</v>
      </c>
      <c r="R283">
        <f t="shared" si="25"/>
        <v>282</v>
      </c>
      <c r="S283">
        <f>IFERROR(SEARCH(Crewlist!$P$5,V283)+ROW()/100000,"")</f>
        <v>1.0028300000000001</v>
      </c>
      <c r="T283">
        <f t="shared" si="26"/>
        <v>282</v>
      </c>
      <c r="U283">
        <f t="shared" si="27"/>
        <v>0</v>
      </c>
      <c r="V283" t="str">
        <f t="shared" si="29"/>
        <v xml:space="preserve"> </v>
      </c>
      <c r="Y283" s="162" t="e">
        <f>VLOOKUP(B283,Crewlist!AS:AU,3,FALSE)</f>
        <v>#N/A</v>
      </c>
      <c r="Z283" s="163">
        <f t="shared" si="28"/>
        <v>0</v>
      </c>
    </row>
    <row r="284" spans="2:26">
      <c r="B284" s="202">
        <v>283</v>
      </c>
      <c r="C284" s="169"/>
      <c r="D284" s="169"/>
      <c r="E284" s="169"/>
      <c r="F284" s="176"/>
      <c r="H284" s="169"/>
      <c r="I284" s="176"/>
      <c r="J284" s="176"/>
      <c r="K284" s="179"/>
      <c r="L284" s="179"/>
      <c r="Q284">
        <f t="shared" si="24"/>
        <v>0</v>
      </c>
      <c r="R284">
        <f t="shared" si="25"/>
        <v>283</v>
      </c>
      <c r="S284">
        <f>IFERROR(SEARCH(Crewlist!$P$5,V284)+ROW()/100000,"")</f>
        <v>1.00284</v>
      </c>
      <c r="T284">
        <f t="shared" si="26"/>
        <v>283</v>
      </c>
      <c r="U284">
        <f t="shared" si="27"/>
        <v>0</v>
      </c>
      <c r="V284" t="str">
        <f t="shared" si="29"/>
        <v xml:space="preserve"> </v>
      </c>
      <c r="Y284" s="162" t="e">
        <f>VLOOKUP(B284,Crewlist!AS:AU,3,FALSE)</f>
        <v>#N/A</v>
      </c>
      <c r="Z284" s="163">
        <f t="shared" si="28"/>
        <v>0</v>
      </c>
    </row>
    <row r="285" spans="2:26">
      <c r="B285" s="171">
        <v>284</v>
      </c>
      <c r="Q285">
        <f t="shared" si="24"/>
        <v>0</v>
      </c>
      <c r="R285">
        <f t="shared" si="25"/>
        <v>284</v>
      </c>
      <c r="S285">
        <f>IFERROR(SEARCH(Crewlist!$P$5,V285)+ROW()/100000,"")</f>
        <v>1.00285</v>
      </c>
      <c r="T285">
        <f t="shared" si="26"/>
        <v>284</v>
      </c>
      <c r="U285">
        <f t="shared" si="27"/>
        <v>0</v>
      </c>
      <c r="V285" t="str">
        <f t="shared" si="29"/>
        <v xml:space="preserve"> </v>
      </c>
      <c r="Y285" s="162" t="e">
        <f>VLOOKUP(B285,Crewlist!AS:AU,3,FALSE)</f>
        <v>#N/A</v>
      </c>
      <c r="Z285" s="163">
        <f t="shared" si="28"/>
        <v>0</v>
      </c>
    </row>
    <row r="286" spans="2:26">
      <c r="B286" s="171">
        <v>285</v>
      </c>
      <c r="C286" s="169"/>
      <c r="H286" s="173"/>
      <c r="I286" s="179"/>
      <c r="J286" s="179"/>
      <c r="N286" s="209"/>
      <c r="Q286">
        <f t="shared" si="24"/>
        <v>0</v>
      </c>
      <c r="R286">
        <f t="shared" si="25"/>
        <v>285</v>
      </c>
      <c r="S286">
        <f>IFERROR(SEARCH(Crewlist!$P$5,V286)+ROW()/100000,"")</f>
        <v>1.0028600000000001</v>
      </c>
      <c r="T286">
        <f t="shared" si="26"/>
        <v>285</v>
      </c>
      <c r="U286">
        <f t="shared" si="27"/>
        <v>0</v>
      </c>
      <c r="V286" t="str">
        <f t="shared" si="29"/>
        <v xml:space="preserve"> </v>
      </c>
      <c r="Y286" s="162" t="e">
        <f>VLOOKUP(B286,Crewlist!AS:AU,3,FALSE)</f>
        <v>#N/A</v>
      </c>
      <c r="Z286" s="163">
        <f t="shared" si="28"/>
        <v>0</v>
      </c>
    </row>
    <row r="287" spans="2:26">
      <c r="B287" s="202">
        <v>286</v>
      </c>
      <c r="C287" s="169"/>
      <c r="D287" s="169"/>
      <c r="E287" s="169"/>
      <c r="F287" s="176"/>
      <c r="H287" s="178"/>
      <c r="I287" s="179"/>
      <c r="J287" s="179"/>
      <c r="K287" s="179"/>
      <c r="L287" s="179"/>
      <c r="N287" s="200"/>
      <c r="Q287">
        <f t="shared" si="24"/>
        <v>0</v>
      </c>
      <c r="R287">
        <f t="shared" si="25"/>
        <v>286</v>
      </c>
      <c r="S287">
        <f>IFERROR(SEARCH(Crewlist!$P$5,V287)+ROW()/100000,"")</f>
        <v>1.0028699999999999</v>
      </c>
      <c r="T287">
        <f t="shared" si="26"/>
        <v>286</v>
      </c>
      <c r="U287">
        <f t="shared" si="27"/>
        <v>0</v>
      </c>
      <c r="V287" t="str">
        <f t="shared" si="29"/>
        <v xml:space="preserve"> </v>
      </c>
      <c r="Y287" s="162" t="e">
        <f>VLOOKUP(B287,Crewlist!AS:AU,3,FALSE)</f>
        <v>#N/A</v>
      </c>
      <c r="Z287" s="163">
        <f t="shared" si="28"/>
        <v>0</v>
      </c>
    </row>
    <row r="288" spans="2:26">
      <c r="B288" s="171">
        <v>287</v>
      </c>
      <c r="C288" s="169"/>
      <c r="D288" s="169"/>
      <c r="E288" s="169"/>
      <c r="F288" s="176"/>
      <c r="H288" s="178"/>
      <c r="I288" s="179"/>
      <c r="J288" s="179"/>
      <c r="K288" s="179"/>
      <c r="L288" s="179"/>
      <c r="N288" s="200"/>
      <c r="Q288">
        <f t="shared" si="24"/>
        <v>0</v>
      </c>
      <c r="R288">
        <f t="shared" si="25"/>
        <v>287</v>
      </c>
      <c r="S288">
        <f>IFERROR(SEARCH(Crewlist!$P$5,V288)+ROW()/100000,"")</f>
        <v>1.00288</v>
      </c>
      <c r="T288">
        <f t="shared" si="26"/>
        <v>287</v>
      </c>
      <c r="U288">
        <f t="shared" si="27"/>
        <v>0</v>
      </c>
      <c r="V288" t="str">
        <f t="shared" si="29"/>
        <v xml:space="preserve"> </v>
      </c>
      <c r="Y288" s="162" t="e">
        <f>VLOOKUP(B288,Crewlist!AS:AU,3,FALSE)</f>
        <v>#N/A</v>
      </c>
      <c r="Z288" s="163">
        <f t="shared" si="28"/>
        <v>0</v>
      </c>
    </row>
    <row r="289" spans="2:26">
      <c r="B289" s="171">
        <v>288</v>
      </c>
      <c r="C289" s="169"/>
      <c r="D289" s="169"/>
      <c r="E289" s="169"/>
      <c r="F289" s="176"/>
      <c r="H289" s="178"/>
      <c r="I289" s="179"/>
      <c r="J289" s="179"/>
      <c r="K289" s="179"/>
      <c r="L289" s="179"/>
      <c r="Q289">
        <f t="shared" si="24"/>
        <v>0</v>
      </c>
      <c r="R289">
        <f t="shared" si="25"/>
        <v>288</v>
      </c>
      <c r="S289">
        <f>IFERROR(SEARCH(Crewlist!$P$5,V289)+ROW()/100000,"")</f>
        <v>1.0028900000000001</v>
      </c>
      <c r="T289">
        <f t="shared" si="26"/>
        <v>288</v>
      </c>
      <c r="U289">
        <f t="shared" si="27"/>
        <v>0</v>
      </c>
      <c r="V289" t="str">
        <f t="shared" si="29"/>
        <v xml:space="preserve"> </v>
      </c>
      <c r="Y289" s="162" t="e">
        <f>VLOOKUP(B289,Crewlist!AS:AU,3,FALSE)</f>
        <v>#N/A</v>
      </c>
      <c r="Z289" s="163">
        <f t="shared" si="28"/>
        <v>0</v>
      </c>
    </row>
    <row r="290" spans="2:26">
      <c r="B290" s="202">
        <v>289</v>
      </c>
      <c r="C290" s="169"/>
      <c r="D290" s="169"/>
      <c r="E290" s="169"/>
      <c r="F290" s="176"/>
      <c r="H290" s="178"/>
      <c r="I290" s="179"/>
      <c r="J290" s="179"/>
      <c r="K290" s="179"/>
      <c r="L290" s="179"/>
      <c r="M290" s="180"/>
      <c r="Q290">
        <f t="shared" si="24"/>
        <v>0</v>
      </c>
      <c r="R290">
        <f t="shared" si="25"/>
        <v>289</v>
      </c>
      <c r="S290">
        <f>IFERROR(SEARCH(Crewlist!$P$5,V290)+ROW()/100000,"")</f>
        <v>1.0028999999999999</v>
      </c>
      <c r="T290">
        <f t="shared" si="26"/>
        <v>289</v>
      </c>
      <c r="U290">
        <f t="shared" si="27"/>
        <v>0</v>
      </c>
      <c r="V290" t="str">
        <f t="shared" si="29"/>
        <v xml:space="preserve"> </v>
      </c>
      <c r="Y290" s="162" t="e">
        <f>VLOOKUP(B290,Crewlist!AS:AU,3,FALSE)</f>
        <v>#N/A</v>
      </c>
      <c r="Z290" s="163">
        <f t="shared" si="28"/>
        <v>0</v>
      </c>
    </row>
    <row r="291" spans="2:26">
      <c r="B291" s="171">
        <v>290</v>
      </c>
      <c r="C291" s="169"/>
      <c r="D291" s="169"/>
      <c r="E291" s="169"/>
      <c r="F291" s="176"/>
      <c r="H291" s="178"/>
      <c r="I291" s="179"/>
      <c r="J291" s="179"/>
      <c r="K291" s="179"/>
      <c r="L291" s="179"/>
      <c r="Q291">
        <f t="shared" si="24"/>
        <v>0</v>
      </c>
      <c r="R291">
        <f t="shared" si="25"/>
        <v>290</v>
      </c>
      <c r="S291">
        <f>IFERROR(SEARCH(Crewlist!$P$5,V291)+ROW()/100000,"")</f>
        <v>1.00291</v>
      </c>
      <c r="T291">
        <f t="shared" si="26"/>
        <v>290</v>
      </c>
      <c r="U291">
        <f t="shared" si="27"/>
        <v>0</v>
      </c>
      <c r="V291" t="str">
        <f t="shared" si="29"/>
        <v xml:space="preserve"> </v>
      </c>
      <c r="Y291" s="162" t="e">
        <f>VLOOKUP(B291,Crewlist!AS:AU,3,FALSE)</f>
        <v>#N/A</v>
      </c>
      <c r="Z291" s="163">
        <f t="shared" si="28"/>
        <v>0</v>
      </c>
    </row>
    <row r="292" spans="2:26">
      <c r="B292" s="171">
        <v>291</v>
      </c>
      <c r="C292" s="169"/>
      <c r="D292" s="169"/>
      <c r="E292" s="169"/>
      <c r="F292" s="176"/>
      <c r="H292" s="169"/>
      <c r="I292" s="176"/>
      <c r="J292" s="176"/>
      <c r="K292" s="179"/>
      <c r="L292" s="179"/>
      <c r="Q292">
        <f t="shared" si="24"/>
        <v>0</v>
      </c>
      <c r="R292">
        <f t="shared" si="25"/>
        <v>291</v>
      </c>
      <c r="S292">
        <f>IFERROR(SEARCH(Crewlist!$P$5,V292)+ROW()/100000,"")</f>
        <v>1.00292</v>
      </c>
      <c r="T292">
        <f t="shared" si="26"/>
        <v>291</v>
      </c>
      <c r="U292">
        <f t="shared" si="27"/>
        <v>0</v>
      </c>
      <c r="V292" t="str">
        <f t="shared" si="29"/>
        <v xml:space="preserve"> </v>
      </c>
      <c r="Y292" s="162" t="e">
        <f>VLOOKUP(B292,Crewlist!AS:AU,3,FALSE)</f>
        <v>#N/A</v>
      </c>
      <c r="Z292" s="163">
        <f t="shared" si="28"/>
        <v>0</v>
      </c>
    </row>
    <row r="293" spans="2:26">
      <c r="B293" s="202">
        <v>292</v>
      </c>
      <c r="C293" s="169"/>
      <c r="D293" s="169"/>
      <c r="E293" s="169"/>
      <c r="F293" s="176"/>
      <c r="H293" s="178"/>
      <c r="I293" s="179"/>
      <c r="J293" s="179"/>
      <c r="K293" s="179"/>
      <c r="L293" s="179"/>
      <c r="N293" s="200"/>
      <c r="Q293">
        <f t="shared" si="24"/>
        <v>0</v>
      </c>
      <c r="R293">
        <f t="shared" si="25"/>
        <v>292</v>
      </c>
      <c r="S293">
        <f>IFERROR(SEARCH(Crewlist!$P$5,V293)+ROW()/100000,"")</f>
        <v>1.0029300000000001</v>
      </c>
      <c r="T293">
        <f t="shared" si="26"/>
        <v>292</v>
      </c>
      <c r="U293">
        <f t="shared" si="27"/>
        <v>0</v>
      </c>
      <c r="V293" t="str">
        <f t="shared" si="29"/>
        <v xml:space="preserve"> </v>
      </c>
      <c r="Y293" s="162" t="e">
        <f>VLOOKUP(B293,Crewlist!AS:AU,3,FALSE)</f>
        <v>#N/A</v>
      </c>
      <c r="Z293" s="163">
        <f t="shared" si="28"/>
        <v>0</v>
      </c>
    </row>
    <row r="294" spans="2:26">
      <c r="B294" s="171">
        <v>293</v>
      </c>
      <c r="C294" s="169"/>
      <c r="D294" s="169"/>
      <c r="E294" s="169"/>
      <c r="F294" s="176"/>
      <c r="H294" s="169"/>
      <c r="I294" s="176"/>
      <c r="J294" s="176"/>
      <c r="K294" s="179"/>
      <c r="L294" s="179"/>
      <c r="Q294">
        <f t="shared" si="24"/>
        <v>0</v>
      </c>
      <c r="R294">
        <f t="shared" si="25"/>
        <v>293</v>
      </c>
      <c r="S294">
        <f>IFERROR(SEARCH(Crewlist!$P$5,V294)+ROW()/100000,"")</f>
        <v>1.0029399999999999</v>
      </c>
      <c r="T294">
        <f t="shared" si="26"/>
        <v>293</v>
      </c>
      <c r="U294">
        <f t="shared" si="27"/>
        <v>0</v>
      </c>
      <c r="V294" t="str">
        <f t="shared" si="29"/>
        <v xml:space="preserve"> </v>
      </c>
      <c r="Y294" s="162" t="e">
        <f>VLOOKUP(B294,Crewlist!AS:AU,3,FALSE)</f>
        <v>#N/A</v>
      </c>
      <c r="Z294" s="163">
        <f t="shared" si="28"/>
        <v>0</v>
      </c>
    </row>
    <row r="295" spans="2:26">
      <c r="B295" s="171">
        <v>294</v>
      </c>
      <c r="C295" s="169"/>
      <c r="D295" s="169"/>
      <c r="E295" s="169"/>
      <c r="F295" s="176"/>
      <c r="H295" s="178"/>
      <c r="I295" s="179"/>
      <c r="J295" s="179"/>
      <c r="K295" s="179"/>
      <c r="L295" s="179"/>
      <c r="Q295">
        <f t="shared" si="24"/>
        <v>0</v>
      </c>
      <c r="R295">
        <f t="shared" si="25"/>
        <v>294</v>
      </c>
      <c r="S295">
        <f>IFERROR(SEARCH(Crewlist!$P$5,V295)+ROW()/100000,"")</f>
        <v>1.00295</v>
      </c>
      <c r="T295">
        <f t="shared" si="26"/>
        <v>294</v>
      </c>
      <c r="U295">
        <f t="shared" si="27"/>
        <v>0</v>
      </c>
      <c r="V295" t="str">
        <f t="shared" si="29"/>
        <v xml:space="preserve"> </v>
      </c>
      <c r="Y295" s="162" t="e">
        <f>VLOOKUP(B295,Crewlist!AS:AU,3,FALSE)</f>
        <v>#N/A</v>
      </c>
      <c r="Z295" s="163">
        <f t="shared" si="28"/>
        <v>0</v>
      </c>
    </row>
    <row r="296" spans="2:26">
      <c r="B296" s="202">
        <v>295</v>
      </c>
      <c r="C296" s="169"/>
      <c r="D296" s="169"/>
      <c r="E296" s="169"/>
      <c r="F296" s="176"/>
      <c r="H296" s="178"/>
      <c r="I296" s="179"/>
      <c r="J296" s="179"/>
      <c r="K296" s="179"/>
      <c r="L296" s="179"/>
      <c r="Q296">
        <f t="shared" si="24"/>
        <v>0</v>
      </c>
      <c r="R296">
        <f t="shared" si="25"/>
        <v>295</v>
      </c>
      <c r="S296">
        <f>IFERROR(SEARCH(Crewlist!$P$5,V296)+ROW()/100000,"")</f>
        <v>1.0029600000000001</v>
      </c>
      <c r="T296">
        <f t="shared" si="26"/>
        <v>295</v>
      </c>
      <c r="U296">
        <f t="shared" si="27"/>
        <v>0</v>
      </c>
      <c r="V296" t="str">
        <f t="shared" si="29"/>
        <v xml:space="preserve"> </v>
      </c>
      <c r="Y296" s="162" t="e">
        <f>VLOOKUP(B296,Crewlist!AS:AU,3,FALSE)</f>
        <v>#N/A</v>
      </c>
      <c r="Z296" s="163">
        <f t="shared" si="28"/>
        <v>0</v>
      </c>
    </row>
    <row r="297" spans="2:26">
      <c r="B297" s="171">
        <v>296</v>
      </c>
      <c r="C297" s="169"/>
      <c r="D297" s="169"/>
      <c r="E297" s="169"/>
      <c r="F297" s="176"/>
      <c r="H297" s="178"/>
      <c r="I297" s="179"/>
      <c r="J297" s="179"/>
      <c r="K297" s="179"/>
      <c r="L297" s="179"/>
      <c r="N297" s="200"/>
      <c r="Q297">
        <f t="shared" si="24"/>
        <v>0</v>
      </c>
      <c r="R297">
        <f t="shared" si="25"/>
        <v>296</v>
      </c>
      <c r="S297">
        <f>IFERROR(SEARCH(Crewlist!$P$5,V297)+ROW()/100000,"")</f>
        <v>1.0029699999999999</v>
      </c>
      <c r="T297">
        <f t="shared" si="26"/>
        <v>296</v>
      </c>
      <c r="U297">
        <f t="shared" si="27"/>
        <v>0</v>
      </c>
      <c r="V297" t="str">
        <f t="shared" si="29"/>
        <v xml:space="preserve"> </v>
      </c>
      <c r="Y297" s="162" t="e">
        <f>VLOOKUP(B297,Crewlist!AS:AU,3,FALSE)</f>
        <v>#N/A</v>
      </c>
      <c r="Z297" s="163">
        <f t="shared" si="28"/>
        <v>0</v>
      </c>
    </row>
    <row r="298" spans="2:26">
      <c r="B298" s="171">
        <v>297</v>
      </c>
      <c r="C298" s="169"/>
      <c r="F298" s="176"/>
      <c r="H298" s="173"/>
      <c r="I298" s="174"/>
      <c r="J298" s="174"/>
      <c r="K298" s="181"/>
      <c r="M298" s="182"/>
      <c r="Q298">
        <f t="shared" si="24"/>
        <v>0</v>
      </c>
      <c r="R298">
        <f t="shared" si="25"/>
        <v>297</v>
      </c>
      <c r="S298">
        <f>IFERROR(SEARCH(Crewlist!$P$5,V298)+ROW()/100000,"")</f>
        <v>1.00298</v>
      </c>
      <c r="T298">
        <f t="shared" si="26"/>
        <v>297</v>
      </c>
      <c r="U298">
        <f t="shared" si="27"/>
        <v>0</v>
      </c>
      <c r="V298" t="str">
        <f t="shared" si="29"/>
        <v xml:space="preserve"> </v>
      </c>
      <c r="Y298" s="162" t="e">
        <f>VLOOKUP(B298,Crewlist!AS:AU,3,FALSE)</f>
        <v>#N/A</v>
      </c>
      <c r="Z298" s="163">
        <f t="shared" si="28"/>
        <v>0</v>
      </c>
    </row>
    <row r="299" spans="2:26">
      <c r="B299" s="202">
        <v>298</v>
      </c>
      <c r="F299" s="183"/>
      <c r="H299" s="173"/>
      <c r="I299" s="174"/>
      <c r="J299" s="174"/>
      <c r="L299" s="183"/>
      <c r="Q299">
        <f t="shared" si="24"/>
        <v>0</v>
      </c>
      <c r="R299">
        <f t="shared" si="25"/>
        <v>298</v>
      </c>
      <c r="S299">
        <f>IFERROR(SEARCH(Crewlist!$P$5,V299)+ROW()/100000,"")</f>
        <v>1.00299</v>
      </c>
      <c r="T299">
        <f t="shared" si="26"/>
        <v>298</v>
      </c>
      <c r="U299">
        <f t="shared" si="27"/>
        <v>0</v>
      </c>
      <c r="V299" t="str">
        <f t="shared" si="29"/>
        <v xml:space="preserve"> </v>
      </c>
      <c r="Y299" s="162" t="e">
        <f>VLOOKUP(B299,Crewlist!AS:AU,3,FALSE)</f>
        <v>#N/A</v>
      </c>
      <c r="Z299" s="163">
        <f t="shared" si="28"/>
        <v>0</v>
      </c>
    </row>
    <row r="300" spans="2:26">
      <c r="B300" s="171">
        <v>299</v>
      </c>
      <c r="D300" s="169"/>
      <c r="F300" s="183"/>
      <c r="H300" s="173"/>
      <c r="I300" s="174"/>
      <c r="J300" s="174"/>
      <c r="L300" s="183"/>
      <c r="Q300">
        <f t="shared" si="24"/>
        <v>0</v>
      </c>
      <c r="R300">
        <f t="shared" si="25"/>
        <v>299</v>
      </c>
      <c r="S300">
        <f>IFERROR(SEARCH(Crewlist!$P$5,V300)+ROW()/100000,"")</f>
        <v>1.0029999999999999</v>
      </c>
      <c r="T300">
        <f t="shared" si="26"/>
        <v>299</v>
      </c>
      <c r="U300">
        <f t="shared" si="27"/>
        <v>0</v>
      </c>
      <c r="V300" t="str">
        <f t="shared" si="29"/>
        <v xml:space="preserve"> </v>
      </c>
      <c r="Y300" s="162" t="e">
        <f>VLOOKUP(B300,Crewlist!AS:AU,3,FALSE)</f>
        <v>#N/A</v>
      </c>
      <c r="Z300" s="163">
        <f t="shared" si="28"/>
        <v>0</v>
      </c>
    </row>
    <row r="301" spans="2:26">
      <c r="B301" s="171">
        <v>300</v>
      </c>
      <c r="H301" s="173"/>
      <c r="I301" s="174"/>
      <c r="J301" s="174"/>
      <c r="Q301">
        <f t="shared" si="24"/>
        <v>0</v>
      </c>
      <c r="R301">
        <f t="shared" si="25"/>
        <v>300</v>
      </c>
      <c r="S301">
        <f>IFERROR(SEARCH(Crewlist!$P$5,V301)+ROW()/100000,"")</f>
        <v>1.00301</v>
      </c>
      <c r="T301">
        <f t="shared" si="26"/>
        <v>300</v>
      </c>
      <c r="U301">
        <f t="shared" si="27"/>
        <v>0</v>
      </c>
      <c r="V301" t="str">
        <f t="shared" si="29"/>
        <v xml:space="preserve"> </v>
      </c>
      <c r="Y301" s="162" t="e">
        <f>VLOOKUP(B301,Crewlist!AS:AU,3,FALSE)</f>
        <v>#N/A</v>
      </c>
      <c r="Z301" s="163">
        <f t="shared" si="28"/>
        <v>0</v>
      </c>
    </row>
    <row r="302" spans="2:26">
      <c r="B302" s="202">
        <v>301</v>
      </c>
      <c r="H302" s="173"/>
      <c r="I302" s="174"/>
      <c r="J302" s="174"/>
      <c r="Q302">
        <f t="shared" si="24"/>
        <v>0</v>
      </c>
      <c r="R302">
        <f t="shared" si="25"/>
        <v>301</v>
      </c>
      <c r="S302">
        <f>IFERROR(SEARCH(Crewlist!$P$5,V302)+ROW()/100000,"")</f>
        <v>1.00302</v>
      </c>
      <c r="T302">
        <f t="shared" si="26"/>
        <v>301</v>
      </c>
      <c r="U302">
        <f t="shared" si="27"/>
        <v>0</v>
      </c>
      <c r="V302" t="str">
        <f t="shared" si="29"/>
        <v xml:space="preserve"> </v>
      </c>
      <c r="Y302" s="162" t="e">
        <f>VLOOKUP(B302,Crewlist!AS:AU,3,FALSE)</f>
        <v>#N/A</v>
      </c>
      <c r="Z302" s="163">
        <f t="shared" si="28"/>
        <v>0</v>
      </c>
    </row>
    <row r="303" spans="2:26">
      <c r="B303" s="171">
        <v>302</v>
      </c>
      <c r="H303" s="173"/>
      <c r="I303" s="174"/>
      <c r="J303" s="174"/>
      <c r="Q303">
        <f t="shared" si="24"/>
        <v>0</v>
      </c>
      <c r="R303">
        <f t="shared" si="25"/>
        <v>302</v>
      </c>
      <c r="S303">
        <f>IFERROR(SEARCH(Crewlist!$P$5,V303)+ROW()/100000,"")</f>
        <v>1.0030300000000001</v>
      </c>
      <c r="T303">
        <f t="shared" si="26"/>
        <v>302</v>
      </c>
      <c r="U303">
        <f t="shared" si="27"/>
        <v>0</v>
      </c>
      <c r="V303" t="str">
        <f t="shared" si="29"/>
        <v xml:space="preserve"> </v>
      </c>
      <c r="Y303" s="162" t="e">
        <f>VLOOKUP(B303,Crewlist!AS:AU,3,FALSE)</f>
        <v>#N/A</v>
      </c>
      <c r="Z303" s="163">
        <f t="shared" si="28"/>
        <v>0</v>
      </c>
    </row>
    <row r="304" spans="2:26">
      <c r="B304" s="171">
        <v>303</v>
      </c>
      <c r="C304" s="169"/>
      <c r="D304" s="169"/>
      <c r="E304" s="169"/>
      <c r="F304" s="176"/>
      <c r="H304" s="178"/>
      <c r="I304" s="179"/>
      <c r="J304" s="179"/>
      <c r="K304" s="179"/>
      <c r="L304" s="179"/>
      <c r="Q304">
        <f t="shared" si="24"/>
        <v>0</v>
      </c>
      <c r="R304">
        <f t="shared" si="25"/>
        <v>303</v>
      </c>
      <c r="S304">
        <f>IFERROR(SEARCH(Crewlist!$P$5,V304)+ROW()/100000,"")</f>
        <v>1.0030399999999999</v>
      </c>
      <c r="T304">
        <f t="shared" si="26"/>
        <v>303</v>
      </c>
      <c r="U304">
        <f t="shared" si="27"/>
        <v>0</v>
      </c>
      <c r="V304" t="str">
        <f t="shared" si="29"/>
        <v xml:space="preserve"> </v>
      </c>
      <c r="Y304" s="162" t="e">
        <f>VLOOKUP(B304,Crewlist!AS:AU,3,FALSE)</f>
        <v>#N/A</v>
      </c>
      <c r="Z304" s="163">
        <f t="shared" si="28"/>
        <v>0</v>
      </c>
    </row>
    <row r="305" spans="2:26">
      <c r="B305" s="202">
        <v>304</v>
      </c>
      <c r="C305" s="169"/>
      <c r="D305" s="169"/>
      <c r="E305" s="169"/>
      <c r="F305" s="176"/>
      <c r="G305" s="177"/>
      <c r="H305" s="178"/>
      <c r="I305" s="179"/>
      <c r="J305" s="179"/>
      <c r="K305" s="179"/>
      <c r="L305" s="179"/>
      <c r="M305" s="180"/>
      <c r="Q305">
        <f t="shared" si="24"/>
        <v>0</v>
      </c>
      <c r="R305">
        <f t="shared" si="25"/>
        <v>304</v>
      </c>
      <c r="S305">
        <f>IFERROR(SEARCH(Crewlist!$P$5,V305)+ROW()/100000,"")</f>
        <v>1.00305</v>
      </c>
      <c r="T305">
        <f t="shared" si="26"/>
        <v>304</v>
      </c>
      <c r="U305">
        <f t="shared" si="27"/>
        <v>0</v>
      </c>
      <c r="V305" t="str">
        <f t="shared" si="29"/>
        <v xml:space="preserve"> </v>
      </c>
      <c r="Y305" s="162" t="e">
        <f>VLOOKUP(B305,Crewlist!AS:AU,3,FALSE)</f>
        <v>#N/A</v>
      </c>
      <c r="Z305" s="163">
        <f t="shared" si="28"/>
        <v>0</v>
      </c>
    </row>
    <row r="306" spans="2:26">
      <c r="B306" s="171">
        <v>305</v>
      </c>
      <c r="C306" s="169"/>
      <c r="D306" s="169"/>
      <c r="E306" s="169"/>
      <c r="F306" s="176"/>
      <c r="H306" s="178"/>
      <c r="I306" s="179"/>
      <c r="J306" s="179"/>
      <c r="K306" s="179"/>
      <c r="L306" s="179"/>
      <c r="Q306">
        <f t="shared" si="24"/>
        <v>0</v>
      </c>
      <c r="R306">
        <f t="shared" si="25"/>
        <v>305</v>
      </c>
      <c r="S306">
        <f>IFERROR(SEARCH(Crewlist!$P$5,V306)+ROW()/100000,"")</f>
        <v>1.0030600000000001</v>
      </c>
      <c r="T306">
        <f t="shared" si="26"/>
        <v>305</v>
      </c>
      <c r="U306">
        <f t="shared" si="27"/>
        <v>0</v>
      </c>
      <c r="V306" t="str">
        <f t="shared" si="29"/>
        <v xml:space="preserve"> </v>
      </c>
      <c r="Y306" s="162" t="e">
        <f>VLOOKUP(B306,Crewlist!AS:AU,3,FALSE)</f>
        <v>#N/A</v>
      </c>
      <c r="Z306" s="163">
        <f t="shared" si="28"/>
        <v>0</v>
      </c>
    </row>
    <row r="307" spans="2:26">
      <c r="B307" s="171">
        <v>306</v>
      </c>
      <c r="C307" s="169"/>
      <c r="D307" s="169"/>
      <c r="E307" s="169"/>
      <c r="F307" s="176"/>
      <c r="H307" s="178"/>
      <c r="I307" s="179"/>
      <c r="J307" s="179"/>
      <c r="K307" s="179"/>
      <c r="L307" s="179"/>
      <c r="Q307">
        <f t="shared" si="24"/>
        <v>0</v>
      </c>
      <c r="R307">
        <f t="shared" si="25"/>
        <v>306</v>
      </c>
      <c r="S307">
        <f>IFERROR(SEARCH(Crewlist!$P$5,V307)+ROW()/100000,"")</f>
        <v>1.0030699999999999</v>
      </c>
      <c r="T307">
        <f t="shared" si="26"/>
        <v>306</v>
      </c>
      <c r="U307">
        <f t="shared" si="27"/>
        <v>0</v>
      </c>
      <c r="V307" t="str">
        <f t="shared" si="29"/>
        <v xml:space="preserve"> </v>
      </c>
      <c r="Y307" s="162" t="e">
        <f>VLOOKUP(B307,Crewlist!AS:AU,3,FALSE)</f>
        <v>#N/A</v>
      </c>
      <c r="Z307" s="163">
        <f t="shared" si="28"/>
        <v>0</v>
      </c>
    </row>
    <row r="308" spans="2:26">
      <c r="B308" s="202">
        <v>307</v>
      </c>
      <c r="C308" s="169"/>
      <c r="D308" s="169"/>
      <c r="E308" s="169"/>
      <c r="F308" s="215"/>
      <c r="H308" s="178"/>
      <c r="I308" s="179"/>
      <c r="J308" s="179"/>
      <c r="K308" s="179"/>
      <c r="L308" s="215"/>
      <c r="Q308">
        <f t="shared" si="24"/>
        <v>0</v>
      </c>
      <c r="R308">
        <f t="shared" si="25"/>
        <v>307</v>
      </c>
      <c r="S308">
        <f>IFERROR(SEARCH(Crewlist!$P$5,V308)+ROW()/100000,"")</f>
        <v>1.00308</v>
      </c>
      <c r="T308">
        <f t="shared" si="26"/>
        <v>307</v>
      </c>
      <c r="U308">
        <f t="shared" si="27"/>
        <v>0</v>
      </c>
      <c r="V308" t="str">
        <f t="shared" si="29"/>
        <v xml:space="preserve"> </v>
      </c>
      <c r="Y308" s="162" t="e">
        <f>VLOOKUP(B308,Crewlist!AS:AU,3,FALSE)</f>
        <v>#N/A</v>
      </c>
      <c r="Z308" s="163">
        <f t="shared" si="28"/>
        <v>0</v>
      </c>
    </row>
    <row r="309" spans="2:26">
      <c r="B309" s="171">
        <v>308</v>
      </c>
      <c r="C309" s="169"/>
      <c r="D309" s="169"/>
      <c r="E309" s="169"/>
      <c r="F309" s="176"/>
      <c r="H309" s="178"/>
      <c r="I309" s="179"/>
      <c r="J309" s="179"/>
      <c r="K309" s="179"/>
      <c r="L309" s="179"/>
      <c r="Q309">
        <f t="shared" si="24"/>
        <v>0</v>
      </c>
      <c r="R309">
        <f t="shared" si="25"/>
        <v>308</v>
      </c>
      <c r="S309">
        <f>IFERROR(SEARCH(Crewlist!$P$5,V309)+ROW()/100000,"")</f>
        <v>1.00309</v>
      </c>
      <c r="T309">
        <f t="shared" si="26"/>
        <v>308</v>
      </c>
      <c r="U309">
        <f t="shared" si="27"/>
        <v>0</v>
      </c>
      <c r="V309" t="str">
        <f t="shared" si="29"/>
        <v xml:space="preserve"> </v>
      </c>
      <c r="Y309" s="162" t="e">
        <f>VLOOKUP(B309,Crewlist!AS:AU,3,FALSE)</f>
        <v>#N/A</v>
      </c>
      <c r="Z309" s="163">
        <f t="shared" si="28"/>
        <v>0</v>
      </c>
    </row>
    <row r="310" spans="2:26">
      <c r="B310" s="171">
        <v>309</v>
      </c>
      <c r="C310" s="169"/>
      <c r="D310" s="169"/>
      <c r="E310" s="169"/>
      <c r="F310" s="176"/>
      <c r="H310" s="178"/>
      <c r="I310" s="179"/>
      <c r="J310" s="179"/>
      <c r="K310" s="179"/>
      <c r="L310" s="179"/>
      <c r="Q310">
        <f t="shared" si="24"/>
        <v>0</v>
      </c>
      <c r="R310">
        <f t="shared" si="25"/>
        <v>309</v>
      </c>
      <c r="S310">
        <f>IFERROR(SEARCH(Crewlist!$P$5,V310)+ROW()/100000,"")</f>
        <v>1.0031000000000001</v>
      </c>
      <c r="T310">
        <f t="shared" si="26"/>
        <v>309</v>
      </c>
      <c r="U310">
        <f t="shared" si="27"/>
        <v>0</v>
      </c>
      <c r="V310" t="str">
        <f t="shared" si="29"/>
        <v xml:space="preserve"> </v>
      </c>
      <c r="Y310" s="162" t="e">
        <f>VLOOKUP(B310,Crewlist!AS:AU,3,FALSE)</f>
        <v>#N/A</v>
      </c>
      <c r="Z310" s="163">
        <f t="shared" si="28"/>
        <v>0</v>
      </c>
    </row>
    <row r="311" spans="2:26">
      <c r="B311" s="202">
        <v>310</v>
      </c>
      <c r="C311" s="169"/>
      <c r="D311" s="169"/>
      <c r="E311" s="169"/>
      <c r="F311" s="176"/>
      <c r="H311" s="178"/>
      <c r="I311" s="179"/>
      <c r="J311" s="179"/>
      <c r="K311" s="179"/>
      <c r="L311" s="179"/>
      <c r="Q311">
        <f t="shared" si="24"/>
        <v>0</v>
      </c>
      <c r="R311">
        <f t="shared" si="25"/>
        <v>310</v>
      </c>
      <c r="S311">
        <f>IFERROR(SEARCH(Crewlist!$P$5,V311)+ROW()/100000,"")</f>
        <v>1.0031099999999999</v>
      </c>
      <c r="T311">
        <f t="shared" si="26"/>
        <v>310</v>
      </c>
      <c r="U311">
        <f t="shared" si="27"/>
        <v>0</v>
      </c>
      <c r="V311" t="str">
        <f t="shared" si="29"/>
        <v xml:space="preserve"> </v>
      </c>
      <c r="Y311" s="162" t="e">
        <f>VLOOKUP(B311,Crewlist!AS:AU,3,FALSE)</f>
        <v>#N/A</v>
      </c>
      <c r="Z311" s="163">
        <f t="shared" si="28"/>
        <v>0</v>
      </c>
    </row>
    <row r="312" spans="2:26">
      <c r="B312" s="171">
        <v>311</v>
      </c>
      <c r="C312" s="169"/>
      <c r="D312" s="169"/>
      <c r="E312" s="169"/>
      <c r="F312" s="176"/>
      <c r="H312" s="178"/>
      <c r="I312" s="179"/>
      <c r="J312" s="179"/>
      <c r="K312" s="179"/>
      <c r="L312" s="179"/>
      <c r="Q312">
        <f t="shared" si="24"/>
        <v>0</v>
      </c>
      <c r="R312">
        <f t="shared" si="25"/>
        <v>311</v>
      </c>
      <c r="S312">
        <f>IFERROR(SEARCH(Crewlist!$P$5,V312)+ROW()/100000,"")</f>
        <v>1.00312</v>
      </c>
      <c r="T312">
        <f t="shared" si="26"/>
        <v>311</v>
      </c>
      <c r="U312">
        <f t="shared" si="27"/>
        <v>0</v>
      </c>
      <c r="V312" t="str">
        <f t="shared" si="29"/>
        <v xml:space="preserve"> </v>
      </c>
      <c r="Y312" s="162" t="e">
        <f>VLOOKUP(B312,Crewlist!AS:AU,3,FALSE)</f>
        <v>#N/A</v>
      </c>
      <c r="Z312" s="163">
        <f t="shared" si="28"/>
        <v>0</v>
      </c>
    </row>
    <row r="313" spans="2:26">
      <c r="B313" s="171">
        <v>312</v>
      </c>
      <c r="C313" s="169"/>
      <c r="D313" s="169"/>
      <c r="E313" s="169"/>
      <c r="F313" s="176"/>
      <c r="H313" s="178"/>
      <c r="I313" s="179"/>
      <c r="J313" s="179"/>
      <c r="K313" s="179"/>
      <c r="L313" s="179"/>
      <c r="Q313">
        <f t="shared" si="24"/>
        <v>0</v>
      </c>
      <c r="R313">
        <f t="shared" si="25"/>
        <v>312</v>
      </c>
      <c r="S313">
        <f>IFERROR(SEARCH(Crewlist!$P$5,V313)+ROW()/100000,"")</f>
        <v>1.0031300000000001</v>
      </c>
      <c r="T313">
        <f t="shared" si="26"/>
        <v>312</v>
      </c>
      <c r="U313">
        <f t="shared" si="27"/>
        <v>0</v>
      </c>
      <c r="V313" t="str">
        <f t="shared" si="29"/>
        <v xml:space="preserve"> </v>
      </c>
      <c r="Y313" s="162" t="e">
        <f>VLOOKUP(B313,Crewlist!AS:AU,3,FALSE)</f>
        <v>#N/A</v>
      </c>
      <c r="Z313" s="163">
        <f t="shared" si="28"/>
        <v>0</v>
      </c>
    </row>
    <row r="314" spans="2:26">
      <c r="B314" s="202">
        <v>313</v>
      </c>
      <c r="C314" s="169"/>
      <c r="D314" s="169"/>
      <c r="E314" s="169"/>
      <c r="F314" s="177"/>
      <c r="H314" s="178"/>
      <c r="I314" s="179"/>
      <c r="J314" s="179"/>
      <c r="K314" s="179"/>
      <c r="L314" s="179"/>
      <c r="Q314">
        <f t="shared" si="24"/>
        <v>0</v>
      </c>
      <c r="R314">
        <f t="shared" si="25"/>
        <v>313</v>
      </c>
      <c r="S314">
        <f>IFERROR(SEARCH(Crewlist!$P$5,V314)+ROW()/100000,"")</f>
        <v>1.0031399999999999</v>
      </c>
      <c r="T314">
        <f t="shared" si="26"/>
        <v>313</v>
      </c>
      <c r="U314">
        <f t="shared" si="27"/>
        <v>0</v>
      </c>
      <c r="V314" t="str">
        <f t="shared" si="29"/>
        <v xml:space="preserve"> </v>
      </c>
      <c r="Y314" s="162" t="e">
        <f>VLOOKUP(B314,Crewlist!AS:AU,3,FALSE)</f>
        <v>#N/A</v>
      </c>
      <c r="Z314" s="163">
        <f t="shared" si="28"/>
        <v>0</v>
      </c>
    </row>
    <row r="315" spans="2:26">
      <c r="B315" s="171">
        <v>314</v>
      </c>
      <c r="C315" s="169"/>
      <c r="D315" s="169"/>
      <c r="E315" s="169"/>
      <c r="F315" s="176"/>
      <c r="H315" s="178"/>
      <c r="I315" s="179"/>
      <c r="J315" s="179"/>
      <c r="L315" s="179"/>
      <c r="Q315">
        <f t="shared" si="24"/>
        <v>0</v>
      </c>
      <c r="R315">
        <f t="shared" si="25"/>
        <v>314</v>
      </c>
      <c r="S315">
        <f>IFERROR(SEARCH(Crewlist!$P$5,V315)+ROW()/100000,"")</f>
        <v>1.00315</v>
      </c>
      <c r="T315">
        <f t="shared" si="26"/>
        <v>314</v>
      </c>
      <c r="U315">
        <f t="shared" si="27"/>
        <v>0</v>
      </c>
      <c r="V315" t="str">
        <f t="shared" si="29"/>
        <v xml:space="preserve"> </v>
      </c>
      <c r="Y315" s="162" t="e">
        <f>VLOOKUP(B315,Crewlist!AS:AU,3,FALSE)</f>
        <v>#N/A</v>
      </c>
      <c r="Z315" s="163">
        <f t="shared" si="28"/>
        <v>0</v>
      </c>
    </row>
    <row r="316" spans="2:26">
      <c r="B316" s="171">
        <v>315</v>
      </c>
      <c r="H316" s="173"/>
      <c r="I316" s="174"/>
      <c r="J316" s="174"/>
      <c r="Q316">
        <f t="shared" si="24"/>
        <v>0</v>
      </c>
      <c r="R316">
        <f t="shared" si="25"/>
        <v>315</v>
      </c>
      <c r="S316">
        <f>IFERROR(SEARCH(Crewlist!$P$5,V316)+ROW()/100000,"")</f>
        <v>1.0031600000000001</v>
      </c>
      <c r="T316">
        <f t="shared" si="26"/>
        <v>315</v>
      </c>
      <c r="U316">
        <f t="shared" si="27"/>
        <v>0</v>
      </c>
      <c r="V316" t="str">
        <f t="shared" si="29"/>
        <v xml:space="preserve"> </v>
      </c>
      <c r="Y316" s="162" t="e">
        <f>VLOOKUP(B316,Crewlist!AS:AU,3,FALSE)</f>
        <v>#N/A</v>
      </c>
      <c r="Z316" s="163">
        <f t="shared" si="28"/>
        <v>0</v>
      </c>
    </row>
    <row r="317" spans="2:26">
      <c r="B317" s="202">
        <v>316</v>
      </c>
      <c r="D317" s="169"/>
      <c r="F317" s="183"/>
      <c r="H317" s="173"/>
      <c r="I317" s="174"/>
      <c r="J317" s="174"/>
      <c r="L317" s="183"/>
      <c r="Q317">
        <f t="shared" si="24"/>
        <v>0</v>
      </c>
      <c r="R317">
        <f t="shared" si="25"/>
        <v>316</v>
      </c>
      <c r="S317">
        <f>IFERROR(SEARCH(Crewlist!$P$5,V317)+ROW()/100000,"")</f>
        <v>1.0031699999999999</v>
      </c>
      <c r="T317">
        <f t="shared" si="26"/>
        <v>316</v>
      </c>
      <c r="U317">
        <f t="shared" si="27"/>
        <v>0</v>
      </c>
      <c r="V317" t="str">
        <f t="shared" si="29"/>
        <v xml:space="preserve"> </v>
      </c>
      <c r="Y317" s="162" t="e">
        <f>VLOOKUP(B317,Crewlist!AS:AU,3,FALSE)</f>
        <v>#N/A</v>
      </c>
      <c r="Z317" s="163">
        <f t="shared" si="28"/>
        <v>0</v>
      </c>
    </row>
    <row r="318" spans="2:26">
      <c r="B318" s="171">
        <v>317</v>
      </c>
      <c r="C318" s="169"/>
      <c r="D318" s="169"/>
      <c r="E318" s="169"/>
      <c r="F318" s="176"/>
      <c r="H318" s="178"/>
      <c r="I318" s="179"/>
      <c r="J318" s="179"/>
      <c r="K318" s="179"/>
      <c r="L318" s="179"/>
      <c r="Q318">
        <f t="shared" si="24"/>
        <v>0</v>
      </c>
      <c r="R318">
        <f t="shared" si="25"/>
        <v>317</v>
      </c>
      <c r="S318">
        <f>IFERROR(SEARCH(Crewlist!$P$5,V318)+ROW()/100000,"")</f>
        <v>1.00318</v>
      </c>
      <c r="T318">
        <f t="shared" si="26"/>
        <v>317</v>
      </c>
      <c r="U318">
        <f t="shared" si="27"/>
        <v>0</v>
      </c>
      <c r="V318" t="str">
        <f t="shared" si="29"/>
        <v xml:space="preserve"> </v>
      </c>
      <c r="Y318" s="162" t="e">
        <f>VLOOKUP(B318,Crewlist!AS:AU,3,FALSE)</f>
        <v>#N/A</v>
      </c>
      <c r="Z318" s="163">
        <f t="shared" si="28"/>
        <v>0</v>
      </c>
    </row>
    <row r="319" spans="2:26">
      <c r="B319" s="171">
        <v>318</v>
      </c>
      <c r="C319" s="169"/>
      <c r="D319" s="169"/>
      <c r="E319" s="169"/>
      <c r="F319" s="176"/>
      <c r="H319" s="178"/>
      <c r="I319" s="179"/>
      <c r="J319" s="179"/>
      <c r="K319" s="179"/>
      <c r="L319" s="179"/>
      <c r="Q319">
        <f t="shared" si="24"/>
        <v>0</v>
      </c>
      <c r="R319">
        <f t="shared" si="25"/>
        <v>318</v>
      </c>
      <c r="S319">
        <f>IFERROR(SEARCH(Crewlist!$P$5,V319)+ROW()/100000,"")</f>
        <v>1.00319</v>
      </c>
      <c r="T319">
        <f t="shared" si="26"/>
        <v>318</v>
      </c>
      <c r="U319">
        <f t="shared" si="27"/>
        <v>0</v>
      </c>
      <c r="V319" t="str">
        <f t="shared" si="29"/>
        <v xml:space="preserve"> </v>
      </c>
      <c r="Y319" s="162" t="e">
        <f>VLOOKUP(B319,Crewlist!AS:AU,3,FALSE)</f>
        <v>#N/A</v>
      </c>
      <c r="Z319" s="163">
        <f t="shared" si="28"/>
        <v>0</v>
      </c>
    </row>
    <row r="320" spans="2:26">
      <c r="B320" s="202">
        <v>319</v>
      </c>
      <c r="C320" s="169"/>
      <c r="D320" s="169"/>
      <c r="E320" s="169"/>
      <c r="F320" s="176"/>
      <c r="H320" s="178"/>
      <c r="I320" s="179"/>
      <c r="J320" s="179"/>
      <c r="K320" s="179"/>
      <c r="L320" s="179"/>
      <c r="Q320">
        <f t="shared" si="24"/>
        <v>0</v>
      </c>
      <c r="R320">
        <f t="shared" si="25"/>
        <v>319</v>
      </c>
      <c r="S320">
        <f>IFERROR(SEARCH(Crewlist!$P$5,V320)+ROW()/100000,"")</f>
        <v>1.0032000000000001</v>
      </c>
      <c r="T320">
        <f t="shared" si="26"/>
        <v>319</v>
      </c>
      <c r="U320">
        <f t="shared" si="27"/>
        <v>0</v>
      </c>
      <c r="V320" t="str">
        <f t="shared" si="29"/>
        <v xml:space="preserve"> </v>
      </c>
      <c r="Y320" s="162" t="e">
        <f>VLOOKUP(B320,Crewlist!AS:AU,3,FALSE)</f>
        <v>#N/A</v>
      </c>
      <c r="Z320" s="163">
        <f t="shared" si="28"/>
        <v>0</v>
      </c>
    </row>
    <row r="321" spans="2:26">
      <c r="B321" s="171">
        <v>320</v>
      </c>
      <c r="C321" s="169"/>
      <c r="D321" s="169"/>
      <c r="E321" s="169"/>
      <c r="F321" s="176"/>
      <c r="H321" s="178"/>
      <c r="I321" s="179"/>
      <c r="J321" s="179"/>
      <c r="K321" s="179"/>
      <c r="L321" s="179"/>
      <c r="Q321">
        <f t="shared" ref="Q321:Q384" si="30">IF(C321&lt;&gt; "",B321,0)</f>
        <v>0</v>
      </c>
      <c r="R321">
        <f t="shared" si="25"/>
        <v>320</v>
      </c>
      <c r="S321">
        <f>IFERROR(SEARCH(Crewlist!$P$5,V321)+ROW()/100000,"")</f>
        <v>1.0032099999999999</v>
      </c>
      <c r="T321">
        <f t="shared" si="26"/>
        <v>320</v>
      </c>
      <c r="U321">
        <f t="shared" si="27"/>
        <v>0</v>
      </c>
      <c r="V321" t="str">
        <f t="shared" si="29"/>
        <v xml:space="preserve"> </v>
      </c>
      <c r="Y321" s="162" t="e">
        <f>VLOOKUP(B321,Crewlist!AS:AU,3,FALSE)</f>
        <v>#N/A</v>
      </c>
      <c r="Z321" s="163">
        <f t="shared" si="28"/>
        <v>0</v>
      </c>
    </row>
    <row r="322" spans="2:26">
      <c r="B322" s="171">
        <v>321</v>
      </c>
      <c r="C322" s="169"/>
      <c r="D322" s="169"/>
      <c r="E322" s="169"/>
      <c r="F322" s="176"/>
      <c r="H322" s="178"/>
      <c r="I322" s="179"/>
      <c r="J322" s="179"/>
      <c r="K322" s="179"/>
      <c r="L322" s="179"/>
      <c r="Q322">
        <f t="shared" si="30"/>
        <v>0</v>
      </c>
      <c r="R322">
        <f t="shared" ref="R322:R385" si="31">IFERROR(RANK(S322,$S$2:$S$1998,1),"")</f>
        <v>321</v>
      </c>
      <c r="S322">
        <f>IFERROR(SEARCH(Crewlist!$P$5,V322)+ROW()/100000,"")</f>
        <v>1.00322</v>
      </c>
      <c r="T322">
        <f t="shared" ref="T322:T385" si="32">B322</f>
        <v>321</v>
      </c>
      <c r="U322">
        <f t="shared" ref="U322:U385" si="33">C322</f>
        <v>0</v>
      </c>
      <c r="V322" t="str">
        <f t="shared" si="29"/>
        <v xml:space="preserve"> </v>
      </c>
      <c r="Y322" s="162" t="e">
        <f>VLOOKUP(B322,Crewlist!AS:AU,3,FALSE)</f>
        <v>#N/A</v>
      </c>
      <c r="Z322" s="163">
        <f t="shared" ref="Z322:Z385" si="34">IF(ISNUMBER(SEARCH("",Y322)),Y322,N322)</f>
        <v>0</v>
      </c>
    </row>
    <row r="323" spans="2:26">
      <c r="B323" s="202">
        <v>322</v>
      </c>
      <c r="C323" s="169"/>
      <c r="D323" s="169"/>
      <c r="E323" s="169"/>
      <c r="F323" s="176"/>
      <c r="H323" s="178"/>
      <c r="I323" s="179"/>
      <c r="J323" s="179"/>
      <c r="K323" s="179"/>
      <c r="L323" s="179"/>
      <c r="M323" s="180"/>
      <c r="Q323">
        <f t="shared" si="30"/>
        <v>0</v>
      </c>
      <c r="R323">
        <f t="shared" si="31"/>
        <v>322</v>
      </c>
      <c r="S323">
        <f>IFERROR(SEARCH(Crewlist!$P$5,V323)+ROW()/100000,"")</f>
        <v>1.0032300000000001</v>
      </c>
      <c r="T323">
        <f t="shared" si="32"/>
        <v>322</v>
      </c>
      <c r="U323">
        <f t="shared" si="33"/>
        <v>0</v>
      </c>
      <c r="V323" t="str">
        <f t="shared" ref="V323:V386" si="35">CONCATENATE(C323," ",D323)</f>
        <v xml:space="preserve"> </v>
      </c>
      <c r="Y323" s="162" t="e">
        <f>VLOOKUP(B323,Crewlist!AS:AU,3,FALSE)</f>
        <v>#N/A</v>
      </c>
      <c r="Z323" s="163">
        <f t="shared" si="34"/>
        <v>0</v>
      </c>
    </row>
    <row r="324" spans="2:26">
      <c r="B324" s="171">
        <v>323</v>
      </c>
      <c r="C324" s="169"/>
      <c r="D324" s="169"/>
      <c r="E324" s="169"/>
      <c r="F324" s="176"/>
      <c r="H324" s="178"/>
      <c r="I324" s="179"/>
      <c r="J324" s="179"/>
      <c r="K324" s="179"/>
      <c r="L324" s="179"/>
      <c r="Q324">
        <f t="shared" si="30"/>
        <v>0</v>
      </c>
      <c r="R324">
        <f t="shared" si="31"/>
        <v>323</v>
      </c>
      <c r="S324">
        <f>IFERROR(SEARCH(Crewlist!$P$5,V324)+ROW()/100000,"")</f>
        <v>1.0032399999999999</v>
      </c>
      <c r="T324">
        <f t="shared" si="32"/>
        <v>323</v>
      </c>
      <c r="U324">
        <f t="shared" si="33"/>
        <v>0</v>
      </c>
      <c r="V324" t="str">
        <f t="shared" si="35"/>
        <v xml:space="preserve"> </v>
      </c>
      <c r="Y324" s="162" t="e">
        <f>VLOOKUP(B324,Crewlist!AS:AU,3,FALSE)</f>
        <v>#N/A</v>
      </c>
      <c r="Z324" s="163">
        <f t="shared" si="34"/>
        <v>0</v>
      </c>
    </row>
    <row r="325" spans="2:26">
      <c r="B325" s="171">
        <v>324</v>
      </c>
      <c r="C325" s="169"/>
      <c r="D325" s="169"/>
      <c r="E325" s="169"/>
      <c r="F325" s="215"/>
      <c r="H325" s="178"/>
      <c r="I325" s="179"/>
      <c r="J325" s="179"/>
      <c r="K325" s="179"/>
      <c r="L325" s="215"/>
      <c r="Q325">
        <f t="shared" si="30"/>
        <v>0</v>
      </c>
      <c r="R325">
        <f t="shared" si="31"/>
        <v>324</v>
      </c>
      <c r="S325">
        <f>IFERROR(SEARCH(Crewlist!$P$5,V325)+ROW()/100000,"")</f>
        <v>1.00325</v>
      </c>
      <c r="T325">
        <f t="shared" si="32"/>
        <v>324</v>
      </c>
      <c r="U325">
        <f t="shared" si="33"/>
        <v>0</v>
      </c>
      <c r="V325" t="str">
        <f t="shared" si="35"/>
        <v xml:space="preserve"> </v>
      </c>
      <c r="Y325" s="162" t="e">
        <f>VLOOKUP(B325,Crewlist!AS:AU,3,FALSE)</f>
        <v>#N/A</v>
      </c>
      <c r="Z325" s="163">
        <f t="shared" si="34"/>
        <v>0</v>
      </c>
    </row>
    <row r="326" spans="2:26">
      <c r="B326" s="202">
        <v>325</v>
      </c>
      <c r="C326" s="169"/>
      <c r="D326" s="169"/>
      <c r="E326" s="169"/>
      <c r="F326" s="176"/>
      <c r="H326" s="178"/>
      <c r="I326" s="179"/>
      <c r="J326" s="179"/>
      <c r="K326" s="179"/>
      <c r="L326" s="179"/>
      <c r="Q326">
        <f t="shared" si="30"/>
        <v>0</v>
      </c>
      <c r="R326">
        <f t="shared" si="31"/>
        <v>325</v>
      </c>
      <c r="S326">
        <f>IFERROR(SEARCH(Crewlist!$P$5,V326)+ROW()/100000,"")</f>
        <v>1.00326</v>
      </c>
      <c r="T326">
        <f t="shared" si="32"/>
        <v>325</v>
      </c>
      <c r="U326">
        <f t="shared" si="33"/>
        <v>0</v>
      </c>
      <c r="V326" t="str">
        <f t="shared" si="35"/>
        <v xml:space="preserve"> </v>
      </c>
      <c r="Y326" s="162" t="e">
        <f>VLOOKUP(B326,Crewlist!AS:AU,3,FALSE)</f>
        <v>#N/A</v>
      </c>
      <c r="Z326" s="163">
        <f t="shared" si="34"/>
        <v>0</v>
      </c>
    </row>
    <row r="327" spans="2:26">
      <c r="B327" s="171">
        <v>326</v>
      </c>
      <c r="C327" s="169"/>
      <c r="D327" s="169"/>
      <c r="E327" s="169"/>
      <c r="F327" s="176"/>
      <c r="H327" s="178"/>
      <c r="I327" s="179"/>
      <c r="J327" s="179"/>
      <c r="K327" s="179"/>
      <c r="L327" s="179"/>
      <c r="Q327">
        <f t="shared" si="30"/>
        <v>0</v>
      </c>
      <c r="R327">
        <f t="shared" si="31"/>
        <v>326</v>
      </c>
      <c r="S327">
        <f>IFERROR(SEARCH(Crewlist!$P$5,V327)+ROW()/100000,"")</f>
        <v>1.0032700000000001</v>
      </c>
      <c r="T327">
        <f t="shared" si="32"/>
        <v>326</v>
      </c>
      <c r="U327">
        <f t="shared" si="33"/>
        <v>0</v>
      </c>
      <c r="V327" t="str">
        <f t="shared" si="35"/>
        <v xml:space="preserve"> </v>
      </c>
      <c r="Y327" s="162" t="e">
        <f>VLOOKUP(B327,Crewlist!AS:AU,3,FALSE)</f>
        <v>#N/A</v>
      </c>
      <c r="Z327" s="163">
        <f t="shared" si="34"/>
        <v>0</v>
      </c>
    </row>
    <row r="328" spans="2:26">
      <c r="B328" s="171">
        <v>327</v>
      </c>
      <c r="C328" s="169"/>
      <c r="D328" s="169"/>
      <c r="E328" s="169"/>
      <c r="F328" s="176"/>
      <c r="H328" s="178"/>
      <c r="I328" s="179"/>
      <c r="J328" s="179"/>
      <c r="K328" s="179"/>
      <c r="L328" s="179"/>
      <c r="Q328">
        <f t="shared" si="30"/>
        <v>0</v>
      </c>
      <c r="R328">
        <f t="shared" si="31"/>
        <v>327</v>
      </c>
      <c r="S328">
        <f>IFERROR(SEARCH(Crewlist!$P$5,V328)+ROW()/100000,"")</f>
        <v>1.0032799999999999</v>
      </c>
      <c r="T328">
        <f t="shared" si="32"/>
        <v>327</v>
      </c>
      <c r="U328">
        <f t="shared" si="33"/>
        <v>0</v>
      </c>
      <c r="V328" t="str">
        <f t="shared" si="35"/>
        <v xml:space="preserve"> </v>
      </c>
      <c r="Y328" s="162" t="e">
        <f>VLOOKUP(B328,Crewlist!AS:AU,3,FALSE)</f>
        <v>#N/A</v>
      </c>
      <c r="Z328" s="163">
        <f t="shared" si="34"/>
        <v>0</v>
      </c>
    </row>
    <row r="329" spans="2:26">
      <c r="B329" s="202">
        <v>328</v>
      </c>
      <c r="C329" s="169"/>
      <c r="D329" s="169"/>
      <c r="E329" s="169"/>
      <c r="F329" s="215"/>
      <c r="H329" s="178"/>
      <c r="I329" s="179"/>
      <c r="J329" s="179"/>
      <c r="K329" s="179"/>
      <c r="L329" s="215"/>
      <c r="Q329">
        <f t="shared" si="30"/>
        <v>0</v>
      </c>
      <c r="R329">
        <f t="shared" si="31"/>
        <v>328</v>
      </c>
      <c r="S329">
        <f>IFERROR(SEARCH(Crewlist!$P$5,V329)+ROW()/100000,"")</f>
        <v>1.00329</v>
      </c>
      <c r="T329">
        <f t="shared" si="32"/>
        <v>328</v>
      </c>
      <c r="U329">
        <f t="shared" si="33"/>
        <v>0</v>
      </c>
      <c r="V329" t="str">
        <f t="shared" si="35"/>
        <v xml:space="preserve"> </v>
      </c>
      <c r="Y329" s="162" t="e">
        <f>VLOOKUP(B329,Crewlist!AS:AU,3,FALSE)</f>
        <v>#N/A</v>
      </c>
      <c r="Z329" s="163">
        <f t="shared" si="34"/>
        <v>0</v>
      </c>
    </row>
    <row r="330" spans="2:26">
      <c r="B330" s="171">
        <v>329</v>
      </c>
      <c r="C330" s="169"/>
      <c r="D330" s="169"/>
      <c r="E330" s="169"/>
      <c r="F330" s="176"/>
      <c r="H330" s="178"/>
      <c r="I330" s="179"/>
      <c r="J330" s="179"/>
      <c r="K330" s="179"/>
      <c r="L330" s="179"/>
      <c r="Q330">
        <f t="shared" si="30"/>
        <v>0</v>
      </c>
      <c r="R330">
        <f t="shared" si="31"/>
        <v>329</v>
      </c>
      <c r="S330">
        <f>IFERROR(SEARCH(Crewlist!$P$5,V330)+ROW()/100000,"")</f>
        <v>1.0033000000000001</v>
      </c>
      <c r="T330">
        <f t="shared" si="32"/>
        <v>329</v>
      </c>
      <c r="U330">
        <f t="shared" si="33"/>
        <v>0</v>
      </c>
      <c r="V330" t="str">
        <f t="shared" si="35"/>
        <v xml:space="preserve"> </v>
      </c>
      <c r="Y330" s="162" t="e">
        <f>VLOOKUP(B330,Crewlist!AS:AU,3,FALSE)</f>
        <v>#N/A</v>
      </c>
      <c r="Z330" s="163">
        <f t="shared" si="34"/>
        <v>0</v>
      </c>
    </row>
    <row r="331" spans="2:26">
      <c r="B331" s="171">
        <v>330</v>
      </c>
      <c r="C331" s="169"/>
      <c r="D331" s="169"/>
      <c r="E331" s="169"/>
      <c r="F331" s="176"/>
      <c r="H331" s="178"/>
      <c r="I331" s="179"/>
      <c r="J331" s="179"/>
      <c r="K331" s="179"/>
      <c r="L331" s="179"/>
      <c r="Q331">
        <f t="shared" si="30"/>
        <v>0</v>
      </c>
      <c r="R331">
        <f t="shared" si="31"/>
        <v>330</v>
      </c>
      <c r="S331">
        <f>IFERROR(SEARCH(Crewlist!$P$5,V331)+ROW()/100000,"")</f>
        <v>1.0033099999999999</v>
      </c>
      <c r="T331">
        <f t="shared" si="32"/>
        <v>330</v>
      </c>
      <c r="U331">
        <f t="shared" si="33"/>
        <v>0</v>
      </c>
      <c r="V331" t="str">
        <f t="shared" si="35"/>
        <v xml:space="preserve"> </v>
      </c>
      <c r="Y331" s="162" t="e">
        <f>VLOOKUP(B331,Crewlist!AS:AU,3,FALSE)</f>
        <v>#N/A</v>
      </c>
      <c r="Z331" s="163">
        <f t="shared" si="34"/>
        <v>0</v>
      </c>
    </row>
    <row r="332" spans="2:26">
      <c r="B332" s="202">
        <v>331</v>
      </c>
      <c r="C332" s="169"/>
      <c r="D332" s="169"/>
      <c r="E332" s="169"/>
      <c r="F332" s="176"/>
      <c r="H332" s="178"/>
      <c r="I332" s="179"/>
      <c r="J332" s="179"/>
      <c r="K332" s="179"/>
      <c r="L332" s="179"/>
      <c r="M332" s="180"/>
      <c r="Q332">
        <f t="shared" si="30"/>
        <v>0</v>
      </c>
      <c r="R332">
        <f t="shared" si="31"/>
        <v>331</v>
      </c>
      <c r="S332">
        <f>IFERROR(SEARCH(Crewlist!$P$5,V332)+ROW()/100000,"")</f>
        <v>1.00332</v>
      </c>
      <c r="T332">
        <f t="shared" si="32"/>
        <v>331</v>
      </c>
      <c r="U332">
        <f t="shared" si="33"/>
        <v>0</v>
      </c>
      <c r="V332" t="str">
        <f t="shared" si="35"/>
        <v xml:space="preserve"> </v>
      </c>
      <c r="Y332" s="162" t="e">
        <f>VLOOKUP(B332,Crewlist!AS:AU,3,FALSE)</f>
        <v>#N/A</v>
      </c>
      <c r="Z332" s="163">
        <f t="shared" si="34"/>
        <v>0</v>
      </c>
    </row>
    <row r="333" spans="2:26">
      <c r="B333" s="171">
        <v>332</v>
      </c>
      <c r="C333" s="169"/>
      <c r="D333" s="169"/>
      <c r="E333" s="169"/>
      <c r="F333" s="176"/>
      <c r="H333" s="178"/>
      <c r="I333" s="179"/>
      <c r="J333" s="179"/>
      <c r="K333" s="179"/>
      <c r="L333" s="179"/>
      <c r="Q333">
        <f t="shared" si="30"/>
        <v>0</v>
      </c>
      <c r="R333">
        <f t="shared" si="31"/>
        <v>332</v>
      </c>
      <c r="S333">
        <f>IFERROR(SEARCH(Crewlist!$P$5,V333)+ROW()/100000,"")</f>
        <v>1.0033300000000001</v>
      </c>
      <c r="T333">
        <f t="shared" si="32"/>
        <v>332</v>
      </c>
      <c r="U333">
        <f t="shared" si="33"/>
        <v>0</v>
      </c>
      <c r="V333" t="str">
        <f t="shared" si="35"/>
        <v xml:space="preserve"> </v>
      </c>
      <c r="Y333" s="162" t="e">
        <f>VLOOKUP(B333,Crewlist!AS:AU,3,FALSE)</f>
        <v>#N/A</v>
      </c>
      <c r="Z333" s="163">
        <f t="shared" si="34"/>
        <v>0</v>
      </c>
    </row>
    <row r="334" spans="2:26">
      <c r="B334" s="171">
        <v>333</v>
      </c>
      <c r="C334" s="169"/>
      <c r="D334" s="169"/>
      <c r="E334" s="169"/>
      <c r="F334" s="176"/>
      <c r="H334" s="178"/>
      <c r="I334" s="179"/>
      <c r="J334" s="179"/>
      <c r="K334" s="179"/>
      <c r="L334" s="179"/>
      <c r="Q334">
        <f t="shared" si="30"/>
        <v>0</v>
      </c>
      <c r="R334">
        <f t="shared" si="31"/>
        <v>333</v>
      </c>
      <c r="S334">
        <f>IFERROR(SEARCH(Crewlist!$P$5,V334)+ROW()/100000,"")</f>
        <v>1.0033399999999999</v>
      </c>
      <c r="T334">
        <f t="shared" si="32"/>
        <v>333</v>
      </c>
      <c r="U334">
        <f t="shared" si="33"/>
        <v>0</v>
      </c>
      <c r="V334" t="str">
        <f t="shared" si="35"/>
        <v xml:space="preserve"> </v>
      </c>
      <c r="Y334" s="162" t="e">
        <f>VLOOKUP(B334,Crewlist!AS:AU,3,FALSE)</f>
        <v>#N/A</v>
      </c>
      <c r="Z334" s="163">
        <f t="shared" si="34"/>
        <v>0</v>
      </c>
    </row>
    <row r="335" spans="2:26">
      <c r="B335" s="202">
        <v>334</v>
      </c>
      <c r="C335" s="169"/>
      <c r="D335" s="169"/>
      <c r="E335" s="169"/>
      <c r="F335" s="176"/>
      <c r="H335" s="178"/>
      <c r="I335" s="179"/>
      <c r="J335" s="179"/>
      <c r="K335" s="179"/>
      <c r="L335" s="179"/>
      <c r="Q335">
        <f t="shared" si="30"/>
        <v>0</v>
      </c>
      <c r="R335">
        <f t="shared" si="31"/>
        <v>334</v>
      </c>
      <c r="S335">
        <f>IFERROR(SEARCH(Crewlist!$P$5,V335)+ROW()/100000,"")</f>
        <v>1.00335</v>
      </c>
      <c r="T335">
        <f t="shared" si="32"/>
        <v>334</v>
      </c>
      <c r="U335">
        <f t="shared" si="33"/>
        <v>0</v>
      </c>
      <c r="V335" t="str">
        <f t="shared" si="35"/>
        <v xml:space="preserve"> </v>
      </c>
      <c r="Y335" s="162" t="e">
        <f>VLOOKUP(B335,Crewlist!AS:AU,3,FALSE)</f>
        <v>#N/A</v>
      </c>
      <c r="Z335" s="163">
        <f t="shared" si="34"/>
        <v>0</v>
      </c>
    </row>
    <row r="336" spans="2:26">
      <c r="B336" s="171">
        <v>335</v>
      </c>
      <c r="C336" s="169"/>
      <c r="D336" s="169"/>
      <c r="E336" s="169"/>
      <c r="F336" s="176"/>
      <c r="H336" s="178"/>
      <c r="I336" s="179"/>
      <c r="J336" s="179"/>
      <c r="K336" s="179"/>
      <c r="L336" s="179"/>
      <c r="Q336">
        <f t="shared" si="30"/>
        <v>0</v>
      </c>
      <c r="R336">
        <f t="shared" si="31"/>
        <v>335</v>
      </c>
      <c r="S336">
        <f>IFERROR(SEARCH(Crewlist!$P$5,V336)+ROW()/100000,"")</f>
        <v>1.00336</v>
      </c>
      <c r="T336">
        <f t="shared" si="32"/>
        <v>335</v>
      </c>
      <c r="U336">
        <f t="shared" si="33"/>
        <v>0</v>
      </c>
      <c r="V336" t="str">
        <f t="shared" si="35"/>
        <v xml:space="preserve"> </v>
      </c>
      <c r="Y336" s="162" t="e">
        <f>VLOOKUP(B336,Crewlist!AS:AU,3,FALSE)</f>
        <v>#N/A</v>
      </c>
      <c r="Z336" s="163">
        <f t="shared" si="34"/>
        <v>0</v>
      </c>
    </row>
    <row r="337" spans="2:26">
      <c r="B337" s="171">
        <v>336</v>
      </c>
      <c r="C337" s="169"/>
      <c r="D337" s="169"/>
      <c r="E337" s="169"/>
      <c r="F337" s="176"/>
      <c r="H337" s="169"/>
      <c r="I337" s="176"/>
      <c r="J337" s="176"/>
      <c r="K337" s="179"/>
      <c r="L337" s="179"/>
      <c r="Q337">
        <f t="shared" si="30"/>
        <v>0</v>
      </c>
      <c r="R337">
        <f t="shared" si="31"/>
        <v>336</v>
      </c>
      <c r="S337">
        <f>IFERROR(SEARCH(Crewlist!$P$5,V337)+ROW()/100000,"")</f>
        <v>1.0033700000000001</v>
      </c>
      <c r="T337">
        <f t="shared" si="32"/>
        <v>336</v>
      </c>
      <c r="U337">
        <f t="shared" si="33"/>
        <v>0</v>
      </c>
      <c r="V337" t="str">
        <f t="shared" si="35"/>
        <v xml:space="preserve"> </v>
      </c>
      <c r="Y337" s="162" t="e">
        <f>VLOOKUP(B337,Crewlist!AS:AU,3,FALSE)</f>
        <v>#N/A</v>
      </c>
      <c r="Z337" s="163">
        <f t="shared" si="34"/>
        <v>0</v>
      </c>
    </row>
    <row r="338" spans="2:26">
      <c r="B338" s="202">
        <v>337</v>
      </c>
      <c r="C338" s="169"/>
      <c r="D338" s="169"/>
      <c r="E338" s="169"/>
      <c r="F338" s="176"/>
      <c r="H338" s="178"/>
      <c r="I338" s="179"/>
      <c r="J338" s="179"/>
      <c r="K338" s="179"/>
      <c r="L338" s="179"/>
      <c r="Q338">
        <f t="shared" si="30"/>
        <v>0</v>
      </c>
      <c r="R338">
        <f t="shared" si="31"/>
        <v>337</v>
      </c>
      <c r="S338">
        <f>IFERROR(SEARCH(Crewlist!$P$5,V338)+ROW()/100000,"")</f>
        <v>1.0033799999999999</v>
      </c>
      <c r="T338">
        <f t="shared" si="32"/>
        <v>337</v>
      </c>
      <c r="U338">
        <f t="shared" si="33"/>
        <v>0</v>
      </c>
      <c r="V338" t="str">
        <f t="shared" si="35"/>
        <v xml:space="preserve"> </v>
      </c>
      <c r="Y338" s="162" t="e">
        <f>VLOOKUP(B338,Crewlist!AS:AU,3,FALSE)</f>
        <v>#N/A</v>
      </c>
      <c r="Z338" s="163">
        <f t="shared" si="34"/>
        <v>0</v>
      </c>
    </row>
    <row r="339" spans="2:26">
      <c r="B339" s="171">
        <v>338</v>
      </c>
      <c r="C339" s="169"/>
      <c r="D339" s="169"/>
      <c r="E339" s="169"/>
      <c r="F339" s="176"/>
      <c r="H339" s="178"/>
      <c r="I339" s="179"/>
      <c r="J339" s="179"/>
      <c r="K339" s="179"/>
      <c r="L339" s="179"/>
      <c r="Q339">
        <f t="shared" si="30"/>
        <v>0</v>
      </c>
      <c r="R339">
        <f t="shared" si="31"/>
        <v>338</v>
      </c>
      <c r="S339">
        <f>IFERROR(SEARCH(Crewlist!$P$5,V339)+ROW()/100000,"")</f>
        <v>1.00339</v>
      </c>
      <c r="T339">
        <f t="shared" si="32"/>
        <v>338</v>
      </c>
      <c r="U339">
        <f t="shared" si="33"/>
        <v>0</v>
      </c>
      <c r="V339" t="str">
        <f t="shared" si="35"/>
        <v xml:space="preserve"> </v>
      </c>
      <c r="Y339" s="162" t="e">
        <f>VLOOKUP(B339,Crewlist!AS:AU,3,FALSE)</f>
        <v>#N/A</v>
      </c>
      <c r="Z339" s="163">
        <f t="shared" si="34"/>
        <v>0</v>
      </c>
    </row>
    <row r="340" spans="2:26">
      <c r="B340" s="171">
        <v>339</v>
      </c>
      <c r="C340" s="169"/>
      <c r="D340" s="169"/>
      <c r="E340" s="169"/>
      <c r="F340" s="176"/>
      <c r="H340" s="169"/>
      <c r="I340" s="176"/>
      <c r="J340" s="176"/>
      <c r="K340" s="179"/>
      <c r="L340" s="179"/>
      <c r="M340" s="180"/>
      <c r="Q340">
        <f t="shared" si="30"/>
        <v>0</v>
      </c>
      <c r="R340">
        <f t="shared" si="31"/>
        <v>339</v>
      </c>
      <c r="S340">
        <f>IFERROR(SEARCH(Crewlist!$P$5,V340)+ROW()/100000,"")</f>
        <v>1.0034000000000001</v>
      </c>
      <c r="T340">
        <f t="shared" si="32"/>
        <v>339</v>
      </c>
      <c r="U340">
        <f t="shared" si="33"/>
        <v>0</v>
      </c>
      <c r="V340" t="str">
        <f t="shared" si="35"/>
        <v xml:space="preserve"> </v>
      </c>
      <c r="Y340" s="162" t="e">
        <f>VLOOKUP(B340,Crewlist!AS:AU,3,FALSE)</f>
        <v>#N/A</v>
      </c>
      <c r="Z340" s="163">
        <f t="shared" si="34"/>
        <v>0</v>
      </c>
    </row>
    <row r="341" spans="2:26">
      <c r="B341" s="202">
        <v>340</v>
      </c>
      <c r="C341" s="169"/>
      <c r="D341" s="169"/>
      <c r="E341" s="169"/>
      <c r="F341" s="176"/>
      <c r="H341" s="178"/>
      <c r="I341" s="179"/>
      <c r="J341" s="179"/>
      <c r="K341" s="179"/>
      <c r="L341" s="179"/>
      <c r="Q341">
        <f t="shared" si="30"/>
        <v>0</v>
      </c>
      <c r="R341">
        <f t="shared" si="31"/>
        <v>340</v>
      </c>
      <c r="S341">
        <f>IFERROR(SEARCH(Crewlist!$P$5,V341)+ROW()/100000,"")</f>
        <v>1.0034099999999999</v>
      </c>
      <c r="T341">
        <f t="shared" si="32"/>
        <v>340</v>
      </c>
      <c r="U341">
        <f t="shared" si="33"/>
        <v>0</v>
      </c>
      <c r="V341" t="str">
        <f t="shared" si="35"/>
        <v xml:space="preserve"> </v>
      </c>
      <c r="Y341" s="162" t="e">
        <f>VLOOKUP(B341,Crewlist!AS:AU,3,FALSE)</f>
        <v>#N/A</v>
      </c>
      <c r="Z341" s="163">
        <f t="shared" si="34"/>
        <v>0</v>
      </c>
    </row>
    <row r="342" spans="2:26">
      <c r="B342" s="171">
        <v>341</v>
      </c>
      <c r="C342" s="169"/>
      <c r="D342" s="169"/>
      <c r="E342" s="169"/>
      <c r="F342" s="215"/>
      <c r="H342" s="178"/>
      <c r="I342" s="179"/>
      <c r="J342" s="179"/>
      <c r="K342" s="179"/>
      <c r="L342" s="215"/>
      <c r="Q342">
        <f t="shared" si="30"/>
        <v>0</v>
      </c>
      <c r="R342">
        <f t="shared" si="31"/>
        <v>341</v>
      </c>
      <c r="S342">
        <f>IFERROR(SEARCH(Crewlist!$P$5,V342)+ROW()/100000,"")</f>
        <v>1.00342</v>
      </c>
      <c r="T342">
        <f t="shared" si="32"/>
        <v>341</v>
      </c>
      <c r="U342">
        <f t="shared" si="33"/>
        <v>0</v>
      </c>
      <c r="V342" t="str">
        <f t="shared" si="35"/>
        <v xml:space="preserve"> </v>
      </c>
      <c r="Y342" s="162" t="e">
        <f>VLOOKUP(B342,Crewlist!AS:AU,3,FALSE)</f>
        <v>#N/A</v>
      </c>
      <c r="Z342" s="163">
        <f t="shared" si="34"/>
        <v>0</v>
      </c>
    </row>
    <row r="343" spans="2:26">
      <c r="B343" s="171">
        <v>342</v>
      </c>
      <c r="C343" s="169"/>
      <c r="D343" s="169"/>
      <c r="E343" s="169"/>
      <c r="F343" s="176"/>
      <c r="H343" s="178"/>
      <c r="I343" s="179"/>
      <c r="J343" s="179"/>
      <c r="K343" s="179"/>
      <c r="L343" s="179"/>
      <c r="Q343">
        <f t="shared" si="30"/>
        <v>0</v>
      </c>
      <c r="R343">
        <f t="shared" si="31"/>
        <v>342</v>
      </c>
      <c r="S343">
        <f>IFERROR(SEARCH(Crewlist!$P$5,V343)+ROW()/100000,"")</f>
        <v>1.00343</v>
      </c>
      <c r="T343">
        <f t="shared" si="32"/>
        <v>342</v>
      </c>
      <c r="U343">
        <f t="shared" si="33"/>
        <v>0</v>
      </c>
      <c r="V343" t="str">
        <f t="shared" si="35"/>
        <v xml:space="preserve"> </v>
      </c>
      <c r="Y343" s="162" t="e">
        <f>VLOOKUP(B343,Crewlist!AS:AU,3,FALSE)</f>
        <v>#N/A</v>
      </c>
      <c r="Z343" s="163">
        <f t="shared" si="34"/>
        <v>0</v>
      </c>
    </row>
    <row r="344" spans="2:26">
      <c r="B344" s="202">
        <v>343</v>
      </c>
      <c r="C344" s="169"/>
      <c r="D344" s="169"/>
      <c r="E344" s="169"/>
      <c r="F344" s="176"/>
      <c r="H344" s="169"/>
      <c r="I344" s="176"/>
      <c r="J344" s="176"/>
      <c r="K344" s="179"/>
      <c r="L344" s="179"/>
      <c r="Q344">
        <f t="shared" si="30"/>
        <v>0</v>
      </c>
      <c r="R344">
        <f t="shared" si="31"/>
        <v>343</v>
      </c>
      <c r="S344">
        <f>IFERROR(SEARCH(Crewlist!$P$5,V344)+ROW()/100000,"")</f>
        <v>1.0034400000000001</v>
      </c>
      <c r="T344">
        <f t="shared" si="32"/>
        <v>343</v>
      </c>
      <c r="U344">
        <f t="shared" si="33"/>
        <v>0</v>
      </c>
      <c r="V344" t="str">
        <f t="shared" si="35"/>
        <v xml:space="preserve"> </v>
      </c>
      <c r="Y344" s="162" t="e">
        <f>VLOOKUP(B344,Crewlist!AS:AU,3,FALSE)</f>
        <v>#N/A</v>
      </c>
      <c r="Z344" s="163">
        <f t="shared" si="34"/>
        <v>0</v>
      </c>
    </row>
    <row r="345" spans="2:26">
      <c r="B345" s="171">
        <v>344</v>
      </c>
      <c r="C345" s="169"/>
      <c r="D345" s="169"/>
      <c r="E345" s="169"/>
      <c r="F345" s="176"/>
      <c r="H345" s="178"/>
      <c r="I345" s="179"/>
      <c r="J345" s="179"/>
      <c r="K345" s="179"/>
      <c r="L345" s="179"/>
      <c r="Q345">
        <f t="shared" si="30"/>
        <v>0</v>
      </c>
      <c r="R345">
        <f t="shared" si="31"/>
        <v>344</v>
      </c>
      <c r="S345">
        <f>IFERROR(SEARCH(Crewlist!$P$5,V345)+ROW()/100000,"")</f>
        <v>1.00345</v>
      </c>
      <c r="T345">
        <f t="shared" si="32"/>
        <v>344</v>
      </c>
      <c r="U345">
        <f t="shared" si="33"/>
        <v>0</v>
      </c>
      <c r="V345" t="str">
        <f t="shared" si="35"/>
        <v xml:space="preserve"> </v>
      </c>
      <c r="Y345" s="162" t="e">
        <f>VLOOKUP(B345,Crewlist!AS:AU,3,FALSE)</f>
        <v>#N/A</v>
      </c>
      <c r="Z345" s="163">
        <f t="shared" si="34"/>
        <v>0</v>
      </c>
    </row>
    <row r="346" spans="2:26">
      <c r="B346" s="171">
        <v>345</v>
      </c>
      <c r="C346" s="169"/>
      <c r="D346" s="169"/>
      <c r="E346" s="169"/>
      <c r="F346" s="176"/>
      <c r="H346" s="178"/>
      <c r="I346" s="179"/>
      <c r="J346" s="179"/>
      <c r="K346" s="179"/>
      <c r="L346" s="179"/>
      <c r="Q346">
        <f t="shared" si="30"/>
        <v>0</v>
      </c>
      <c r="R346">
        <f t="shared" si="31"/>
        <v>345</v>
      </c>
      <c r="S346">
        <f>IFERROR(SEARCH(Crewlist!$P$5,V346)+ROW()/100000,"")</f>
        <v>1.00346</v>
      </c>
      <c r="T346">
        <f t="shared" si="32"/>
        <v>345</v>
      </c>
      <c r="U346">
        <f t="shared" si="33"/>
        <v>0</v>
      </c>
      <c r="V346" t="str">
        <f t="shared" si="35"/>
        <v xml:space="preserve"> </v>
      </c>
      <c r="Y346" s="162" t="e">
        <f>VLOOKUP(B346,Crewlist!AS:AU,3,FALSE)</f>
        <v>#N/A</v>
      </c>
      <c r="Z346" s="163">
        <f t="shared" si="34"/>
        <v>0</v>
      </c>
    </row>
    <row r="347" spans="2:26">
      <c r="B347" s="202">
        <v>346</v>
      </c>
      <c r="C347" s="169"/>
      <c r="D347" s="169"/>
      <c r="E347" s="169"/>
      <c r="F347" s="176"/>
      <c r="H347" s="178"/>
      <c r="I347" s="179"/>
      <c r="J347" s="179"/>
      <c r="K347" s="179"/>
      <c r="L347" s="179"/>
      <c r="Q347">
        <f t="shared" si="30"/>
        <v>0</v>
      </c>
      <c r="R347">
        <f t="shared" si="31"/>
        <v>346</v>
      </c>
      <c r="S347">
        <f>IFERROR(SEARCH(Crewlist!$P$5,V347)+ROW()/100000,"")</f>
        <v>1.0034700000000001</v>
      </c>
      <c r="T347">
        <f t="shared" si="32"/>
        <v>346</v>
      </c>
      <c r="U347">
        <f t="shared" si="33"/>
        <v>0</v>
      </c>
      <c r="V347" t="str">
        <f t="shared" si="35"/>
        <v xml:space="preserve"> </v>
      </c>
      <c r="Y347" s="162" t="e">
        <f>VLOOKUP(B347,Crewlist!AS:AU,3,FALSE)</f>
        <v>#N/A</v>
      </c>
      <c r="Z347" s="163">
        <f t="shared" si="34"/>
        <v>0</v>
      </c>
    </row>
    <row r="348" spans="2:26">
      <c r="B348" s="171">
        <v>347</v>
      </c>
      <c r="C348" s="169"/>
      <c r="D348" s="169"/>
      <c r="E348" s="169"/>
      <c r="F348" s="176"/>
      <c r="H348" s="178"/>
      <c r="I348" s="179"/>
      <c r="J348" s="179"/>
      <c r="K348" s="179"/>
      <c r="L348" s="179"/>
      <c r="Q348">
        <f t="shared" si="30"/>
        <v>0</v>
      </c>
      <c r="R348">
        <f t="shared" si="31"/>
        <v>347</v>
      </c>
      <c r="S348">
        <f>IFERROR(SEARCH(Crewlist!$P$5,V348)+ROW()/100000,"")</f>
        <v>1.0034799999999999</v>
      </c>
      <c r="T348">
        <f t="shared" si="32"/>
        <v>347</v>
      </c>
      <c r="U348">
        <f t="shared" si="33"/>
        <v>0</v>
      </c>
      <c r="V348" t="str">
        <f t="shared" si="35"/>
        <v xml:space="preserve"> </v>
      </c>
      <c r="Y348" s="162" t="e">
        <f>VLOOKUP(B348,Crewlist!AS:AU,3,FALSE)</f>
        <v>#N/A</v>
      </c>
      <c r="Z348" s="163">
        <f t="shared" si="34"/>
        <v>0</v>
      </c>
    </row>
    <row r="349" spans="2:26">
      <c r="B349" s="171">
        <v>348</v>
      </c>
      <c r="C349" s="169"/>
      <c r="D349" s="169"/>
      <c r="E349" s="169"/>
      <c r="F349" s="176"/>
      <c r="H349" s="178"/>
      <c r="I349" s="179"/>
      <c r="J349" s="179"/>
      <c r="K349" s="179"/>
      <c r="L349" s="179"/>
      <c r="Q349">
        <f t="shared" si="30"/>
        <v>0</v>
      </c>
      <c r="R349">
        <f t="shared" si="31"/>
        <v>348</v>
      </c>
      <c r="S349">
        <f>IFERROR(SEARCH(Crewlist!$P$5,V349)+ROW()/100000,"")</f>
        <v>1.00349</v>
      </c>
      <c r="T349">
        <f t="shared" si="32"/>
        <v>348</v>
      </c>
      <c r="U349">
        <f t="shared" si="33"/>
        <v>0</v>
      </c>
      <c r="V349" t="str">
        <f t="shared" si="35"/>
        <v xml:space="preserve"> </v>
      </c>
      <c r="Y349" s="162" t="e">
        <f>VLOOKUP(B349,Crewlist!AS:AU,3,FALSE)</f>
        <v>#N/A</v>
      </c>
      <c r="Z349" s="163">
        <f t="shared" si="34"/>
        <v>0</v>
      </c>
    </row>
    <row r="350" spans="2:26">
      <c r="B350" s="202">
        <v>349</v>
      </c>
      <c r="C350" s="169"/>
      <c r="D350" s="169"/>
      <c r="E350" s="169"/>
      <c r="F350" s="176"/>
      <c r="H350" s="178"/>
      <c r="I350" s="179"/>
      <c r="J350" s="179"/>
      <c r="K350" s="179"/>
      <c r="L350" s="179"/>
      <c r="Q350">
        <f t="shared" si="30"/>
        <v>0</v>
      </c>
      <c r="R350">
        <f t="shared" si="31"/>
        <v>349</v>
      </c>
      <c r="S350">
        <f>IFERROR(SEARCH(Crewlist!$P$5,V350)+ROW()/100000,"")</f>
        <v>1.0035000000000001</v>
      </c>
      <c r="T350">
        <f t="shared" si="32"/>
        <v>349</v>
      </c>
      <c r="U350">
        <f t="shared" si="33"/>
        <v>0</v>
      </c>
      <c r="V350" t="str">
        <f t="shared" si="35"/>
        <v xml:space="preserve"> </v>
      </c>
      <c r="Y350" s="162" t="e">
        <f>VLOOKUP(B350,Crewlist!AS:AU,3,FALSE)</f>
        <v>#N/A</v>
      </c>
      <c r="Z350" s="163">
        <f t="shared" si="34"/>
        <v>0</v>
      </c>
    </row>
    <row r="351" spans="2:26">
      <c r="B351" s="171">
        <v>350</v>
      </c>
      <c r="C351" s="169"/>
      <c r="D351" s="169"/>
      <c r="E351" s="169"/>
      <c r="F351" s="176"/>
      <c r="H351" s="178"/>
      <c r="I351" s="179"/>
      <c r="J351" s="179"/>
      <c r="K351" s="179"/>
      <c r="L351" s="179"/>
      <c r="Q351">
        <f t="shared" si="30"/>
        <v>0</v>
      </c>
      <c r="R351">
        <f t="shared" si="31"/>
        <v>350</v>
      </c>
      <c r="S351">
        <f>IFERROR(SEARCH(Crewlist!$P$5,V351)+ROW()/100000,"")</f>
        <v>1.0035099999999999</v>
      </c>
      <c r="T351">
        <f t="shared" si="32"/>
        <v>350</v>
      </c>
      <c r="U351">
        <f t="shared" si="33"/>
        <v>0</v>
      </c>
      <c r="V351" t="str">
        <f t="shared" si="35"/>
        <v xml:space="preserve"> </v>
      </c>
      <c r="Y351" s="162" t="e">
        <f>VLOOKUP(B351,Crewlist!AS:AU,3,FALSE)</f>
        <v>#N/A</v>
      </c>
      <c r="Z351" s="163">
        <f t="shared" si="34"/>
        <v>0</v>
      </c>
    </row>
    <row r="352" spans="2:26">
      <c r="B352" s="171">
        <v>351</v>
      </c>
      <c r="C352" s="169"/>
      <c r="D352" s="169"/>
      <c r="E352" s="169"/>
      <c r="F352" s="176"/>
      <c r="H352" s="178"/>
      <c r="I352" s="179"/>
      <c r="J352" s="179"/>
      <c r="K352" s="179"/>
      <c r="Q352">
        <f t="shared" si="30"/>
        <v>0</v>
      </c>
      <c r="R352">
        <f t="shared" si="31"/>
        <v>351</v>
      </c>
      <c r="S352">
        <f>IFERROR(SEARCH(Crewlist!$P$5,V352)+ROW()/100000,"")</f>
        <v>1.00352</v>
      </c>
      <c r="T352">
        <f t="shared" si="32"/>
        <v>351</v>
      </c>
      <c r="U352">
        <f t="shared" si="33"/>
        <v>0</v>
      </c>
      <c r="V352" t="str">
        <f t="shared" si="35"/>
        <v xml:space="preserve"> </v>
      </c>
      <c r="Y352" s="162" t="e">
        <f>VLOOKUP(B352,Crewlist!AS:AU,3,FALSE)</f>
        <v>#N/A</v>
      </c>
      <c r="Z352" s="163">
        <f t="shared" si="34"/>
        <v>0</v>
      </c>
    </row>
    <row r="353" spans="2:26">
      <c r="B353" s="202">
        <v>352</v>
      </c>
      <c r="C353" s="169"/>
      <c r="D353" s="169"/>
      <c r="E353" s="169"/>
      <c r="F353" s="176"/>
      <c r="H353" s="178"/>
      <c r="I353" s="179"/>
      <c r="J353" s="179"/>
      <c r="K353" s="179"/>
      <c r="Q353">
        <f t="shared" si="30"/>
        <v>0</v>
      </c>
      <c r="R353">
        <f t="shared" si="31"/>
        <v>352</v>
      </c>
      <c r="S353">
        <f>IFERROR(SEARCH(Crewlist!$P$5,V353)+ROW()/100000,"")</f>
        <v>1.00353</v>
      </c>
      <c r="T353">
        <f t="shared" si="32"/>
        <v>352</v>
      </c>
      <c r="U353">
        <f t="shared" si="33"/>
        <v>0</v>
      </c>
      <c r="V353" t="str">
        <f t="shared" si="35"/>
        <v xml:space="preserve"> </v>
      </c>
      <c r="Y353" s="162" t="e">
        <f>VLOOKUP(B353,Crewlist!AS:AU,3,FALSE)</f>
        <v>#N/A</v>
      </c>
      <c r="Z353" s="163">
        <f t="shared" si="34"/>
        <v>0</v>
      </c>
    </row>
    <row r="354" spans="2:26">
      <c r="B354" s="171">
        <v>353</v>
      </c>
      <c r="C354" s="169"/>
      <c r="D354" s="169"/>
      <c r="E354" s="169"/>
      <c r="F354" s="176"/>
      <c r="H354" s="178"/>
      <c r="I354" s="179"/>
      <c r="J354" s="179"/>
      <c r="K354" s="179"/>
      <c r="Q354">
        <f t="shared" si="30"/>
        <v>0</v>
      </c>
      <c r="R354">
        <f t="shared" si="31"/>
        <v>353</v>
      </c>
      <c r="S354">
        <f>IFERROR(SEARCH(Crewlist!$P$5,V354)+ROW()/100000,"")</f>
        <v>1.0035400000000001</v>
      </c>
      <c r="T354">
        <f t="shared" si="32"/>
        <v>353</v>
      </c>
      <c r="U354">
        <f t="shared" si="33"/>
        <v>0</v>
      </c>
      <c r="V354" t="str">
        <f t="shared" si="35"/>
        <v xml:space="preserve"> </v>
      </c>
      <c r="Y354" s="162" t="e">
        <f>VLOOKUP(B354,Crewlist!AS:AU,3,FALSE)</f>
        <v>#N/A</v>
      </c>
      <c r="Z354" s="163">
        <f t="shared" si="34"/>
        <v>0</v>
      </c>
    </row>
    <row r="355" spans="2:26">
      <c r="B355" s="171">
        <v>354</v>
      </c>
      <c r="C355" s="169"/>
      <c r="D355" s="169"/>
      <c r="E355" s="169"/>
      <c r="F355" s="176"/>
      <c r="H355" s="178"/>
      <c r="I355" s="179"/>
      <c r="J355" s="179"/>
      <c r="K355" s="179"/>
      <c r="Q355">
        <f t="shared" si="30"/>
        <v>0</v>
      </c>
      <c r="R355">
        <f t="shared" si="31"/>
        <v>354</v>
      </c>
      <c r="S355">
        <f>IFERROR(SEARCH(Crewlist!$P$5,V355)+ROW()/100000,"")</f>
        <v>1.0035499999999999</v>
      </c>
      <c r="T355">
        <f t="shared" si="32"/>
        <v>354</v>
      </c>
      <c r="U355">
        <f t="shared" si="33"/>
        <v>0</v>
      </c>
      <c r="V355" t="str">
        <f t="shared" si="35"/>
        <v xml:space="preserve"> </v>
      </c>
      <c r="Y355" s="162" t="e">
        <f>VLOOKUP(B355,Crewlist!AS:AU,3,FALSE)</f>
        <v>#N/A</v>
      </c>
      <c r="Z355" s="163">
        <f t="shared" si="34"/>
        <v>0</v>
      </c>
    </row>
    <row r="356" spans="2:26">
      <c r="B356" s="202">
        <v>355</v>
      </c>
      <c r="C356" s="169"/>
      <c r="D356" s="169"/>
      <c r="E356" s="169"/>
      <c r="F356" s="176"/>
      <c r="H356" s="178"/>
      <c r="I356" s="179"/>
      <c r="J356" s="179"/>
      <c r="K356" s="179"/>
      <c r="Q356">
        <f t="shared" si="30"/>
        <v>0</v>
      </c>
      <c r="R356">
        <f t="shared" si="31"/>
        <v>355</v>
      </c>
      <c r="S356">
        <f>IFERROR(SEARCH(Crewlist!$P$5,V356)+ROW()/100000,"")</f>
        <v>1.00356</v>
      </c>
      <c r="T356">
        <f t="shared" si="32"/>
        <v>355</v>
      </c>
      <c r="U356">
        <f t="shared" si="33"/>
        <v>0</v>
      </c>
      <c r="V356" t="str">
        <f t="shared" si="35"/>
        <v xml:space="preserve"> </v>
      </c>
      <c r="Y356" s="162" t="e">
        <f>VLOOKUP(B356,Crewlist!AS:AU,3,FALSE)</f>
        <v>#N/A</v>
      </c>
      <c r="Z356" s="163">
        <f t="shared" si="34"/>
        <v>0</v>
      </c>
    </row>
    <row r="357" spans="2:26">
      <c r="B357" s="171">
        <v>356</v>
      </c>
      <c r="C357" s="169"/>
      <c r="D357" s="169"/>
      <c r="E357" s="169"/>
      <c r="F357" s="176"/>
      <c r="H357" s="178"/>
      <c r="I357" s="179"/>
      <c r="J357" s="179"/>
      <c r="K357" s="179"/>
      <c r="Q357">
        <f t="shared" si="30"/>
        <v>0</v>
      </c>
      <c r="R357">
        <f t="shared" si="31"/>
        <v>356</v>
      </c>
      <c r="S357">
        <f>IFERROR(SEARCH(Crewlist!$P$5,V357)+ROW()/100000,"")</f>
        <v>1.0035700000000001</v>
      </c>
      <c r="T357">
        <f t="shared" si="32"/>
        <v>356</v>
      </c>
      <c r="U357">
        <f t="shared" si="33"/>
        <v>0</v>
      </c>
      <c r="V357" t="str">
        <f t="shared" si="35"/>
        <v xml:space="preserve"> </v>
      </c>
      <c r="Y357" s="162" t="e">
        <f>VLOOKUP(B357,Crewlist!AS:AU,3,FALSE)</f>
        <v>#N/A</v>
      </c>
      <c r="Z357" s="163">
        <f t="shared" si="34"/>
        <v>0</v>
      </c>
    </row>
    <row r="358" spans="2:26">
      <c r="B358" s="171">
        <v>357</v>
      </c>
      <c r="C358" s="169"/>
      <c r="D358" s="169"/>
      <c r="E358" s="169"/>
      <c r="F358" s="215"/>
      <c r="G358" s="177"/>
      <c r="H358" s="178"/>
      <c r="I358" s="179"/>
      <c r="J358" s="179"/>
      <c r="K358" s="179"/>
      <c r="Q358">
        <f t="shared" si="30"/>
        <v>0</v>
      </c>
      <c r="R358">
        <f t="shared" si="31"/>
        <v>357</v>
      </c>
      <c r="S358">
        <f>IFERROR(SEARCH(Crewlist!$P$5,V358)+ROW()/100000,"")</f>
        <v>1.0035799999999999</v>
      </c>
      <c r="T358">
        <f t="shared" si="32"/>
        <v>357</v>
      </c>
      <c r="U358">
        <f t="shared" si="33"/>
        <v>0</v>
      </c>
      <c r="V358" t="str">
        <f t="shared" si="35"/>
        <v xml:space="preserve"> </v>
      </c>
      <c r="Y358" s="162" t="e">
        <f>VLOOKUP(B358,Crewlist!AS:AU,3,FALSE)</f>
        <v>#N/A</v>
      </c>
      <c r="Z358" s="163">
        <f t="shared" si="34"/>
        <v>0</v>
      </c>
    </row>
    <row r="359" spans="2:26">
      <c r="B359" s="202">
        <v>358</v>
      </c>
      <c r="C359" s="169"/>
      <c r="D359" s="169"/>
      <c r="E359" s="169"/>
      <c r="F359" s="176"/>
      <c r="H359" s="178"/>
      <c r="I359" s="179"/>
      <c r="J359" s="179"/>
      <c r="K359" s="179"/>
      <c r="Q359">
        <f t="shared" si="30"/>
        <v>0</v>
      </c>
      <c r="R359">
        <f t="shared" si="31"/>
        <v>358</v>
      </c>
      <c r="S359">
        <f>IFERROR(SEARCH(Crewlist!$P$5,V359)+ROW()/100000,"")</f>
        <v>1.00359</v>
      </c>
      <c r="T359">
        <f t="shared" si="32"/>
        <v>358</v>
      </c>
      <c r="U359">
        <f t="shared" si="33"/>
        <v>0</v>
      </c>
      <c r="V359" t="str">
        <f t="shared" si="35"/>
        <v xml:space="preserve"> </v>
      </c>
      <c r="Y359" s="162" t="e">
        <f>VLOOKUP(B359,Crewlist!AS:AU,3,FALSE)</f>
        <v>#N/A</v>
      </c>
      <c r="Z359" s="163">
        <f t="shared" si="34"/>
        <v>0</v>
      </c>
    </row>
    <row r="360" spans="2:26">
      <c r="B360" s="171">
        <v>359</v>
      </c>
      <c r="I360" s="179"/>
      <c r="J360" s="179"/>
      <c r="Q360">
        <f t="shared" si="30"/>
        <v>0</v>
      </c>
      <c r="R360">
        <f t="shared" si="31"/>
        <v>359</v>
      </c>
      <c r="S360">
        <f>IFERROR(SEARCH(Crewlist!$P$5,V360)+ROW()/100000,"")</f>
        <v>1.0036</v>
      </c>
      <c r="T360">
        <f t="shared" si="32"/>
        <v>359</v>
      </c>
      <c r="U360">
        <f t="shared" si="33"/>
        <v>0</v>
      </c>
      <c r="V360" t="str">
        <f t="shared" si="35"/>
        <v xml:space="preserve"> </v>
      </c>
      <c r="Y360" s="162" t="e">
        <f>VLOOKUP(B360,Crewlist!AS:AU,3,FALSE)</f>
        <v>#N/A</v>
      </c>
      <c r="Z360" s="163">
        <f t="shared" si="34"/>
        <v>0</v>
      </c>
    </row>
    <row r="361" spans="2:26">
      <c r="B361" s="171">
        <v>360</v>
      </c>
      <c r="H361" s="173"/>
      <c r="I361" s="179"/>
      <c r="J361" s="179"/>
      <c r="Q361">
        <f t="shared" si="30"/>
        <v>0</v>
      </c>
      <c r="R361">
        <f t="shared" si="31"/>
        <v>360</v>
      </c>
      <c r="S361">
        <f>IFERROR(SEARCH(Crewlist!$P$5,V361)+ROW()/100000,"")</f>
        <v>1.0036099999999999</v>
      </c>
      <c r="T361">
        <f t="shared" si="32"/>
        <v>360</v>
      </c>
      <c r="U361">
        <f t="shared" si="33"/>
        <v>0</v>
      </c>
      <c r="V361" t="str">
        <f t="shared" si="35"/>
        <v xml:space="preserve"> </v>
      </c>
      <c r="Y361" s="162" t="e">
        <f>VLOOKUP(B361,Crewlist!AS:AU,3,FALSE)</f>
        <v>#N/A</v>
      </c>
      <c r="Z361" s="163">
        <f t="shared" si="34"/>
        <v>0</v>
      </c>
    </row>
    <row r="362" spans="2:26">
      <c r="B362" s="202">
        <v>361</v>
      </c>
      <c r="H362" s="173"/>
      <c r="I362" s="179"/>
      <c r="J362" s="179"/>
      <c r="Q362">
        <f t="shared" si="30"/>
        <v>0</v>
      </c>
      <c r="R362">
        <f t="shared" si="31"/>
        <v>361</v>
      </c>
      <c r="S362">
        <f>IFERROR(SEARCH(Crewlist!$P$5,V362)+ROW()/100000,"")</f>
        <v>1.00362</v>
      </c>
      <c r="T362">
        <f t="shared" si="32"/>
        <v>361</v>
      </c>
      <c r="U362">
        <f t="shared" si="33"/>
        <v>0</v>
      </c>
      <c r="V362" t="str">
        <f t="shared" si="35"/>
        <v xml:space="preserve"> </v>
      </c>
      <c r="Y362" s="162" t="e">
        <f>VLOOKUP(B362,Crewlist!AS:AU,3,FALSE)</f>
        <v>#N/A</v>
      </c>
      <c r="Z362" s="163">
        <f t="shared" si="34"/>
        <v>0</v>
      </c>
    </row>
    <row r="363" spans="2:26">
      <c r="B363" s="171">
        <v>362</v>
      </c>
      <c r="H363" s="173"/>
      <c r="I363" s="179"/>
      <c r="J363" s="179"/>
      <c r="Q363">
        <f t="shared" si="30"/>
        <v>0</v>
      </c>
      <c r="R363">
        <f t="shared" si="31"/>
        <v>362</v>
      </c>
      <c r="S363">
        <f>IFERROR(SEARCH(Crewlist!$P$5,V363)+ROW()/100000,"")</f>
        <v>1.00363</v>
      </c>
      <c r="T363">
        <f t="shared" si="32"/>
        <v>362</v>
      </c>
      <c r="U363">
        <f t="shared" si="33"/>
        <v>0</v>
      </c>
      <c r="V363" t="str">
        <f t="shared" si="35"/>
        <v xml:space="preserve"> </v>
      </c>
      <c r="Y363" s="162" t="e">
        <f>VLOOKUP(B363,Crewlist!AS:AU,3,FALSE)</f>
        <v>#N/A</v>
      </c>
      <c r="Z363" s="163">
        <f t="shared" si="34"/>
        <v>0</v>
      </c>
    </row>
    <row r="364" spans="2:26">
      <c r="B364" s="171">
        <v>363</v>
      </c>
      <c r="H364" s="173"/>
      <c r="I364" s="179"/>
      <c r="J364" s="179"/>
      <c r="Q364">
        <f t="shared" si="30"/>
        <v>0</v>
      </c>
      <c r="R364">
        <f t="shared" si="31"/>
        <v>363</v>
      </c>
      <c r="S364">
        <f>IFERROR(SEARCH(Crewlist!$P$5,V364)+ROW()/100000,"")</f>
        <v>1.0036400000000001</v>
      </c>
      <c r="T364">
        <f t="shared" si="32"/>
        <v>363</v>
      </c>
      <c r="U364">
        <f t="shared" si="33"/>
        <v>0</v>
      </c>
      <c r="V364" t="str">
        <f t="shared" si="35"/>
        <v xml:space="preserve"> </v>
      </c>
      <c r="Y364" s="162" t="e">
        <f>VLOOKUP(B364,Crewlist!AS:AU,3,FALSE)</f>
        <v>#N/A</v>
      </c>
      <c r="Z364" s="163">
        <f t="shared" si="34"/>
        <v>0</v>
      </c>
    </row>
    <row r="365" spans="2:26">
      <c r="B365" s="202">
        <v>364</v>
      </c>
      <c r="H365" s="173"/>
      <c r="I365" s="179"/>
      <c r="J365" s="179"/>
      <c r="Q365">
        <f t="shared" si="30"/>
        <v>0</v>
      </c>
      <c r="R365">
        <f t="shared" si="31"/>
        <v>364</v>
      </c>
      <c r="S365">
        <f>IFERROR(SEARCH(Crewlist!$P$5,V365)+ROW()/100000,"")</f>
        <v>1.0036499999999999</v>
      </c>
      <c r="T365">
        <f t="shared" si="32"/>
        <v>364</v>
      </c>
      <c r="U365">
        <f t="shared" si="33"/>
        <v>0</v>
      </c>
      <c r="V365" t="str">
        <f t="shared" si="35"/>
        <v xml:space="preserve"> </v>
      </c>
      <c r="Y365" s="162" t="e">
        <f>VLOOKUP(B365,Crewlist!AS:AU,3,FALSE)</f>
        <v>#N/A</v>
      </c>
      <c r="Z365" s="163">
        <f t="shared" si="34"/>
        <v>0</v>
      </c>
    </row>
    <row r="366" spans="2:26">
      <c r="B366" s="171">
        <v>365</v>
      </c>
      <c r="H366" s="173"/>
      <c r="I366" s="174"/>
      <c r="J366" s="174"/>
      <c r="Q366">
        <f t="shared" si="30"/>
        <v>0</v>
      </c>
      <c r="R366">
        <f t="shared" si="31"/>
        <v>365</v>
      </c>
      <c r="S366">
        <f>IFERROR(SEARCH(Crewlist!$P$5,V366)+ROW()/100000,"")</f>
        <v>1.00366</v>
      </c>
      <c r="T366">
        <f t="shared" si="32"/>
        <v>365</v>
      </c>
      <c r="U366">
        <f t="shared" si="33"/>
        <v>0</v>
      </c>
      <c r="V366" t="str">
        <f t="shared" si="35"/>
        <v xml:space="preserve"> </v>
      </c>
      <c r="Y366" s="162" t="e">
        <f>VLOOKUP(B366,Crewlist!AS:AU,3,FALSE)</f>
        <v>#N/A</v>
      </c>
      <c r="Z366" s="163">
        <f t="shared" si="34"/>
        <v>0</v>
      </c>
    </row>
    <row r="367" spans="2:26">
      <c r="B367" s="171">
        <v>366</v>
      </c>
      <c r="H367" s="173"/>
      <c r="I367" s="174"/>
      <c r="J367" s="174"/>
      <c r="Q367">
        <f t="shared" si="30"/>
        <v>0</v>
      </c>
      <c r="R367">
        <f t="shared" si="31"/>
        <v>366</v>
      </c>
      <c r="S367">
        <f>IFERROR(SEARCH(Crewlist!$P$5,V367)+ROW()/100000,"")</f>
        <v>1.0036700000000001</v>
      </c>
      <c r="T367">
        <f t="shared" si="32"/>
        <v>366</v>
      </c>
      <c r="U367">
        <f t="shared" si="33"/>
        <v>0</v>
      </c>
      <c r="V367" t="str">
        <f t="shared" si="35"/>
        <v xml:space="preserve"> </v>
      </c>
      <c r="Y367" s="162" t="e">
        <f>VLOOKUP(B367,Crewlist!AS:AU,3,FALSE)</f>
        <v>#N/A</v>
      </c>
      <c r="Z367" s="163">
        <f t="shared" si="34"/>
        <v>0</v>
      </c>
    </row>
    <row r="368" spans="2:26">
      <c r="B368" s="202">
        <v>367</v>
      </c>
      <c r="C368" s="169"/>
      <c r="D368" s="169"/>
      <c r="E368" s="169"/>
      <c r="G368" s="177"/>
      <c r="H368" s="178"/>
      <c r="I368" s="179"/>
      <c r="J368" s="179"/>
      <c r="K368" s="179"/>
      <c r="M368" s="180"/>
      <c r="Q368">
        <f t="shared" si="30"/>
        <v>0</v>
      </c>
      <c r="R368">
        <f t="shared" si="31"/>
        <v>367</v>
      </c>
      <c r="S368">
        <f>IFERROR(SEARCH(Crewlist!$P$5,V368)+ROW()/100000,"")</f>
        <v>1.0036799999999999</v>
      </c>
      <c r="T368">
        <f t="shared" si="32"/>
        <v>367</v>
      </c>
      <c r="U368">
        <f t="shared" si="33"/>
        <v>0</v>
      </c>
      <c r="V368" t="str">
        <f t="shared" si="35"/>
        <v xml:space="preserve"> </v>
      </c>
      <c r="Y368" s="162" t="e">
        <f>VLOOKUP(B368,Crewlist!AS:AU,3,FALSE)</f>
        <v>#N/A</v>
      </c>
      <c r="Z368" s="163">
        <f t="shared" si="34"/>
        <v>0</v>
      </c>
    </row>
    <row r="369" spans="2:26">
      <c r="B369" s="171">
        <v>368</v>
      </c>
      <c r="H369" s="173"/>
      <c r="I369" s="174"/>
      <c r="J369" s="174"/>
      <c r="Q369">
        <f t="shared" si="30"/>
        <v>0</v>
      </c>
      <c r="R369">
        <f t="shared" si="31"/>
        <v>368</v>
      </c>
      <c r="S369">
        <f>IFERROR(SEARCH(Crewlist!$P$5,V369)+ROW()/100000,"")</f>
        <v>1.00369</v>
      </c>
      <c r="T369">
        <f t="shared" si="32"/>
        <v>368</v>
      </c>
      <c r="U369">
        <f t="shared" si="33"/>
        <v>0</v>
      </c>
      <c r="V369" t="str">
        <f t="shared" si="35"/>
        <v xml:space="preserve"> </v>
      </c>
      <c r="Y369" s="162" t="e">
        <f>VLOOKUP(B369,Crewlist!AS:AU,3,FALSE)</f>
        <v>#N/A</v>
      </c>
      <c r="Z369" s="163">
        <f t="shared" si="34"/>
        <v>0</v>
      </c>
    </row>
    <row r="370" spans="2:26">
      <c r="B370" s="171">
        <v>369</v>
      </c>
      <c r="H370" s="173"/>
      <c r="I370" s="174"/>
      <c r="J370" s="174"/>
      <c r="Q370">
        <f t="shared" si="30"/>
        <v>0</v>
      </c>
      <c r="R370">
        <f t="shared" si="31"/>
        <v>369</v>
      </c>
      <c r="S370">
        <f>IFERROR(SEARCH(Crewlist!$P$5,V370)+ROW()/100000,"")</f>
        <v>1.0037</v>
      </c>
      <c r="T370">
        <f t="shared" si="32"/>
        <v>369</v>
      </c>
      <c r="U370">
        <f t="shared" si="33"/>
        <v>0</v>
      </c>
      <c r="V370" t="str">
        <f t="shared" si="35"/>
        <v xml:space="preserve"> </v>
      </c>
      <c r="Y370" s="162" t="e">
        <f>VLOOKUP(B370,Crewlist!AS:AU,3,FALSE)</f>
        <v>#N/A</v>
      </c>
      <c r="Z370" s="163">
        <f t="shared" si="34"/>
        <v>0</v>
      </c>
    </row>
    <row r="371" spans="2:26">
      <c r="B371" s="202">
        <v>370</v>
      </c>
      <c r="C371" s="169"/>
      <c r="D371" s="169"/>
      <c r="E371" s="169"/>
      <c r="F371" s="176"/>
      <c r="H371" s="178"/>
      <c r="I371" s="179"/>
      <c r="J371" s="179"/>
      <c r="K371" s="179"/>
      <c r="L371" s="179"/>
      <c r="Q371">
        <f t="shared" si="30"/>
        <v>0</v>
      </c>
      <c r="R371">
        <f t="shared" si="31"/>
        <v>370</v>
      </c>
      <c r="S371">
        <f>IFERROR(SEARCH(Crewlist!$P$5,V371)+ROW()/100000,"")</f>
        <v>1.0037100000000001</v>
      </c>
      <c r="T371">
        <f t="shared" si="32"/>
        <v>370</v>
      </c>
      <c r="U371">
        <f t="shared" si="33"/>
        <v>0</v>
      </c>
      <c r="V371" t="str">
        <f t="shared" si="35"/>
        <v xml:space="preserve"> </v>
      </c>
      <c r="Y371" s="162" t="e">
        <f>VLOOKUP(B371,Crewlist!AS:AU,3,FALSE)</f>
        <v>#N/A</v>
      </c>
      <c r="Z371" s="163">
        <f t="shared" si="34"/>
        <v>0</v>
      </c>
    </row>
    <row r="372" spans="2:26">
      <c r="B372" s="171">
        <v>371</v>
      </c>
      <c r="C372" s="169"/>
      <c r="D372" s="169"/>
      <c r="E372" s="169"/>
      <c r="F372" s="176"/>
      <c r="H372" s="178"/>
      <c r="I372" s="179"/>
      <c r="J372" s="179"/>
      <c r="K372" s="179"/>
      <c r="L372" s="179"/>
      <c r="Q372">
        <f t="shared" si="30"/>
        <v>0</v>
      </c>
      <c r="R372">
        <f t="shared" si="31"/>
        <v>371</v>
      </c>
      <c r="S372">
        <f>IFERROR(SEARCH(Crewlist!$P$5,V372)+ROW()/100000,"")</f>
        <v>1.0037199999999999</v>
      </c>
      <c r="T372">
        <f t="shared" si="32"/>
        <v>371</v>
      </c>
      <c r="U372">
        <f t="shared" si="33"/>
        <v>0</v>
      </c>
      <c r="V372" t="str">
        <f t="shared" si="35"/>
        <v xml:space="preserve"> </v>
      </c>
      <c r="Y372" s="162" t="e">
        <f>VLOOKUP(B372,Crewlist!AS:AU,3,FALSE)</f>
        <v>#N/A</v>
      </c>
      <c r="Z372" s="163">
        <f t="shared" si="34"/>
        <v>0</v>
      </c>
    </row>
    <row r="373" spans="2:26">
      <c r="B373" s="171">
        <v>372</v>
      </c>
      <c r="C373" s="169"/>
      <c r="D373" s="169"/>
      <c r="E373" s="169"/>
      <c r="F373" s="215"/>
      <c r="H373" s="178"/>
      <c r="I373" s="179"/>
      <c r="J373" s="179"/>
      <c r="K373" s="179"/>
      <c r="L373" s="215"/>
      <c r="Q373">
        <f t="shared" si="30"/>
        <v>0</v>
      </c>
      <c r="R373">
        <f t="shared" si="31"/>
        <v>372</v>
      </c>
      <c r="S373">
        <f>IFERROR(SEARCH(Crewlist!$P$5,V373)+ROW()/100000,"")</f>
        <v>1.00373</v>
      </c>
      <c r="T373">
        <f t="shared" si="32"/>
        <v>372</v>
      </c>
      <c r="U373">
        <f t="shared" si="33"/>
        <v>0</v>
      </c>
      <c r="V373" t="str">
        <f t="shared" si="35"/>
        <v xml:space="preserve"> </v>
      </c>
      <c r="Y373" s="162" t="e">
        <f>VLOOKUP(B373,Crewlist!AS:AU,3,FALSE)</f>
        <v>#N/A</v>
      </c>
      <c r="Z373" s="163">
        <f t="shared" si="34"/>
        <v>0</v>
      </c>
    </row>
    <row r="374" spans="2:26">
      <c r="B374" s="202">
        <v>373</v>
      </c>
      <c r="F374" s="183"/>
      <c r="H374" s="173"/>
      <c r="I374" s="174"/>
      <c r="J374" s="174"/>
      <c r="L374" s="183"/>
      <c r="Q374">
        <f t="shared" si="30"/>
        <v>0</v>
      </c>
      <c r="R374">
        <f t="shared" si="31"/>
        <v>373</v>
      </c>
      <c r="S374">
        <f>IFERROR(SEARCH(Crewlist!$P$5,V374)+ROW()/100000,"")</f>
        <v>1.0037400000000001</v>
      </c>
      <c r="T374">
        <f t="shared" si="32"/>
        <v>373</v>
      </c>
      <c r="U374">
        <f t="shared" si="33"/>
        <v>0</v>
      </c>
      <c r="V374" t="str">
        <f t="shared" si="35"/>
        <v xml:space="preserve"> </v>
      </c>
      <c r="Y374" s="162" t="e">
        <f>VLOOKUP(B374,Crewlist!AS:AU,3,FALSE)</f>
        <v>#N/A</v>
      </c>
      <c r="Z374" s="163">
        <f t="shared" si="34"/>
        <v>0</v>
      </c>
    </row>
    <row r="375" spans="2:26">
      <c r="B375" s="171">
        <v>374</v>
      </c>
      <c r="C375" s="169"/>
      <c r="D375" s="169"/>
      <c r="E375" s="169"/>
      <c r="F375" s="176"/>
      <c r="H375" s="178"/>
      <c r="I375" s="179"/>
      <c r="J375" s="179"/>
      <c r="K375" s="184"/>
      <c r="L375" s="184"/>
      <c r="M375" s="182"/>
      <c r="Q375">
        <f t="shared" si="30"/>
        <v>0</v>
      </c>
      <c r="R375">
        <f t="shared" si="31"/>
        <v>374</v>
      </c>
      <c r="S375">
        <f>IFERROR(SEARCH(Crewlist!$P$5,V375)+ROW()/100000,"")</f>
        <v>1.0037499999999999</v>
      </c>
      <c r="T375">
        <f t="shared" si="32"/>
        <v>374</v>
      </c>
      <c r="U375">
        <f t="shared" si="33"/>
        <v>0</v>
      </c>
      <c r="V375" t="str">
        <f t="shared" si="35"/>
        <v xml:space="preserve"> </v>
      </c>
      <c r="Y375" s="162" t="e">
        <f>VLOOKUP(B375,Crewlist!AS:AU,3,FALSE)</f>
        <v>#N/A</v>
      </c>
      <c r="Z375" s="163">
        <f t="shared" si="34"/>
        <v>0</v>
      </c>
    </row>
    <row r="376" spans="2:26">
      <c r="B376" s="171">
        <v>375</v>
      </c>
      <c r="C376" s="169"/>
      <c r="D376" s="169"/>
      <c r="E376" s="169"/>
      <c r="F376" s="215"/>
      <c r="H376" s="178"/>
      <c r="I376" s="179"/>
      <c r="J376" s="179"/>
      <c r="K376" s="179"/>
      <c r="L376" s="215"/>
      <c r="Q376">
        <f t="shared" si="30"/>
        <v>0</v>
      </c>
      <c r="R376">
        <f t="shared" si="31"/>
        <v>375</v>
      </c>
      <c r="S376">
        <f>IFERROR(SEARCH(Crewlist!$P$5,V376)+ROW()/100000,"")</f>
        <v>1.00376</v>
      </c>
      <c r="T376">
        <f t="shared" si="32"/>
        <v>375</v>
      </c>
      <c r="U376">
        <f t="shared" si="33"/>
        <v>0</v>
      </c>
      <c r="V376" t="str">
        <f t="shared" si="35"/>
        <v xml:space="preserve"> </v>
      </c>
      <c r="Y376" s="162" t="e">
        <f>VLOOKUP(B376,Crewlist!AS:AU,3,FALSE)</f>
        <v>#N/A</v>
      </c>
      <c r="Z376" s="163">
        <f t="shared" si="34"/>
        <v>0</v>
      </c>
    </row>
    <row r="377" spans="2:26">
      <c r="B377" s="202">
        <v>376</v>
      </c>
      <c r="C377" s="169"/>
      <c r="E377" s="169"/>
      <c r="F377" s="176"/>
      <c r="H377" s="178"/>
      <c r="I377" s="179"/>
      <c r="J377" s="179"/>
      <c r="L377" s="179"/>
      <c r="Q377">
        <f t="shared" si="30"/>
        <v>0</v>
      </c>
      <c r="R377">
        <f t="shared" si="31"/>
        <v>376</v>
      </c>
      <c r="S377">
        <f>IFERROR(SEARCH(Crewlist!$P$5,V377)+ROW()/100000,"")</f>
        <v>1.0037700000000001</v>
      </c>
      <c r="T377">
        <f t="shared" si="32"/>
        <v>376</v>
      </c>
      <c r="U377">
        <f t="shared" si="33"/>
        <v>0</v>
      </c>
      <c r="V377" t="str">
        <f t="shared" si="35"/>
        <v xml:space="preserve"> </v>
      </c>
      <c r="Y377" s="162" t="e">
        <f>VLOOKUP(B377,Crewlist!AS:AU,3,FALSE)</f>
        <v>#N/A</v>
      </c>
      <c r="Z377" s="163">
        <f t="shared" si="34"/>
        <v>0</v>
      </c>
    </row>
    <row r="378" spans="2:26">
      <c r="B378" s="171">
        <v>377</v>
      </c>
      <c r="C378" s="169"/>
      <c r="D378" s="169"/>
      <c r="E378" s="169"/>
      <c r="F378" s="176"/>
      <c r="H378" s="178"/>
      <c r="I378" s="179"/>
      <c r="J378" s="179"/>
      <c r="K378" s="179"/>
      <c r="L378" s="179"/>
      <c r="Q378">
        <f t="shared" si="30"/>
        <v>0</v>
      </c>
      <c r="R378">
        <f t="shared" si="31"/>
        <v>377</v>
      </c>
      <c r="S378">
        <f>IFERROR(SEARCH(Crewlist!$P$5,V378)+ROW()/100000,"")</f>
        <v>1.0037799999999999</v>
      </c>
      <c r="T378">
        <f t="shared" si="32"/>
        <v>377</v>
      </c>
      <c r="U378">
        <f t="shared" si="33"/>
        <v>0</v>
      </c>
      <c r="V378" t="str">
        <f t="shared" si="35"/>
        <v xml:space="preserve"> </v>
      </c>
      <c r="Y378" s="162" t="e">
        <f>VLOOKUP(B378,Crewlist!AS:AU,3,FALSE)</f>
        <v>#N/A</v>
      </c>
      <c r="Z378" s="163">
        <f t="shared" si="34"/>
        <v>0</v>
      </c>
    </row>
    <row r="379" spans="2:26">
      <c r="B379" s="171">
        <v>378</v>
      </c>
      <c r="C379" s="169"/>
      <c r="D379" s="169"/>
      <c r="E379" s="169"/>
      <c r="F379" s="176"/>
      <c r="H379" s="178"/>
      <c r="I379" s="179"/>
      <c r="J379" s="179"/>
      <c r="K379" s="179"/>
      <c r="L379" s="179"/>
      <c r="Q379">
        <f t="shared" si="30"/>
        <v>0</v>
      </c>
      <c r="R379">
        <f t="shared" si="31"/>
        <v>378</v>
      </c>
      <c r="S379">
        <f>IFERROR(SEARCH(Crewlist!$P$5,V379)+ROW()/100000,"")</f>
        <v>1.00379</v>
      </c>
      <c r="T379">
        <f t="shared" si="32"/>
        <v>378</v>
      </c>
      <c r="U379">
        <f t="shared" si="33"/>
        <v>0</v>
      </c>
      <c r="V379" t="str">
        <f t="shared" si="35"/>
        <v xml:space="preserve"> </v>
      </c>
      <c r="Y379" s="162" t="e">
        <f>VLOOKUP(B379,Crewlist!AS:AU,3,FALSE)</f>
        <v>#N/A</v>
      </c>
      <c r="Z379" s="163">
        <f t="shared" si="34"/>
        <v>0</v>
      </c>
    </row>
    <row r="380" spans="2:26">
      <c r="B380" s="202">
        <v>379</v>
      </c>
      <c r="C380" s="169"/>
      <c r="D380" s="169"/>
      <c r="E380" s="169"/>
      <c r="F380" s="176"/>
      <c r="G380" s="177"/>
      <c r="H380" s="178"/>
      <c r="I380" s="179"/>
      <c r="J380" s="179"/>
      <c r="K380" s="179"/>
      <c r="L380" s="179"/>
      <c r="Q380">
        <f t="shared" si="30"/>
        <v>0</v>
      </c>
      <c r="R380">
        <f t="shared" si="31"/>
        <v>379</v>
      </c>
      <c r="S380">
        <f>IFERROR(SEARCH(Crewlist!$P$5,V380)+ROW()/100000,"")</f>
        <v>1.0038</v>
      </c>
      <c r="T380">
        <f t="shared" si="32"/>
        <v>379</v>
      </c>
      <c r="U380">
        <f t="shared" si="33"/>
        <v>0</v>
      </c>
      <c r="V380" t="str">
        <f t="shared" si="35"/>
        <v xml:space="preserve"> </v>
      </c>
      <c r="Y380" s="162" t="e">
        <f>VLOOKUP(B380,Crewlist!AS:AU,3,FALSE)</f>
        <v>#N/A</v>
      </c>
      <c r="Z380" s="163">
        <f t="shared" si="34"/>
        <v>0</v>
      </c>
    </row>
    <row r="381" spans="2:26">
      <c r="B381" s="171">
        <v>380</v>
      </c>
      <c r="C381" s="169"/>
      <c r="D381" s="169"/>
      <c r="E381" s="169"/>
      <c r="F381" s="176"/>
      <c r="H381" s="178"/>
      <c r="I381" s="179"/>
      <c r="J381" s="179"/>
      <c r="K381" s="179"/>
      <c r="L381" s="179"/>
      <c r="Q381">
        <f t="shared" si="30"/>
        <v>0</v>
      </c>
      <c r="R381">
        <f t="shared" si="31"/>
        <v>380</v>
      </c>
      <c r="S381">
        <f>IFERROR(SEARCH(Crewlist!$P$5,V381)+ROW()/100000,"")</f>
        <v>1.0038100000000001</v>
      </c>
      <c r="T381">
        <f t="shared" si="32"/>
        <v>380</v>
      </c>
      <c r="U381">
        <f t="shared" si="33"/>
        <v>0</v>
      </c>
      <c r="V381" t="str">
        <f t="shared" si="35"/>
        <v xml:space="preserve"> </v>
      </c>
      <c r="Y381" s="162" t="e">
        <f>VLOOKUP(B381,Crewlist!AS:AU,3,FALSE)</f>
        <v>#N/A</v>
      </c>
      <c r="Z381" s="163">
        <f t="shared" si="34"/>
        <v>0</v>
      </c>
    </row>
    <row r="382" spans="2:26">
      <c r="B382" s="171">
        <v>381</v>
      </c>
      <c r="C382" s="169"/>
      <c r="D382" s="169"/>
      <c r="E382" s="169"/>
      <c r="F382" s="176"/>
      <c r="H382" s="178"/>
      <c r="I382" s="179"/>
      <c r="J382" s="179"/>
      <c r="K382" s="179"/>
      <c r="L382" s="179"/>
      <c r="Q382">
        <f t="shared" si="30"/>
        <v>0</v>
      </c>
      <c r="R382">
        <f t="shared" si="31"/>
        <v>381</v>
      </c>
      <c r="S382">
        <f>IFERROR(SEARCH(Crewlist!$P$5,V382)+ROW()/100000,"")</f>
        <v>1.0038199999999999</v>
      </c>
      <c r="T382">
        <f t="shared" si="32"/>
        <v>381</v>
      </c>
      <c r="U382">
        <f t="shared" si="33"/>
        <v>0</v>
      </c>
      <c r="V382" t="str">
        <f t="shared" si="35"/>
        <v xml:space="preserve"> </v>
      </c>
      <c r="Y382" s="162" t="e">
        <f>VLOOKUP(B382,Crewlist!AS:AU,3,FALSE)</f>
        <v>#N/A</v>
      </c>
      <c r="Z382" s="163">
        <f t="shared" si="34"/>
        <v>0</v>
      </c>
    </row>
    <row r="383" spans="2:26">
      <c r="B383" s="202">
        <v>382</v>
      </c>
      <c r="C383" s="169"/>
      <c r="D383" s="169"/>
      <c r="E383" s="169"/>
      <c r="F383" s="176"/>
      <c r="H383" s="178"/>
      <c r="I383" s="179"/>
      <c r="J383" s="179"/>
      <c r="K383" s="179"/>
      <c r="L383" s="179"/>
      <c r="Q383">
        <f t="shared" si="30"/>
        <v>0</v>
      </c>
      <c r="R383">
        <f t="shared" si="31"/>
        <v>382</v>
      </c>
      <c r="S383">
        <f>IFERROR(SEARCH(Crewlist!$P$5,V383)+ROW()/100000,"")</f>
        <v>1.00383</v>
      </c>
      <c r="T383">
        <f t="shared" si="32"/>
        <v>382</v>
      </c>
      <c r="U383">
        <f t="shared" si="33"/>
        <v>0</v>
      </c>
      <c r="V383" t="str">
        <f t="shared" si="35"/>
        <v xml:space="preserve"> </v>
      </c>
      <c r="Y383" s="162" t="e">
        <f>VLOOKUP(B383,Crewlist!AS:AU,3,FALSE)</f>
        <v>#N/A</v>
      </c>
      <c r="Z383" s="163">
        <f t="shared" si="34"/>
        <v>0</v>
      </c>
    </row>
    <row r="384" spans="2:26">
      <c r="B384" s="171">
        <v>383</v>
      </c>
      <c r="C384" s="169"/>
      <c r="D384" s="169"/>
      <c r="E384" s="169"/>
      <c r="F384" s="176"/>
      <c r="H384" s="178"/>
      <c r="I384" s="179"/>
      <c r="J384" s="179"/>
      <c r="K384" s="179"/>
      <c r="L384" s="179"/>
      <c r="Q384">
        <f t="shared" si="30"/>
        <v>0</v>
      </c>
      <c r="R384">
        <f t="shared" si="31"/>
        <v>383</v>
      </c>
      <c r="S384">
        <f>IFERROR(SEARCH(Crewlist!$P$5,V384)+ROW()/100000,"")</f>
        <v>1.0038400000000001</v>
      </c>
      <c r="T384">
        <f t="shared" si="32"/>
        <v>383</v>
      </c>
      <c r="U384">
        <f t="shared" si="33"/>
        <v>0</v>
      </c>
      <c r="V384" t="str">
        <f t="shared" si="35"/>
        <v xml:space="preserve"> </v>
      </c>
      <c r="Y384" s="162" t="e">
        <f>VLOOKUP(B384,Crewlist!AS:AU,3,FALSE)</f>
        <v>#N/A</v>
      </c>
      <c r="Z384" s="163">
        <f t="shared" si="34"/>
        <v>0</v>
      </c>
    </row>
    <row r="385" spans="2:26">
      <c r="B385" s="171">
        <v>384</v>
      </c>
      <c r="C385" s="169"/>
      <c r="D385" s="169"/>
      <c r="E385" s="169"/>
      <c r="F385" s="176"/>
      <c r="H385" s="178"/>
      <c r="I385" s="179"/>
      <c r="J385" s="179"/>
      <c r="K385" s="179"/>
      <c r="L385" s="179"/>
      <c r="M385" s="180"/>
      <c r="Q385">
        <f t="shared" ref="Q385:Q448" si="36">IF(C385&lt;&gt; "",B385,0)</f>
        <v>0</v>
      </c>
      <c r="R385">
        <f t="shared" si="31"/>
        <v>384</v>
      </c>
      <c r="S385">
        <f>IFERROR(SEARCH(Crewlist!$P$5,V385)+ROW()/100000,"")</f>
        <v>1.0038499999999999</v>
      </c>
      <c r="T385">
        <f t="shared" si="32"/>
        <v>384</v>
      </c>
      <c r="U385">
        <f t="shared" si="33"/>
        <v>0</v>
      </c>
      <c r="V385" t="str">
        <f t="shared" si="35"/>
        <v xml:space="preserve"> </v>
      </c>
      <c r="Y385" s="162" t="e">
        <f>VLOOKUP(B385,Crewlist!AS:AU,3,FALSE)</f>
        <v>#N/A</v>
      </c>
      <c r="Z385" s="163">
        <f t="shared" si="34"/>
        <v>0</v>
      </c>
    </row>
    <row r="386" spans="2:26">
      <c r="B386" s="202">
        <v>385</v>
      </c>
      <c r="C386" s="169"/>
      <c r="D386" s="169"/>
      <c r="E386" s="169"/>
      <c r="F386" s="176"/>
      <c r="H386" s="178"/>
      <c r="I386" s="179"/>
      <c r="J386" s="179"/>
      <c r="K386" s="179"/>
      <c r="L386" s="179"/>
      <c r="M386" s="180"/>
      <c r="Q386">
        <f t="shared" si="36"/>
        <v>0</v>
      </c>
      <c r="R386">
        <f t="shared" ref="R386:R449" si="37">IFERROR(RANK(S386,$S$2:$S$1998,1),"")</f>
        <v>385</v>
      </c>
      <c r="S386">
        <f>IFERROR(SEARCH(Crewlist!$P$5,V386)+ROW()/100000,"")</f>
        <v>1.00386</v>
      </c>
      <c r="T386">
        <f t="shared" ref="T386:T449" si="38">B386</f>
        <v>385</v>
      </c>
      <c r="U386">
        <f t="shared" ref="U386:U449" si="39">C386</f>
        <v>0</v>
      </c>
      <c r="V386" t="str">
        <f t="shared" si="35"/>
        <v xml:space="preserve"> </v>
      </c>
      <c r="Y386" s="162" t="e">
        <f>VLOOKUP(B386,Crewlist!AS:AU,3,FALSE)</f>
        <v>#N/A</v>
      </c>
      <c r="Z386" s="163">
        <f t="shared" ref="Z386:Z449" si="40">IF(ISNUMBER(SEARCH("",Y386)),Y386,N386)</f>
        <v>0</v>
      </c>
    </row>
    <row r="387" spans="2:26">
      <c r="B387" s="171">
        <v>386</v>
      </c>
      <c r="C387" s="169"/>
      <c r="D387" s="169"/>
      <c r="E387" s="169"/>
      <c r="F387" s="215"/>
      <c r="H387" s="178"/>
      <c r="I387" s="179"/>
      <c r="J387" s="179"/>
      <c r="K387" s="179"/>
      <c r="L387" s="215"/>
      <c r="Q387">
        <f t="shared" si="36"/>
        <v>0</v>
      </c>
      <c r="R387">
        <f t="shared" si="37"/>
        <v>386</v>
      </c>
      <c r="S387">
        <f>IFERROR(SEARCH(Crewlist!$P$5,V387)+ROW()/100000,"")</f>
        <v>1.00387</v>
      </c>
      <c r="T387">
        <f t="shared" si="38"/>
        <v>386</v>
      </c>
      <c r="U387">
        <f t="shared" si="39"/>
        <v>0</v>
      </c>
      <c r="V387" t="str">
        <f t="shared" ref="V387:V450" si="41">CONCATENATE(C387," ",D387)</f>
        <v xml:space="preserve"> </v>
      </c>
      <c r="Y387" s="162" t="e">
        <f>VLOOKUP(B387,Crewlist!AS:AU,3,FALSE)</f>
        <v>#N/A</v>
      </c>
      <c r="Z387" s="163">
        <f t="shared" si="40"/>
        <v>0</v>
      </c>
    </row>
    <row r="388" spans="2:26">
      <c r="B388" s="171">
        <v>387</v>
      </c>
      <c r="C388" s="169"/>
      <c r="D388" s="169"/>
      <c r="E388" s="169"/>
      <c r="F388" s="176"/>
      <c r="H388" s="178"/>
      <c r="I388" s="179"/>
      <c r="J388" s="179"/>
      <c r="K388" s="179"/>
      <c r="L388" s="179"/>
      <c r="Q388">
        <f t="shared" si="36"/>
        <v>0</v>
      </c>
      <c r="R388">
        <f t="shared" si="37"/>
        <v>387</v>
      </c>
      <c r="S388">
        <f>IFERROR(SEARCH(Crewlist!$P$5,V388)+ROW()/100000,"")</f>
        <v>1.0038800000000001</v>
      </c>
      <c r="T388">
        <f t="shared" si="38"/>
        <v>387</v>
      </c>
      <c r="U388">
        <f t="shared" si="39"/>
        <v>0</v>
      </c>
      <c r="V388" t="str">
        <f t="shared" si="41"/>
        <v xml:space="preserve"> </v>
      </c>
      <c r="Y388" s="162" t="e">
        <f>VLOOKUP(B388,Crewlist!AS:AU,3,FALSE)</f>
        <v>#N/A</v>
      </c>
      <c r="Z388" s="163">
        <f t="shared" si="40"/>
        <v>0</v>
      </c>
    </row>
    <row r="389" spans="2:26">
      <c r="B389" s="202">
        <v>388</v>
      </c>
      <c r="C389" s="169"/>
      <c r="D389" s="169"/>
      <c r="E389" s="169"/>
      <c r="F389" s="176"/>
      <c r="H389" s="178"/>
      <c r="I389" s="179"/>
      <c r="J389" s="179"/>
      <c r="K389" s="179"/>
      <c r="L389" s="179"/>
      <c r="Q389">
        <f t="shared" si="36"/>
        <v>0</v>
      </c>
      <c r="R389">
        <f t="shared" si="37"/>
        <v>388</v>
      </c>
      <c r="S389">
        <f>IFERROR(SEARCH(Crewlist!$P$5,V389)+ROW()/100000,"")</f>
        <v>1.0038899999999999</v>
      </c>
      <c r="T389">
        <f t="shared" si="38"/>
        <v>388</v>
      </c>
      <c r="U389">
        <f t="shared" si="39"/>
        <v>0</v>
      </c>
      <c r="V389" t="str">
        <f t="shared" si="41"/>
        <v xml:space="preserve"> </v>
      </c>
      <c r="Y389" s="162" t="e">
        <f>VLOOKUP(B389,Crewlist!AS:AU,3,FALSE)</f>
        <v>#N/A</v>
      </c>
      <c r="Z389" s="163">
        <f t="shared" si="40"/>
        <v>0</v>
      </c>
    </row>
    <row r="390" spans="2:26">
      <c r="B390" s="171">
        <v>389</v>
      </c>
      <c r="C390" s="169"/>
      <c r="D390" s="169"/>
      <c r="E390" s="169"/>
      <c r="F390" s="176"/>
      <c r="H390" s="178"/>
      <c r="I390" s="179"/>
      <c r="J390" s="179"/>
      <c r="K390" s="179"/>
      <c r="L390" s="179"/>
      <c r="Q390">
        <f t="shared" si="36"/>
        <v>0</v>
      </c>
      <c r="R390">
        <f t="shared" si="37"/>
        <v>389</v>
      </c>
      <c r="S390">
        <f>IFERROR(SEARCH(Crewlist!$P$5,V390)+ROW()/100000,"")</f>
        <v>1.0039</v>
      </c>
      <c r="T390">
        <f t="shared" si="38"/>
        <v>389</v>
      </c>
      <c r="U390">
        <f t="shared" si="39"/>
        <v>0</v>
      </c>
      <c r="V390" t="str">
        <f t="shared" si="41"/>
        <v xml:space="preserve"> </v>
      </c>
      <c r="Y390" s="162" t="e">
        <f>VLOOKUP(B390,Crewlist!AS:AU,3,FALSE)</f>
        <v>#N/A</v>
      </c>
      <c r="Z390" s="163">
        <f t="shared" si="40"/>
        <v>0</v>
      </c>
    </row>
    <row r="391" spans="2:26">
      <c r="B391" s="171">
        <v>390</v>
      </c>
      <c r="C391" s="169"/>
      <c r="D391" s="169"/>
      <c r="E391" s="169"/>
      <c r="F391" s="176"/>
      <c r="H391" s="178"/>
      <c r="I391" s="179"/>
      <c r="J391" s="179"/>
      <c r="K391" s="179"/>
      <c r="L391" s="179"/>
      <c r="Q391">
        <f t="shared" si="36"/>
        <v>0</v>
      </c>
      <c r="R391">
        <f t="shared" si="37"/>
        <v>390</v>
      </c>
      <c r="S391">
        <f>IFERROR(SEARCH(Crewlist!$P$5,V391)+ROW()/100000,"")</f>
        <v>1.0039100000000001</v>
      </c>
      <c r="T391">
        <f t="shared" si="38"/>
        <v>390</v>
      </c>
      <c r="U391">
        <f t="shared" si="39"/>
        <v>0</v>
      </c>
      <c r="V391" t="str">
        <f t="shared" si="41"/>
        <v xml:space="preserve"> </v>
      </c>
      <c r="Y391" s="162" t="e">
        <f>VLOOKUP(B391,Crewlist!AS:AU,3,FALSE)</f>
        <v>#N/A</v>
      </c>
      <c r="Z391" s="163">
        <f t="shared" si="40"/>
        <v>0</v>
      </c>
    </row>
    <row r="392" spans="2:26">
      <c r="B392" s="202">
        <v>391</v>
      </c>
      <c r="C392" s="169"/>
      <c r="D392" s="169"/>
      <c r="E392" s="169"/>
      <c r="F392" s="176"/>
      <c r="H392" s="178"/>
      <c r="I392" s="179"/>
      <c r="J392" s="179"/>
      <c r="K392" s="179"/>
      <c r="L392" s="179"/>
      <c r="Q392">
        <f t="shared" si="36"/>
        <v>0</v>
      </c>
      <c r="R392">
        <f t="shared" si="37"/>
        <v>391</v>
      </c>
      <c r="S392">
        <f>IFERROR(SEARCH(Crewlist!$P$5,V392)+ROW()/100000,"")</f>
        <v>1.0039199999999999</v>
      </c>
      <c r="T392">
        <f t="shared" si="38"/>
        <v>391</v>
      </c>
      <c r="U392">
        <f t="shared" si="39"/>
        <v>0</v>
      </c>
      <c r="V392" t="str">
        <f t="shared" si="41"/>
        <v xml:space="preserve"> </v>
      </c>
      <c r="Y392" s="162" t="e">
        <f>VLOOKUP(B392,Crewlist!AS:AU,3,FALSE)</f>
        <v>#N/A</v>
      </c>
      <c r="Z392" s="163">
        <f t="shared" si="40"/>
        <v>0</v>
      </c>
    </row>
    <row r="393" spans="2:26">
      <c r="B393" s="171">
        <v>392</v>
      </c>
      <c r="C393" s="169"/>
      <c r="D393" s="169"/>
      <c r="E393" s="169"/>
      <c r="F393" s="176"/>
      <c r="H393" s="173"/>
      <c r="I393" s="179"/>
      <c r="J393" s="179"/>
      <c r="L393" s="179"/>
      <c r="Q393">
        <f t="shared" si="36"/>
        <v>0</v>
      </c>
      <c r="R393">
        <f t="shared" si="37"/>
        <v>392</v>
      </c>
      <c r="S393">
        <f>IFERROR(SEARCH(Crewlist!$P$5,V393)+ROW()/100000,"")</f>
        <v>1.00393</v>
      </c>
      <c r="T393">
        <f t="shared" si="38"/>
        <v>392</v>
      </c>
      <c r="U393">
        <f t="shared" si="39"/>
        <v>0</v>
      </c>
      <c r="V393" t="str">
        <f t="shared" si="41"/>
        <v xml:space="preserve"> </v>
      </c>
      <c r="Y393" s="162" t="e">
        <f>VLOOKUP(B393,Crewlist!AS:AU,3,FALSE)</f>
        <v>#N/A</v>
      </c>
      <c r="Z393" s="163">
        <f t="shared" si="40"/>
        <v>0</v>
      </c>
    </row>
    <row r="394" spans="2:26">
      <c r="B394" s="171">
        <v>393</v>
      </c>
      <c r="C394" s="169"/>
      <c r="D394" s="169"/>
      <c r="E394" s="169"/>
      <c r="F394" s="176"/>
      <c r="H394" s="173"/>
      <c r="I394" s="179"/>
      <c r="J394" s="179"/>
      <c r="L394" s="179"/>
      <c r="Q394">
        <f t="shared" si="36"/>
        <v>0</v>
      </c>
      <c r="R394">
        <f t="shared" si="37"/>
        <v>393</v>
      </c>
      <c r="S394">
        <f>IFERROR(SEARCH(Crewlist!$P$5,V394)+ROW()/100000,"")</f>
        <v>1.0039400000000001</v>
      </c>
      <c r="T394">
        <f t="shared" si="38"/>
        <v>393</v>
      </c>
      <c r="U394">
        <f t="shared" si="39"/>
        <v>0</v>
      </c>
      <c r="V394" t="str">
        <f t="shared" si="41"/>
        <v xml:space="preserve"> </v>
      </c>
      <c r="Y394" s="162" t="e">
        <f>VLOOKUP(B394,Crewlist!AS:AU,3,FALSE)</f>
        <v>#N/A</v>
      </c>
      <c r="Z394" s="163">
        <f t="shared" si="40"/>
        <v>0</v>
      </c>
    </row>
    <row r="395" spans="2:26">
      <c r="B395" s="202">
        <v>394</v>
      </c>
      <c r="C395" s="169"/>
      <c r="D395" s="169"/>
      <c r="E395" s="169"/>
      <c r="F395" s="176"/>
      <c r="H395" s="178"/>
      <c r="I395" s="179"/>
      <c r="J395" s="179"/>
      <c r="K395" s="179"/>
      <c r="L395" s="179"/>
      <c r="Q395">
        <f t="shared" si="36"/>
        <v>0</v>
      </c>
      <c r="R395">
        <f t="shared" si="37"/>
        <v>394</v>
      </c>
      <c r="S395">
        <f>IFERROR(SEARCH(Crewlist!$P$5,V395)+ROW()/100000,"")</f>
        <v>1.0039499999999999</v>
      </c>
      <c r="T395">
        <f t="shared" si="38"/>
        <v>394</v>
      </c>
      <c r="U395">
        <f t="shared" si="39"/>
        <v>0</v>
      </c>
      <c r="V395" t="str">
        <f t="shared" si="41"/>
        <v xml:space="preserve"> </v>
      </c>
      <c r="Y395" s="162" t="e">
        <f>VLOOKUP(B395,Crewlist!AS:AU,3,FALSE)</f>
        <v>#N/A</v>
      </c>
      <c r="Z395" s="163">
        <f t="shared" si="40"/>
        <v>0</v>
      </c>
    </row>
    <row r="396" spans="2:26">
      <c r="B396" s="171">
        <v>395</v>
      </c>
      <c r="C396" s="169"/>
      <c r="D396" s="169"/>
      <c r="E396" s="169"/>
      <c r="F396" s="176"/>
      <c r="H396" s="178"/>
      <c r="I396" s="179"/>
      <c r="J396" s="179"/>
      <c r="L396" s="179"/>
      <c r="Q396">
        <f t="shared" si="36"/>
        <v>0</v>
      </c>
      <c r="R396">
        <f t="shared" si="37"/>
        <v>395</v>
      </c>
      <c r="S396">
        <f>IFERROR(SEARCH(Crewlist!$P$5,V396)+ROW()/100000,"")</f>
        <v>1.00396</v>
      </c>
      <c r="T396">
        <f t="shared" si="38"/>
        <v>395</v>
      </c>
      <c r="U396">
        <f t="shared" si="39"/>
        <v>0</v>
      </c>
      <c r="V396" t="str">
        <f t="shared" si="41"/>
        <v xml:space="preserve"> </v>
      </c>
      <c r="Y396" s="162" t="e">
        <f>VLOOKUP(B396,Crewlist!AS:AU,3,FALSE)</f>
        <v>#N/A</v>
      </c>
      <c r="Z396" s="163">
        <f t="shared" si="40"/>
        <v>0</v>
      </c>
    </row>
    <row r="397" spans="2:26">
      <c r="B397" s="171">
        <v>396</v>
      </c>
      <c r="C397" s="169"/>
      <c r="D397" s="169"/>
      <c r="E397" s="169"/>
      <c r="F397" s="215"/>
      <c r="G397" s="177"/>
      <c r="H397" s="178"/>
      <c r="I397" s="179"/>
      <c r="J397" s="179"/>
      <c r="K397" s="179"/>
      <c r="L397" s="215"/>
      <c r="M397" s="180"/>
      <c r="Q397">
        <f t="shared" si="36"/>
        <v>0</v>
      </c>
      <c r="R397">
        <f t="shared" si="37"/>
        <v>396</v>
      </c>
      <c r="S397">
        <f>IFERROR(SEARCH(Crewlist!$P$5,V397)+ROW()/100000,"")</f>
        <v>1.00397</v>
      </c>
      <c r="T397">
        <f t="shared" si="38"/>
        <v>396</v>
      </c>
      <c r="U397">
        <f t="shared" si="39"/>
        <v>0</v>
      </c>
      <c r="V397" t="str">
        <f t="shared" si="41"/>
        <v xml:space="preserve"> </v>
      </c>
      <c r="Y397" s="162" t="e">
        <f>VLOOKUP(B397,Crewlist!AS:AU,3,FALSE)</f>
        <v>#N/A</v>
      </c>
      <c r="Z397" s="163">
        <f t="shared" si="40"/>
        <v>0</v>
      </c>
    </row>
    <row r="398" spans="2:26">
      <c r="B398" s="202">
        <v>397</v>
      </c>
      <c r="C398" s="169"/>
      <c r="D398" s="169"/>
      <c r="E398" s="169"/>
      <c r="F398" s="176"/>
      <c r="H398" s="178"/>
      <c r="I398" s="179"/>
      <c r="J398" s="179"/>
      <c r="K398" s="179"/>
      <c r="L398" s="179"/>
      <c r="Q398">
        <f t="shared" si="36"/>
        <v>0</v>
      </c>
      <c r="R398">
        <f t="shared" si="37"/>
        <v>397</v>
      </c>
      <c r="S398">
        <f>IFERROR(SEARCH(Crewlist!$P$5,V398)+ROW()/100000,"")</f>
        <v>1.0039800000000001</v>
      </c>
      <c r="T398">
        <f t="shared" si="38"/>
        <v>397</v>
      </c>
      <c r="U398">
        <f t="shared" si="39"/>
        <v>0</v>
      </c>
      <c r="V398" t="str">
        <f t="shared" si="41"/>
        <v xml:space="preserve"> </v>
      </c>
      <c r="Y398" s="162" t="e">
        <f>VLOOKUP(B398,Crewlist!AS:AU,3,FALSE)</f>
        <v>#N/A</v>
      </c>
      <c r="Z398" s="163">
        <f t="shared" si="40"/>
        <v>0</v>
      </c>
    </row>
    <row r="399" spans="2:26">
      <c r="B399" s="171">
        <v>398</v>
      </c>
      <c r="E399" s="169"/>
      <c r="H399" s="173"/>
      <c r="I399" s="174"/>
      <c r="J399" s="174"/>
      <c r="Q399">
        <f t="shared" si="36"/>
        <v>0</v>
      </c>
      <c r="R399">
        <f t="shared" si="37"/>
        <v>398</v>
      </c>
      <c r="S399">
        <f>IFERROR(SEARCH(Crewlist!$P$5,V399)+ROW()/100000,"")</f>
        <v>1.0039899999999999</v>
      </c>
      <c r="T399">
        <f t="shared" si="38"/>
        <v>398</v>
      </c>
      <c r="U399">
        <f t="shared" si="39"/>
        <v>0</v>
      </c>
      <c r="V399" t="str">
        <f t="shared" si="41"/>
        <v xml:space="preserve"> </v>
      </c>
      <c r="Y399" s="162" t="e">
        <f>VLOOKUP(B399,Crewlist!AS:AU,3,FALSE)</f>
        <v>#N/A</v>
      </c>
      <c r="Z399" s="163">
        <f t="shared" si="40"/>
        <v>0</v>
      </c>
    </row>
    <row r="400" spans="2:26">
      <c r="B400" s="171">
        <v>399</v>
      </c>
      <c r="H400" s="173"/>
      <c r="I400" s="174"/>
      <c r="J400" s="174"/>
      <c r="Q400">
        <f t="shared" si="36"/>
        <v>0</v>
      </c>
      <c r="R400">
        <f t="shared" si="37"/>
        <v>399</v>
      </c>
      <c r="S400">
        <f>IFERROR(SEARCH(Crewlist!$P$5,V400)+ROW()/100000,"")</f>
        <v>1.004</v>
      </c>
      <c r="T400">
        <f t="shared" si="38"/>
        <v>399</v>
      </c>
      <c r="U400">
        <f t="shared" si="39"/>
        <v>0</v>
      </c>
      <c r="V400" t="str">
        <f t="shared" si="41"/>
        <v xml:space="preserve"> </v>
      </c>
      <c r="Y400" s="162" t="e">
        <f>VLOOKUP(B400,Crewlist!AS:AU,3,FALSE)</f>
        <v>#N/A</v>
      </c>
      <c r="Z400" s="163">
        <f t="shared" si="40"/>
        <v>0</v>
      </c>
    </row>
    <row r="401" spans="2:26">
      <c r="B401" s="202">
        <v>400</v>
      </c>
      <c r="H401" s="173"/>
      <c r="I401" s="174"/>
      <c r="J401" s="174"/>
      <c r="Q401">
        <f t="shared" si="36"/>
        <v>0</v>
      </c>
      <c r="R401">
        <f t="shared" si="37"/>
        <v>400</v>
      </c>
      <c r="S401">
        <f>IFERROR(SEARCH(Crewlist!$P$5,V401)+ROW()/100000,"")</f>
        <v>1.0040100000000001</v>
      </c>
      <c r="T401">
        <f t="shared" si="38"/>
        <v>400</v>
      </c>
      <c r="U401">
        <f t="shared" si="39"/>
        <v>0</v>
      </c>
      <c r="V401" t="str">
        <f t="shared" si="41"/>
        <v xml:space="preserve"> </v>
      </c>
      <c r="Y401" s="162" t="e">
        <f>VLOOKUP(B401,Crewlist!AS:AU,3,FALSE)</f>
        <v>#N/A</v>
      </c>
      <c r="Z401" s="163">
        <f t="shared" si="40"/>
        <v>0</v>
      </c>
    </row>
    <row r="402" spans="2:26">
      <c r="B402" s="171">
        <v>401</v>
      </c>
      <c r="F402" s="183"/>
      <c r="H402" s="173"/>
      <c r="I402" s="174"/>
      <c r="J402" s="174"/>
      <c r="L402" s="183"/>
      <c r="Q402">
        <f t="shared" si="36"/>
        <v>0</v>
      </c>
      <c r="R402">
        <f t="shared" si="37"/>
        <v>401</v>
      </c>
      <c r="S402">
        <f>IFERROR(SEARCH(Crewlist!$P$5,V402)+ROW()/100000,"")</f>
        <v>1.0040199999999999</v>
      </c>
      <c r="T402">
        <f t="shared" si="38"/>
        <v>401</v>
      </c>
      <c r="U402">
        <f t="shared" si="39"/>
        <v>0</v>
      </c>
      <c r="V402" t="str">
        <f t="shared" si="41"/>
        <v xml:space="preserve"> </v>
      </c>
      <c r="Y402" s="162" t="e">
        <f>VLOOKUP(B402,Crewlist!AS:AU,3,FALSE)</f>
        <v>#N/A</v>
      </c>
      <c r="Z402" s="163">
        <f t="shared" si="40"/>
        <v>0</v>
      </c>
    </row>
    <row r="403" spans="2:26">
      <c r="B403" s="171">
        <v>402</v>
      </c>
      <c r="E403" s="169"/>
      <c r="H403" s="173"/>
      <c r="I403" s="174"/>
      <c r="J403" s="174"/>
      <c r="Q403">
        <f t="shared" si="36"/>
        <v>0</v>
      </c>
      <c r="R403">
        <f t="shared" si="37"/>
        <v>402</v>
      </c>
      <c r="S403">
        <f>IFERROR(SEARCH(Crewlist!$P$5,V403)+ROW()/100000,"")</f>
        <v>1.00403</v>
      </c>
      <c r="T403">
        <f t="shared" si="38"/>
        <v>402</v>
      </c>
      <c r="U403">
        <f t="shared" si="39"/>
        <v>0</v>
      </c>
      <c r="V403" t="str">
        <f t="shared" si="41"/>
        <v xml:space="preserve"> </v>
      </c>
      <c r="Y403" s="162" t="e">
        <f>VLOOKUP(B403,Crewlist!AS:AU,3,FALSE)</f>
        <v>#N/A</v>
      </c>
      <c r="Z403" s="163">
        <f t="shared" si="40"/>
        <v>0</v>
      </c>
    </row>
    <row r="404" spans="2:26">
      <c r="B404" s="202">
        <v>403</v>
      </c>
      <c r="C404" s="169"/>
      <c r="D404" s="169"/>
      <c r="E404" s="169"/>
      <c r="F404" s="176"/>
      <c r="H404" s="178"/>
      <c r="I404" s="179"/>
      <c r="J404" s="179"/>
      <c r="K404" s="179"/>
      <c r="L404" s="179"/>
      <c r="Q404">
        <f t="shared" si="36"/>
        <v>0</v>
      </c>
      <c r="R404">
        <f t="shared" si="37"/>
        <v>403</v>
      </c>
      <c r="S404">
        <f>IFERROR(SEARCH(Crewlist!$P$5,V404)+ROW()/100000,"")</f>
        <v>1.00404</v>
      </c>
      <c r="T404">
        <f t="shared" si="38"/>
        <v>403</v>
      </c>
      <c r="U404">
        <f t="shared" si="39"/>
        <v>0</v>
      </c>
      <c r="V404" t="str">
        <f t="shared" si="41"/>
        <v xml:space="preserve"> </v>
      </c>
      <c r="Y404" s="162" t="e">
        <f>VLOOKUP(B404,Crewlist!AS:AU,3,FALSE)</f>
        <v>#N/A</v>
      </c>
      <c r="Z404" s="163">
        <f t="shared" si="40"/>
        <v>0</v>
      </c>
    </row>
    <row r="405" spans="2:26">
      <c r="B405" s="171">
        <v>404</v>
      </c>
      <c r="C405" s="169"/>
      <c r="D405" s="169"/>
      <c r="E405" s="169"/>
      <c r="F405" s="215"/>
      <c r="H405" s="178"/>
      <c r="I405" s="179"/>
      <c r="J405" s="179"/>
      <c r="K405" s="179"/>
      <c r="L405" s="215"/>
      <c r="Q405">
        <f t="shared" si="36"/>
        <v>0</v>
      </c>
      <c r="R405">
        <f t="shared" si="37"/>
        <v>404</v>
      </c>
      <c r="S405">
        <f>IFERROR(SEARCH(Crewlist!$P$5,V405)+ROW()/100000,"")</f>
        <v>1.0040500000000001</v>
      </c>
      <c r="T405">
        <f t="shared" si="38"/>
        <v>404</v>
      </c>
      <c r="U405">
        <f t="shared" si="39"/>
        <v>0</v>
      </c>
      <c r="V405" t="str">
        <f t="shared" si="41"/>
        <v xml:space="preserve"> </v>
      </c>
      <c r="Y405" s="162" t="e">
        <f>VLOOKUP(B405,Crewlist!AS:AU,3,FALSE)</f>
        <v>#N/A</v>
      </c>
      <c r="Z405" s="163">
        <f t="shared" si="40"/>
        <v>0</v>
      </c>
    </row>
    <row r="406" spans="2:26">
      <c r="B406" s="171">
        <v>405</v>
      </c>
      <c r="C406" s="169"/>
      <c r="D406" s="169"/>
      <c r="E406" s="169"/>
      <c r="F406" s="176"/>
      <c r="H406" s="169"/>
      <c r="I406" s="176"/>
      <c r="J406" s="176"/>
      <c r="K406" s="179"/>
      <c r="L406" s="179"/>
      <c r="Q406">
        <f t="shared" si="36"/>
        <v>0</v>
      </c>
      <c r="R406">
        <f t="shared" si="37"/>
        <v>405</v>
      </c>
      <c r="S406">
        <f>IFERROR(SEARCH(Crewlist!$P$5,V406)+ROW()/100000,"")</f>
        <v>1.00406</v>
      </c>
      <c r="T406">
        <f t="shared" si="38"/>
        <v>405</v>
      </c>
      <c r="U406">
        <f t="shared" si="39"/>
        <v>0</v>
      </c>
      <c r="V406" t="str">
        <f t="shared" si="41"/>
        <v xml:space="preserve"> </v>
      </c>
      <c r="Y406" s="162" t="e">
        <f>VLOOKUP(B406,Crewlist!AS:AU,3,FALSE)</f>
        <v>#N/A</v>
      </c>
      <c r="Z406" s="163">
        <f t="shared" si="40"/>
        <v>0</v>
      </c>
    </row>
    <row r="407" spans="2:26">
      <c r="B407" s="202">
        <v>406</v>
      </c>
      <c r="C407" s="169"/>
      <c r="D407" s="169"/>
      <c r="E407" s="169"/>
      <c r="F407" s="176"/>
      <c r="H407" s="169"/>
      <c r="I407" s="176"/>
      <c r="J407" s="176"/>
      <c r="K407" s="179"/>
      <c r="L407" s="179"/>
      <c r="Q407">
        <f t="shared" si="36"/>
        <v>0</v>
      </c>
      <c r="R407">
        <f t="shared" si="37"/>
        <v>406</v>
      </c>
      <c r="S407">
        <f>IFERROR(SEARCH(Crewlist!$P$5,V407)+ROW()/100000,"")</f>
        <v>1.00407</v>
      </c>
      <c r="T407">
        <f t="shared" si="38"/>
        <v>406</v>
      </c>
      <c r="U407">
        <f t="shared" si="39"/>
        <v>0</v>
      </c>
      <c r="V407" t="str">
        <f t="shared" si="41"/>
        <v xml:space="preserve"> </v>
      </c>
      <c r="Y407" s="162" t="e">
        <f>VLOOKUP(B407,Crewlist!AS:AU,3,FALSE)</f>
        <v>#N/A</v>
      </c>
      <c r="Z407" s="163">
        <f t="shared" si="40"/>
        <v>0</v>
      </c>
    </row>
    <row r="408" spans="2:26">
      <c r="B408" s="171">
        <v>407</v>
      </c>
      <c r="C408" s="169"/>
      <c r="D408" s="169"/>
      <c r="E408" s="169"/>
      <c r="F408" s="176"/>
      <c r="H408" s="178"/>
      <c r="I408" s="179"/>
      <c r="J408" s="179"/>
      <c r="K408" s="179"/>
      <c r="L408" s="179"/>
      <c r="Q408">
        <f t="shared" si="36"/>
        <v>0</v>
      </c>
      <c r="R408">
        <f t="shared" si="37"/>
        <v>407</v>
      </c>
      <c r="S408">
        <f>IFERROR(SEARCH(Crewlist!$P$5,V408)+ROW()/100000,"")</f>
        <v>1.0040800000000001</v>
      </c>
      <c r="T408">
        <f t="shared" si="38"/>
        <v>407</v>
      </c>
      <c r="U408">
        <f t="shared" si="39"/>
        <v>0</v>
      </c>
      <c r="V408" t="str">
        <f t="shared" si="41"/>
        <v xml:space="preserve"> </v>
      </c>
      <c r="Y408" s="162" t="e">
        <f>VLOOKUP(B408,Crewlist!AS:AU,3,FALSE)</f>
        <v>#N/A</v>
      </c>
      <c r="Z408" s="163">
        <f t="shared" si="40"/>
        <v>0</v>
      </c>
    </row>
    <row r="409" spans="2:26">
      <c r="B409" s="171">
        <v>408</v>
      </c>
      <c r="C409" s="169"/>
      <c r="D409" s="169"/>
      <c r="E409" s="169"/>
      <c r="F409" s="176"/>
      <c r="H409" s="178"/>
      <c r="I409" s="179"/>
      <c r="J409" s="179"/>
      <c r="K409" s="179"/>
      <c r="L409" s="179"/>
      <c r="Q409">
        <f t="shared" si="36"/>
        <v>0</v>
      </c>
      <c r="R409">
        <f t="shared" si="37"/>
        <v>408</v>
      </c>
      <c r="S409">
        <f>IFERROR(SEARCH(Crewlist!$P$5,V409)+ROW()/100000,"")</f>
        <v>1.0040899999999999</v>
      </c>
      <c r="T409">
        <f t="shared" si="38"/>
        <v>408</v>
      </c>
      <c r="U409">
        <f t="shared" si="39"/>
        <v>0</v>
      </c>
      <c r="V409" t="str">
        <f t="shared" si="41"/>
        <v xml:space="preserve"> </v>
      </c>
      <c r="Y409" s="162" t="e">
        <f>VLOOKUP(B409,Crewlist!AS:AU,3,FALSE)</f>
        <v>#N/A</v>
      </c>
      <c r="Z409" s="163">
        <f t="shared" si="40"/>
        <v>0</v>
      </c>
    </row>
    <row r="410" spans="2:26">
      <c r="B410" s="202">
        <v>409</v>
      </c>
      <c r="C410" s="169"/>
      <c r="D410" s="169"/>
      <c r="E410" s="169"/>
      <c r="F410" s="176"/>
      <c r="H410" s="178"/>
      <c r="I410" s="179"/>
      <c r="J410" s="179"/>
      <c r="K410" s="179"/>
      <c r="L410" s="179"/>
      <c r="Q410">
        <f t="shared" si="36"/>
        <v>0</v>
      </c>
      <c r="R410">
        <f t="shared" si="37"/>
        <v>409</v>
      </c>
      <c r="S410">
        <f>IFERROR(SEARCH(Crewlist!$P$5,V410)+ROW()/100000,"")</f>
        <v>1.0041</v>
      </c>
      <c r="T410">
        <f t="shared" si="38"/>
        <v>409</v>
      </c>
      <c r="U410">
        <f t="shared" si="39"/>
        <v>0</v>
      </c>
      <c r="V410" t="str">
        <f t="shared" si="41"/>
        <v xml:space="preserve"> </v>
      </c>
      <c r="Y410" s="162" t="e">
        <f>VLOOKUP(B410,Crewlist!AS:AU,3,FALSE)</f>
        <v>#N/A</v>
      </c>
      <c r="Z410" s="163">
        <f t="shared" si="40"/>
        <v>0</v>
      </c>
    </row>
    <row r="411" spans="2:26">
      <c r="B411" s="171">
        <v>410</v>
      </c>
      <c r="C411" s="169"/>
      <c r="D411" s="169"/>
      <c r="E411" s="169"/>
      <c r="F411" s="215"/>
      <c r="H411" s="173"/>
      <c r="I411" s="174"/>
      <c r="J411" s="174"/>
      <c r="L411" s="183"/>
      <c r="Q411">
        <f t="shared" si="36"/>
        <v>0</v>
      </c>
      <c r="R411">
        <f t="shared" si="37"/>
        <v>410</v>
      </c>
      <c r="S411">
        <f>IFERROR(SEARCH(Crewlist!$P$5,V411)+ROW()/100000,"")</f>
        <v>1.0041100000000001</v>
      </c>
      <c r="T411">
        <f t="shared" si="38"/>
        <v>410</v>
      </c>
      <c r="U411">
        <f t="shared" si="39"/>
        <v>0</v>
      </c>
      <c r="V411" t="str">
        <f t="shared" si="41"/>
        <v xml:space="preserve"> </v>
      </c>
      <c r="Y411" s="162" t="e">
        <f>VLOOKUP(B411,Crewlist!AS:AU,3,FALSE)</f>
        <v>#N/A</v>
      </c>
      <c r="Z411" s="163">
        <f t="shared" si="40"/>
        <v>0</v>
      </c>
    </row>
    <row r="412" spans="2:26">
      <c r="B412" s="171">
        <v>411</v>
      </c>
      <c r="F412" s="183"/>
      <c r="H412" s="173"/>
      <c r="I412" s="174"/>
      <c r="J412" s="174"/>
      <c r="L412" s="183"/>
      <c r="Q412">
        <f t="shared" si="36"/>
        <v>0</v>
      </c>
      <c r="R412">
        <f t="shared" si="37"/>
        <v>411</v>
      </c>
      <c r="S412">
        <f>IFERROR(SEARCH(Crewlist!$P$5,V412)+ROW()/100000,"")</f>
        <v>1.0041199999999999</v>
      </c>
      <c r="T412">
        <f t="shared" si="38"/>
        <v>411</v>
      </c>
      <c r="U412">
        <f t="shared" si="39"/>
        <v>0</v>
      </c>
      <c r="V412" t="str">
        <f t="shared" si="41"/>
        <v xml:space="preserve"> </v>
      </c>
      <c r="Y412" s="162" t="e">
        <f>VLOOKUP(B412,Crewlist!AS:AU,3,FALSE)</f>
        <v>#N/A</v>
      </c>
      <c r="Z412" s="163">
        <f t="shared" si="40"/>
        <v>0</v>
      </c>
    </row>
    <row r="413" spans="2:26">
      <c r="B413" s="202">
        <v>412</v>
      </c>
      <c r="H413" s="173"/>
      <c r="I413" s="174"/>
      <c r="J413" s="174"/>
      <c r="Q413">
        <f t="shared" si="36"/>
        <v>0</v>
      </c>
      <c r="R413">
        <f t="shared" si="37"/>
        <v>412</v>
      </c>
      <c r="S413">
        <f>IFERROR(SEARCH(Crewlist!$P$5,V413)+ROW()/100000,"")</f>
        <v>1.00413</v>
      </c>
      <c r="T413">
        <f t="shared" si="38"/>
        <v>412</v>
      </c>
      <c r="U413">
        <f t="shared" si="39"/>
        <v>0</v>
      </c>
      <c r="V413" t="str">
        <f t="shared" si="41"/>
        <v xml:space="preserve"> </v>
      </c>
      <c r="Y413" s="162" t="e">
        <f>VLOOKUP(B413,Crewlist!AS:AU,3,FALSE)</f>
        <v>#N/A</v>
      </c>
      <c r="Z413" s="163">
        <f t="shared" si="40"/>
        <v>0</v>
      </c>
    </row>
    <row r="414" spans="2:26">
      <c r="B414" s="171">
        <v>413</v>
      </c>
      <c r="C414" s="169"/>
      <c r="E414" s="169"/>
      <c r="H414" s="173"/>
      <c r="I414" s="174"/>
      <c r="J414" s="174"/>
      <c r="K414" s="179"/>
      <c r="Q414">
        <f t="shared" si="36"/>
        <v>0</v>
      </c>
      <c r="R414">
        <f t="shared" si="37"/>
        <v>413</v>
      </c>
      <c r="S414">
        <f>IFERROR(SEARCH(Crewlist!$P$5,V414)+ROW()/100000,"")</f>
        <v>1.00414</v>
      </c>
      <c r="T414">
        <f t="shared" si="38"/>
        <v>413</v>
      </c>
      <c r="U414">
        <f t="shared" si="39"/>
        <v>0</v>
      </c>
      <c r="V414" t="str">
        <f t="shared" si="41"/>
        <v xml:space="preserve"> </v>
      </c>
      <c r="Y414" s="162" t="e">
        <f>VLOOKUP(B414,Crewlist!AS:AU,3,FALSE)</f>
        <v>#N/A</v>
      </c>
      <c r="Z414" s="163">
        <f t="shared" si="40"/>
        <v>0</v>
      </c>
    </row>
    <row r="415" spans="2:26">
      <c r="B415" s="171">
        <v>414</v>
      </c>
      <c r="E415" s="169"/>
      <c r="H415" s="173"/>
      <c r="I415" s="174"/>
      <c r="J415" s="174"/>
      <c r="Q415">
        <f t="shared" si="36"/>
        <v>0</v>
      </c>
      <c r="R415">
        <f t="shared" si="37"/>
        <v>414</v>
      </c>
      <c r="S415">
        <f>IFERROR(SEARCH(Crewlist!$P$5,V415)+ROW()/100000,"")</f>
        <v>1.0041500000000001</v>
      </c>
      <c r="T415">
        <f t="shared" si="38"/>
        <v>414</v>
      </c>
      <c r="U415">
        <f t="shared" si="39"/>
        <v>0</v>
      </c>
      <c r="V415" t="str">
        <f t="shared" si="41"/>
        <v xml:space="preserve"> </v>
      </c>
      <c r="Y415" s="162" t="e">
        <f>VLOOKUP(B415,Crewlist!AS:AU,3,FALSE)</f>
        <v>#N/A</v>
      </c>
      <c r="Z415" s="163">
        <f t="shared" si="40"/>
        <v>0</v>
      </c>
    </row>
    <row r="416" spans="2:26">
      <c r="B416" s="202">
        <v>415</v>
      </c>
      <c r="H416" s="173"/>
      <c r="I416" s="174"/>
      <c r="J416" s="174"/>
      <c r="Q416">
        <f t="shared" si="36"/>
        <v>0</v>
      </c>
      <c r="R416">
        <f t="shared" si="37"/>
        <v>415</v>
      </c>
      <c r="S416">
        <f>IFERROR(SEARCH(Crewlist!$P$5,V416)+ROW()/100000,"")</f>
        <v>1.0041599999999999</v>
      </c>
      <c r="T416">
        <f t="shared" si="38"/>
        <v>415</v>
      </c>
      <c r="U416">
        <f t="shared" si="39"/>
        <v>0</v>
      </c>
      <c r="V416" t="str">
        <f t="shared" si="41"/>
        <v xml:space="preserve"> </v>
      </c>
      <c r="Y416" s="162" t="e">
        <f>VLOOKUP(B416,Crewlist!AS:AU,3,FALSE)</f>
        <v>#N/A</v>
      </c>
      <c r="Z416" s="163">
        <f t="shared" si="40"/>
        <v>0</v>
      </c>
    </row>
    <row r="417" spans="2:26">
      <c r="B417" s="171">
        <v>416</v>
      </c>
      <c r="H417" s="173"/>
      <c r="I417" s="174"/>
      <c r="J417" s="174"/>
      <c r="Q417">
        <f t="shared" si="36"/>
        <v>0</v>
      </c>
      <c r="R417">
        <f t="shared" si="37"/>
        <v>416</v>
      </c>
      <c r="S417">
        <f>IFERROR(SEARCH(Crewlist!$P$5,V417)+ROW()/100000,"")</f>
        <v>1.00417</v>
      </c>
      <c r="T417">
        <f t="shared" si="38"/>
        <v>416</v>
      </c>
      <c r="U417">
        <f t="shared" si="39"/>
        <v>0</v>
      </c>
      <c r="V417" t="str">
        <f t="shared" si="41"/>
        <v xml:space="preserve"> </v>
      </c>
      <c r="Y417" s="162" t="e">
        <f>VLOOKUP(B417,Crewlist!AS:AU,3,FALSE)</f>
        <v>#N/A</v>
      </c>
      <c r="Z417" s="163">
        <f t="shared" si="40"/>
        <v>0</v>
      </c>
    </row>
    <row r="418" spans="2:26">
      <c r="B418" s="171">
        <v>417</v>
      </c>
      <c r="C418" s="169"/>
      <c r="D418" s="169"/>
      <c r="E418" s="169"/>
      <c r="F418" s="176"/>
      <c r="H418" s="178"/>
      <c r="I418" s="179"/>
      <c r="J418" s="179"/>
      <c r="K418" s="179"/>
      <c r="L418" s="179"/>
      <c r="Q418">
        <f t="shared" si="36"/>
        <v>0</v>
      </c>
      <c r="R418">
        <f t="shared" si="37"/>
        <v>417</v>
      </c>
      <c r="S418">
        <f>IFERROR(SEARCH(Crewlist!$P$5,V418)+ROW()/100000,"")</f>
        <v>1.0041800000000001</v>
      </c>
      <c r="T418">
        <f t="shared" si="38"/>
        <v>417</v>
      </c>
      <c r="U418">
        <f t="shared" si="39"/>
        <v>0</v>
      </c>
      <c r="V418" t="str">
        <f t="shared" si="41"/>
        <v xml:space="preserve"> </v>
      </c>
      <c r="Y418" s="162" t="e">
        <f>VLOOKUP(B418,Crewlist!AS:AU,3,FALSE)</f>
        <v>#N/A</v>
      </c>
      <c r="Z418" s="163">
        <f t="shared" si="40"/>
        <v>0</v>
      </c>
    </row>
    <row r="419" spans="2:26">
      <c r="B419" s="202">
        <v>418</v>
      </c>
      <c r="C419" s="169"/>
      <c r="D419" s="169"/>
      <c r="E419" s="169"/>
      <c r="F419" s="176"/>
      <c r="H419" s="178"/>
      <c r="I419" s="179"/>
      <c r="J419" s="179"/>
      <c r="K419" s="179"/>
      <c r="L419" s="179"/>
      <c r="Q419">
        <f t="shared" si="36"/>
        <v>0</v>
      </c>
      <c r="R419">
        <f t="shared" si="37"/>
        <v>418</v>
      </c>
      <c r="S419">
        <f>IFERROR(SEARCH(Crewlist!$P$5,V419)+ROW()/100000,"")</f>
        <v>1.0041899999999999</v>
      </c>
      <c r="T419">
        <f t="shared" si="38"/>
        <v>418</v>
      </c>
      <c r="U419">
        <f t="shared" si="39"/>
        <v>0</v>
      </c>
      <c r="V419" t="str">
        <f t="shared" si="41"/>
        <v xml:space="preserve"> </v>
      </c>
      <c r="Y419" s="162" t="e">
        <f>VLOOKUP(B419,Crewlist!AS:AU,3,FALSE)</f>
        <v>#N/A</v>
      </c>
      <c r="Z419" s="163">
        <f t="shared" si="40"/>
        <v>0</v>
      </c>
    </row>
    <row r="420" spans="2:26">
      <c r="B420" s="171">
        <v>419</v>
      </c>
      <c r="C420" s="169"/>
      <c r="D420" s="169"/>
      <c r="E420" s="169"/>
      <c r="F420" s="176"/>
      <c r="H420" s="178"/>
      <c r="I420" s="179"/>
      <c r="J420" s="179"/>
      <c r="K420" s="179"/>
      <c r="L420" s="179"/>
      <c r="Q420">
        <f t="shared" si="36"/>
        <v>0</v>
      </c>
      <c r="R420">
        <f t="shared" si="37"/>
        <v>419</v>
      </c>
      <c r="S420">
        <f>IFERROR(SEARCH(Crewlist!$P$5,V420)+ROW()/100000,"")</f>
        <v>1.0042</v>
      </c>
      <c r="T420">
        <f t="shared" si="38"/>
        <v>419</v>
      </c>
      <c r="U420">
        <f t="shared" si="39"/>
        <v>0</v>
      </c>
      <c r="V420" t="str">
        <f t="shared" si="41"/>
        <v xml:space="preserve"> </v>
      </c>
      <c r="Y420" s="162" t="e">
        <f>VLOOKUP(B420,Crewlist!AS:AU,3,FALSE)</f>
        <v>#N/A</v>
      </c>
      <c r="Z420" s="163">
        <f t="shared" si="40"/>
        <v>0</v>
      </c>
    </row>
    <row r="421" spans="2:26">
      <c r="B421" s="171">
        <v>420</v>
      </c>
      <c r="C421" s="169"/>
      <c r="D421" s="169"/>
      <c r="E421" s="169"/>
      <c r="F421" s="176"/>
      <c r="H421" s="169"/>
      <c r="I421" s="176"/>
      <c r="J421" s="176"/>
      <c r="K421" s="179"/>
      <c r="L421" s="179"/>
      <c r="Q421">
        <f t="shared" si="36"/>
        <v>0</v>
      </c>
      <c r="R421">
        <f t="shared" si="37"/>
        <v>420</v>
      </c>
      <c r="S421">
        <f>IFERROR(SEARCH(Crewlist!$P$5,V421)+ROW()/100000,"")</f>
        <v>1.00421</v>
      </c>
      <c r="T421">
        <f t="shared" si="38"/>
        <v>420</v>
      </c>
      <c r="U421">
        <f t="shared" si="39"/>
        <v>0</v>
      </c>
      <c r="V421" t="str">
        <f t="shared" si="41"/>
        <v xml:space="preserve"> </v>
      </c>
      <c r="Y421" s="162" t="e">
        <f>VLOOKUP(B421,Crewlist!AS:AU,3,FALSE)</f>
        <v>#N/A</v>
      </c>
      <c r="Z421" s="163">
        <f t="shared" si="40"/>
        <v>0</v>
      </c>
    </row>
    <row r="422" spans="2:26">
      <c r="B422" s="202">
        <v>421</v>
      </c>
      <c r="C422" s="169"/>
      <c r="D422" s="169"/>
      <c r="E422" s="169"/>
      <c r="F422" s="176"/>
      <c r="H422" s="178"/>
      <c r="I422" s="179"/>
      <c r="J422" s="179"/>
      <c r="K422" s="179"/>
      <c r="L422" s="179"/>
      <c r="Q422">
        <f t="shared" si="36"/>
        <v>0</v>
      </c>
      <c r="R422">
        <f t="shared" si="37"/>
        <v>421</v>
      </c>
      <c r="S422">
        <f>IFERROR(SEARCH(Crewlist!$P$5,V422)+ROW()/100000,"")</f>
        <v>1.0042199999999999</v>
      </c>
      <c r="T422">
        <f t="shared" si="38"/>
        <v>421</v>
      </c>
      <c r="U422">
        <f t="shared" si="39"/>
        <v>0</v>
      </c>
      <c r="V422" t="str">
        <f t="shared" si="41"/>
        <v xml:space="preserve"> </v>
      </c>
      <c r="Y422" s="162" t="e">
        <f>VLOOKUP(B422,Crewlist!AS:AU,3,FALSE)</f>
        <v>#N/A</v>
      </c>
      <c r="Z422" s="163">
        <f t="shared" si="40"/>
        <v>0</v>
      </c>
    </row>
    <row r="423" spans="2:26">
      <c r="B423" s="171">
        <v>422</v>
      </c>
      <c r="C423" s="169"/>
      <c r="D423" s="169"/>
      <c r="E423" s="169"/>
      <c r="F423" s="176"/>
      <c r="H423" s="178"/>
      <c r="I423" s="179"/>
      <c r="J423" s="179"/>
      <c r="K423" s="179"/>
      <c r="L423" s="179"/>
      <c r="Q423">
        <f t="shared" si="36"/>
        <v>0</v>
      </c>
      <c r="R423">
        <f t="shared" si="37"/>
        <v>422</v>
      </c>
      <c r="S423">
        <f>IFERROR(SEARCH(Crewlist!$P$5,V423)+ROW()/100000,"")</f>
        <v>1.00423</v>
      </c>
      <c r="T423">
        <f t="shared" si="38"/>
        <v>422</v>
      </c>
      <c r="U423">
        <f t="shared" si="39"/>
        <v>0</v>
      </c>
      <c r="V423" t="str">
        <f t="shared" si="41"/>
        <v xml:space="preserve"> </v>
      </c>
      <c r="Y423" s="162" t="e">
        <f>VLOOKUP(B423,Crewlist!AS:AU,3,FALSE)</f>
        <v>#N/A</v>
      </c>
      <c r="Z423" s="163">
        <f t="shared" si="40"/>
        <v>0</v>
      </c>
    </row>
    <row r="424" spans="2:26">
      <c r="B424" s="171">
        <v>423</v>
      </c>
      <c r="C424" s="169"/>
      <c r="D424" s="169"/>
      <c r="E424" s="169"/>
      <c r="F424" s="176"/>
      <c r="H424" s="178"/>
      <c r="I424" s="179"/>
      <c r="J424" s="179"/>
      <c r="K424" s="179"/>
      <c r="L424" s="179"/>
      <c r="Q424">
        <f t="shared" si="36"/>
        <v>0</v>
      </c>
      <c r="R424">
        <f t="shared" si="37"/>
        <v>423</v>
      </c>
      <c r="S424">
        <f>IFERROR(SEARCH(Crewlist!$P$5,V424)+ROW()/100000,"")</f>
        <v>1.00424</v>
      </c>
      <c r="T424">
        <f t="shared" si="38"/>
        <v>423</v>
      </c>
      <c r="U424">
        <f t="shared" si="39"/>
        <v>0</v>
      </c>
      <c r="V424" t="str">
        <f t="shared" si="41"/>
        <v xml:space="preserve"> </v>
      </c>
      <c r="Y424" s="162" t="e">
        <f>VLOOKUP(B424,Crewlist!AS:AU,3,FALSE)</f>
        <v>#N/A</v>
      </c>
      <c r="Z424" s="163">
        <f t="shared" si="40"/>
        <v>0</v>
      </c>
    </row>
    <row r="425" spans="2:26">
      <c r="B425" s="202">
        <v>424</v>
      </c>
      <c r="C425" s="169"/>
      <c r="D425" s="169"/>
      <c r="E425" s="169"/>
      <c r="F425" s="215"/>
      <c r="H425" s="178"/>
      <c r="I425" s="179"/>
      <c r="J425" s="179"/>
      <c r="K425" s="179"/>
      <c r="L425" s="179"/>
      <c r="Q425">
        <f t="shared" si="36"/>
        <v>0</v>
      </c>
      <c r="R425">
        <f t="shared" si="37"/>
        <v>424</v>
      </c>
      <c r="S425">
        <f>IFERROR(SEARCH(Crewlist!$P$5,V425)+ROW()/100000,"")</f>
        <v>1.0042500000000001</v>
      </c>
      <c r="T425">
        <f t="shared" si="38"/>
        <v>424</v>
      </c>
      <c r="U425">
        <f t="shared" si="39"/>
        <v>0</v>
      </c>
      <c r="V425" t="str">
        <f t="shared" si="41"/>
        <v xml:space="preserve"> </v>
      </c>
      <c r="Y425" s="162" t="e">
        <f>VLOOKUP(B425,Crewlist!AS:AU,3,FALSE)</f>
        <v>#N/A</v>
      </c>
      <c r="Z425" s="163">
        <f t="shared" si="40"/>
        <v>0</v>
      </c>
    </row>
    <row r="426" spans="2:26">
      <c r="B426" s="171">
        <v>425</v>
      </c>
      <c r="C426" s="169"/>
      <c r="D426" s="169"/>
      <c r="E426" s="169"/>
      <c r="F426" s="176"/>
      <c r="H426" s="178"/>
      <c r="I426" s="179"/>
      <c r="J426" s="179"/>
      <c r="L426" s="179"/>
      <c r="Q426">
        <f t="shared" si="36"/>
        <v>0</v>
      </c>
      <c r="R426">
        <f t="shared" si="37"/>
        <v>425</v>
      </c>
      <c r="S426">
        <f>IFERROR(SEARCH(Crewlist!$P$5,V426)+ROW()/100000,"")</f>
        <v>1.0042599999999999</v>
      </c>
      <c r="T426">
        <f t="shared" si="38"/>
        <v>425</v>
      </c>
      <c r="U426">
        <f t="shared" si="39"/>
        <v>0</v>
      </c>
      <c r="V426" t="str">
        <f t="shared" si="41"/>
        <v xml:space="preserve"> </v>
      </c>
      <c r="Y426" s="162" t="e">
        <f>VLOOKUP(B426,Crewlist!AS:AU,3,FALSE)</f>
        <v>#N/A</v>
      </c>
      <c r="Z426" s="163">
        <f t="shared" si="40"/>
        <v>0</v>
      </c>
    </row>
    <row r="427" spans="2:26">
      <c r="B427" s="171">
        <v>426</v>
      </c>
      <c r="C427" s="169"/>
      <c r="D427" s="169"/>
      <c r="F427" s="215"/>
      <c r="H427" s="173"/>
      <c r="I427" s="179"/>
      <c r="J427" s="179"/>
      <c r="L427" s="215"/>
      <c r="Q427">
        <f t="shared" si="36"/>
        <v>0</v>
      </c>
      <c r="R427">
        <f t="shared" si="37"/>
        <v>426</v>
      </c>
      <c r="S427">
        <f>IFERROR(SEARCH(Crewlist!$P$5,V427)+ROW()/100000,"")</f>
        <v>1.00427</v>
      </c>
      <c r="T427">
        <f t="shared" si="38"/>
        <v>426</v>
      </c>
      <c r="U427">
        <f t="shared" si="39"/>
        <v>0</v>
      </c>
      <c r="V427" t="str">
        <f t="shared" si="41"/>
        <v xml:space="preserve"> </v>
      </c>
      <c r="Y427" s="162" t="e">
        <f>VLOOKUP(B427,Crewlist!AS:AU,3,FALSE)</f>
        <v>#N/A</v>
      </c>
      <c r="Z427" s="163">
        <f t="shared" si="40"/>
        <v>0</v>
      </c>
    </row>
    <row r="428" spans="2:26">
      <c r="B428" s="202">
        <v>427</v>
      </c>
      <c r="C428" s="169"/>
      <c r="D428" s="169"/>
      <c r="E428" s="169"/>
      <c r="F428" s="176"/>
      <c r="H428" s="178"/>
      <c r="I428" s="179"/>
      <c r="J428" s="179"/>
      <c r="K428" s="184"/>
      <c r="L428" s="179"/>
      <c r="M428" s="182"/>
      <c r="Q428">
        <f t="shared" si="36"/>
        <v>0</v>
      </c>
      <c r="R428">
        <f t="shared" si="37"/>
        <v>427</v>
      </c>
      <c r="S428">
        <f>IFERROR(SEARCH(Crewlist!$P$5,V428)+ROW()/100000,"")</f>
        <v>1.0042800000000001</v>
      </c>
      <c r="T428">
        <f t="shared" si="38"/>
        <v>427</v>
      </c>
      <c r="U428">
        <f t="shared" si="39"/>
        <v>0</v>
      </c>
      <c r="V428" t="str">
        <f t="shared" si="41"/>
        <v xml:space="preserve"> </v>
      </c>
      <c r="Y428" s="162" t="e">
        <f>VLOOKUP(B428,Crewlist!AS:AU,3,FALSE)</f>
        <v>#N/A</v>
      </c>
      <c r="Z428" s="163">
        <f t="shared" si="40"/>
        <v>0</v>
      </c>
    </row>
    <row r="429" spans="2:26">
      <c r="B429" s="171">
        <v>428</v>
      </c>
      <c r="C429" s="169"/>
      <c r="F429" s="176"/>
      <c r="H429" s="173"/>
      <c r="I429" s="179"/>
      <c r="J429" s="179"/>
      <c r="L429" s="179"/>
      <c r="Q429">
        <f t="shared" si="36"/>
        <v>0</v>
      </c>
      <c r="R429">
        <f t="shared" si="37"/>
        <v>428</v>
      </c>
      <c r="S429">
        <f>IFERROR(SEARCH(Crewlist!$P$5,V429)+ROW()/100000,"")</f>
        <v>1.0042899999999999</v>
      </c>
      <c r="T429">
        <f t="shared" si="38"/>
        <v>428</v>
      </c>
      <c r="U429">
        <f t="shared" si="39"/>
        <v>0</v>
      </c>
      <c r="V429" t="str">
        <f t="shared" si="41"/>
        <v xml:space="preserve"> </v>
      </c>
      <c r="Y429" s="162" t="e">
        <f>VLOOKUP(B429,Crewlist!AS:AU,3,FALSE)</f>
        <v>#N/A</v>
      </c>
      <c r="Z429" s="163">
        <f t="shared" si="40"/>
        <v>0</v>
      </c>
    </row>
    <row r="430" spans="2:26">
      <c r="B430" s="171">
        <v>429</v>
      </c>
      <c r="D430" s="169"/>
      <c r="F430" s="176"/>
      <c r="H430" s="173"/>
      <c r="I430" s="179"/>
      <c r="J430" s="179"/>
      <c r="L430" s="179"/>
      <c r="Q430">
        <f t="shared" si="36"/>
        <v>0</v>
      </c>
      <c r="R430">
        <f t="shared" si="37"/>
        <v>429</v>
      </c>
      <c r="S430">
        <f>IFERROR(SEARCH(Crewlist!$P$5,V430)+ROW()/100000,"")</f>
        <v>1.0043</v>
      </c>
      <c r="T430">
        <f t="shared" si="38"/>
        <v>429</v>
      </c>
      <c r="U430">
        <f t="shared" si="39"/>
        <v>0</v>
      </c>
      <c r="V430" t="str">
        <f t="shared" si="41"/>
        <v xml:space="preserve"> </v>
      </c>
      <c r="Y430" s="162" t="e">
        <f>VLOOKUP(B430,Crewlist!AS:AU,3,FALSE)</f>
        <v>#N/A</v>
      </c>
      <c r="Z430" s="163">
        <f t="shared" si="40"/>
        <v>0</v>
      </c>
    </row>
    <row r="431" spans="2:26">
      <c r="B431" s="202">
        <v>430</v>
      </c>
      <c r="D431" s="169"/>
      <c r="E431" s="169"/>
      <c r="F431" s="176"/>
      <c r="H431" s="173"/>
      <c r="I431" s="179"/>
      <c r="J431" s="179"/>
      <c r="L431" s="179"/>
      <c r="Q431">
        <f t="shared" si="36"/>
        <v>0</v>
      </c>
      <c r="R431">
        <f t="shared" si="37"/>
        <v>430</v>
      </c>
      <c r="S431">
        <f>IFERROR(SEARCH(Crewlist!$P$5,V431)+ROW()/100000,"")</f>
        <v>1.00431</v>
      </c>
      <c r="T431">
        <f t="shared" si="38"/>
        <v>430</v>
      </c>
      <c r="U431">
        <f t="shared" si="39"/>
        <v>0</v>
      </c>
      <c r="V431" t="str">
        <f t="shared" si="41"/>
        <v xml:space="preserve"> </v>
      </c>
      <c r="Y431" s="162" t="e">
        <f>VLOOKUP(B431,Crewlist!AS:AU,3,FALSE)</f>
        <v>#N/A</v>
      </c>
      <c r="Z431" s="163">
        <f t="shared" si="40"/>
        <v>0</v>
      </c>
    </row>
    <row r="432" spans="2:26">
      <c r="B432" s="171">
        <v>431</v>
      </c>
      <c r="C432" s="169"/>
      <c r="D432" s="169"/>
      <c r="E432" s="169"/>
      <c r="F432" s="176"/>
      <c r="H432" s="178"/>
      <c r="I432" s="179"/>
      <c r="J432" s="179"/>
      <c r="K432" s="179"/>
      <c r="L432" s="179"/>
      <c r="M432" s="180"/>
      <c r="Q432">
        <f t="shared" si="36"/>
        <v>0</v>
      </c>
      <c r="R432">
        <f t="shared" si="37"/>
        <v>431</v>
      </c>
      <c r="S432">
        <f>IFERROR(SEARCH(Crewlist!$P$5,V432)+ROW()/100000,"")</f>
        <v>1.0043200000000001</v>
      </c>
      <c r="T432">
        <f t="shared" si="38"/>
        <v>431</v>
      </c>
      <c r="U432">
        <f t="shared" si="39"/>
        <v>0</v>
      </c>
      <c r="V432" t="str">
        <f t="shared" si="41"/>
        <v xml:space="preserve"> </v>
      </c>
      <c r="Y432" s="162" t="e">
        <f>VLOOKUP(B432,Crewlist!AS:AU,3,FALSE)</f>
        <v>#N/A</v>
      </c>
      <c r="Z432" s="163">
        <f t="shared" si="40"/>
        <v>0</v>
      </c>
    </row>
    <row r="433" spans="2:26">
      <c r="B433" s="171">
        <v>432</v>
      </c>
      <c r="E433" s="169"/>
      <c r="F433" s="176"/>
      <c r="H433" s="173"/>
      <c r="I433" s="179"/>
      <c r="J433" s="179"/>
      <c r="L433" s="179"/>
      <c r="Q433">
        <f t="shared" si="36"/>
        <v>0</v>
      </c>
      <c r="R433">
        <f t="shared" si="37"/>
        <v>432</v>
      </c>
      <c r="S433">
        <f>IFERROR(SEARCH(Crewlist!$P$5,V433)+ROW()/100000,"")</f>
        <v>1.0043299999999999</v>
      </c>
      <c r="T433">
        <f t="shared" si="38"/>
        <v>432</v>
      </c>
      <c r="U433">
        <f t="shared" si="39"/>
        <v>0</v>
      </c>
      <c r="V433" t="str">
        <f t="shared" si="41"/>
        <v xml:space="preserve"> </v>
      </c>
      <c r="Y433" s="162" t="e">
        <f>VLOOKUP(B433,Crewlist!AS:AU,3,FALSE)</f>
        <v>#N/A</v>
      </c>
      <c r="Z433" s="163">
        <f t="shared" si="40"/>
        <v>0</v>
      </c>
    </row>
    <row r="434" spans="2:26">
      <c r="B434" s="202">
        <v>433</v>
      </c>
      <c r="E434" s="169"/>
      <c r="F434" s="215"/>
      <c r="H434" s="173"/>
      <c r="I434" s="179"/>
      <c r="J434" s="179"/>
      <c r="L434" s="215"/>
      <c r="Q434">
        <f t="shared" si="36"/>
        <v>0</v>
      </c>
      <c r="R434">
        <f t="shared" si="37"/>
        <v>433</v>
      </c>
      <c r="S434">
        <f>IFERROR(SEARCH(Crewlist!$P$5,V434)+ROW()/100000,"")</f>
        <v>1.00434</v>
      </c>
      <c r="T434">
        <f t="shared" si="38"/>
        <v>433</v>
      </c>
      <c r="U434">
        <f t="shared" si="39"/>
        <v>0</v>
      </c>
      <c r="V434" t="str">
        <f t="shared" si="41"/>
        <v xml:space="preserve"> </v>
      </c>
      <c r="Y434" s="162" t="e">
        <f>VLOOKUP(B434,Crewlist!AS:AU,3,FALSE)</f>
        <v>#N/A</v>
      </c>
      <c r="Z434" s="163">
        <f t="shared" si="40"/>
        <v>0</v>
      </c>
    </row>
    <row r="435" spans="2:26">
      <c r="B435" s="171">
        <v>434</v>
      </c>
      <c r="C435" s="169"/>
      <c r="D435" s="169"/>
      <c r="E435" s="169"/>
      <c r="F435" s="176"/>
      <c r="H435" s="173"/>
      <c r="I435" s="179"/>
      <c r="J435" s="179"/>
      <c r="K435" s="179"/>
      <c r="L435" s="179"/>
      <c r="Q435">
        <f t="shared" si="36"/>
        <v>0</v>
      </c>
      <c r="R435">
        <f t="shared" si="37"/>
        <v>434</v>
      </c>
      <c r="S435">
        <f>IFERROR(SEARCH(Crewlist!$P$5,V435)+ROW()/100000,"")</f>
        <v>1.0043500000000001</v>
      </c>
      <c r="T435">
        <f t="shared" si="38"/>
        <v>434</v>
      </c>
      <c r="U435">
        <f t="shared" si="39"/>
        <v>0</v>
      </c>
      <c r="V435" t="str">
        <f t="shared" si="41"/>
        <v xml:space="preserve"> </v>
      </c>
      <c r="Y435" s="162" t="e">
        <f>VLOOKUP(B435,Crewlist!AS:AU,3,FALSE)</f>
        <v>#N/A</v>
      </c>
      <c r="Z435" s="163">
        <f t="shared" si="40"/>
        <v>0</v>
      </c>
    </row>
    <row r="436" spans="2:26">
      <c r="B436" s="171">
        <v>435</v>
      </c>
      <c r="C436" s="169"/>
      <c r="D436" s="169"/>
      <c r="E436" s="169"/>
      <c r="F436" s="176"/>
      <c r="G436" s="177"/>
      <c r="H436" s="178"/>
      <c r="I436" s="179"/>
      <c r="J436" s="179"/>
      <c r="L436" s="179"/>
      <c r="Q436">
        <f t="shared" si="36"/>
        <v>0</v>
      </c>
      <c r="R436">
        <f t="shared" si="37"/>
        <v>435</v>
      </c>
      <c r="S436">
        <f>IFERROR(SEARCH(Crewlist!$P$5,V436)+ROW()/100000,"")</f>
        <v>1.0043599999999999</v>
      </c>
      <c r="T436">
        <f t="shared" si="38"/>
        <v>435</v>
      </c>
      <c r="U436">
        <f t="shared" si="39"/>
        <v>0</v>
      </c>
      <c r="V436" t="str">
        <f t="shared" si="41"/>
        <v xml:space="preserve"> </v>
      </c>
      <c r="Y436" s="162" t="e">
        <f>VLOOKUP(B436,Crewlist!AS:AU,3,FALSE)</f>
        <v>#N/A</v>
      </c>
      <c r="Z436" s="163">
        <f t="shared" si="40"/>
        <v>0</v>
      </c>
    </row>
    <row r="437" spans="2:26">
      <c r="B437" s="202">
        <v>436</v>
      </c>
      <c r="C437" s="169"/>
      <c r="E437" s="169"/>
      <c r="F437" s="176"/>
      <c r="H437" s="173"/>
      <c r="I437" s="179"/>
      <c r="J437" s="179"/>
      <c r="L437" s="179"/>
      <c r="Q437">
        <f t="shared" si="36"/>
        <v>0</v>
      </c>
      <c r="R437">
        <f t="shared" si="37"/>
        <v>436</v>
      </c>
      <c r="S437">
        <f>IFERROR(SEARCH(Crewlist!$P$5,V437)+ROW()/100000,"")</f>
        <v>1.00437</v>
      </c>
      <c r="T437">
        <f t="shared" si="38"/>
        <v>436</v>
      </c>
      <c r="U437">
        <f t="shared" si="39"/>
        <v>0</v>
      </c>
      <c r="V437" t="str">
        <f t="shared" si="41"/>
        <v xml:space="preserve"> </v>
      </c>
      <c r="Y437" s="162" t="e">
        <f>VLOOKUP(B437,Crewlist!AS:AU,3,FALSE)</f>
        <v>#N/A</v>
      </c>
      <c r="Z437" s="163">
        <f t="shared" si="40"/>
        <v>0</v>
      </c>
    </row>
    <row r="438" spans="2:26">
      <c r="B438" s="171">
        <v>437</v>
      </c>
      <c r="C438" s="169"/>
      <c r="D438" s="169"/>
      <c r="E438" s="169"/>
      <c r="F438" s="176"/>
      <c r="H438" s="178"/>
      <c r="I438" s="179"/>
      <c r="J438" s="179"/>
      <c r="K438" s="179"/>
      <c r="L438" s="179"/>
      <c r="Q438">
        <f t="shared" si="36"/>
        <v>0</v>
      </c>
      <c r="R438">
        <f t="shared" si="37"/>
        <v>437</v>
      </c>
      <c r="S438">
        <f>IFERROR(SEARCH(Crewlist!$P$5,V438)+ROW()/100000,"")</f>
        <v>1.0043800000000001</v>
      </c>
      <c r="T438">
        <f t="shared" si="38"/>
        <v>437</v>
      </c>
      <c r="U438">
        <f t="shared" si="39"/>
        <v>0</v>
      </c>
      <c r="V438" t="str">
        <f t="shared" si="41"/>
        <v xml:space="preserve"> </v>
      </c>
      <c r="Y438" s="162" t="e">
        <f>VLOOKUP(B438,Crewlist!AS:AU,3,FALSE)</f>
        <v>#N/A</v>
      </c>
      <c r="Z438" s="163">
        <f t="shared" si="40"/>
        <v>0</v>
      </c>
    </row>
    <row r="439" spans="2:26">
      <c r="B439" s="171">
        <v>438</v>
      </c>
      <c r="C439" s="169"/>
      <c r="E439" s="169"/>
      <c r="F439" s="176"/>
      <c r="H439" s="178"/>
      <c r="I439" s="179"/>
      <c r="J439" s="179"/>
      <c r="L439" s="179"/>
      <c r="Q439">
        <f t="shared" si="36"/>
        <v>0</v>
      </c>
      <c r="R439">
        <f t="shared" si="37"/>
        <v>438</v>
      </c>
      <c r="S439">
        <f>IFERROR(SEARCH(Crewlist!$P$5,V439)+ROW()/100000,"")</f>
        <v>1.0043899999999999</v>
      </c>
      <c r="T439">
        <f t="shared" si="38"/>
        <v>438</v>
      </c>
      <c r="U439">
        <f t="shared" si="39"/>
        <v>0</v>
      </c>
      <c r="V439" t="str">
        <f t="shared" si="41"/>
        <v xml:space="preserve"> </v>
      </c>
      <c r="Y439" s="162" t="e">
        <f>VLOOKUP(B439,Crewlist!AS:AU,3,FALSE)</f>
        <v>#N/A</v>
      </c>
      <c r="Z439" s="163">
        <f t="shared" si="40"/>
        <v>0</v>
      </c>
    </row>
    <row r="440" spans="2:26">
      <c r="B440" s="202">
        <v>439</v>
      </c>
      <c r="C440" s="169"/>
      <c r="D440" s="169"/>
      <c r="E440" s="169"/>
      <c r="F440" s="176"/>
      <c r="H440" s="178"/>
      <c r="I440" s="179"/>
      <c r="J440" s="179"/>
      <c r="L440" s="179"/>
      <c r="Q440">
        <f t="shared" si="36"/>
        <v>0</v>
      </c>
      <c r="R440">
        <f t="shared" si="37"/>
        <v>439</v>
      </c>
      <c r="S440">
        <f>IFERROR(SEARCH(Crewlist!$P$5,V440)+ROW()/100000,"")</f>
        <v>1.0044</v>
      </c>
      <c r="T440">
        <f t="shared" si="38"/>
        <v>439</v>
      </c>
      <c r="U440">
        <f t="shared" si="39"/>
        <v>0</v>
      </c>
      <c r="V440" t="str">
        <f t="shared" si="41"/>
        <v xml:space="preserve"> </v>
      </c>
      <c r="Y440" s="162" t="e">
        <f>VLOOKUP(B440,Crewlist!AS:AU,3,FALSE)</f>
        <v>#N/A</v>
      </c>
      <c r="Z440" s="163">
        <f t="shared" si="40"/>
        <v>0</v>
      </c>
    </row>
    <row r="441" spans="2:26">
      <c r="B441" s="171">
        <v>440</v>
      </c>
      <c r="C441" s="169"/>
      <c r="D441" s="169"/>
      <c r="E441" s="169"/>
      <c r="F441" s="176"/>
      <c r="H441" s="178"/>
      <c r="I441" s="179"/>
      <c r="J441" s="179"/>
      <c r="L441" s="179"/>
      <c r="Q441">
        <f t="shared" si="36"/>
        <v>0</v>
      </c>
      <c r="R441">
        <f t="shared" si="37"/>
        <v>440</v>
      </c>
      <c r="S441">
        <f>IFERROR(SEARCH(Crewlist!$P$5,V441)+ROW()/100000,"")</f>
        <v>1.00441</v>
      </c>
      <c r="T441">
        <f t="shared" si="38"/>
        <v>440</v>
      </c>
      <c r="U441">
        <f t="shared" si="39"/>
        <v>0</v>
      </c>
      <c r="V441" t="str">
        <f t="shared" si="41"/>
        <v xml:space="preserve"> </v>
      </c>
      <c r="Y441" s="162" t="e">
        <f>VLOOKUP(B441,Crewlist!AS:AU,3,FALSE)</f>
        <v>#N/A</v>
      </c>
      <c r="Z441" s="163">
        <f t="shared" si="40"/>
        <v>0</v>
      </c>
    </row>
    <row r="442" spans="2:26">
      <c r="B442" s="171">
        <v>441</v>
      </c>
      <c r="C442" s="169"/>
      <c r="D442" s="169"/>
      <c r="E442" s="169"/>
      <c r="F442" s="176"/>
      <c r="H442" s="178"/>
      <c r="I442" s="179"/>
      <c r="J442" s="179"/>
      <c r="K442" s="179"/>
      <c r="L442" s="179"/>
      <c r="Q442">
        <f t="shared" si="36"/>
        <v>0</v>
      </c>
      <c r="R442">
        <f t="shared" si="37"/>
        <v>441</v>
      </c>
      <c r="S442">
        <f>IFERROR(SEARCH(Crewlist!$P$5,V442)+ROW()/100000,"")</f>
        <v>1.0044200000000001</v>
      </c>
      <c r="T442">
        <f t="shared" si="38"/>
        <v>441</v>
      </c>
      <c r="U442">
        <f t="shared" si="39"/>
        <v>0</v>
      </c>
      <c r="V442" t="str">
        <f t="shared" si="41"/>
        <v xml:space="preserve"> </v>
      </c>
      <c r="Y442" s="162" t="e">
        <f>VLOOKUP(B442,Crewlist!AS:AU,3,FALSE)</f>
        <v>#N/A</v>
      </c>
      <c r="Z442" s="163">
        <f t="shared" si="40"/>
        <v>0</v>
      </c>
    </row>
    <row r="443" spans="2:26">
      <c r="B443" s="202">
        <v>442</v>
      </c>
      <c r="C443" s="169"/>
      <c r="D443" s="169"/>
      <c r="E443" s="169"/>
      <c r="F443" s="176"/>
      <c r="H443" s="178"/>
      <c r="I443" s="179"/>
      <c r="J443" s="179"/>
      <c r="K443" s="179"/>
      <c r="L443" s="179"/>
      <c r="Q443">
        <f t="shared" si="36"/>
        <v>0</v>
      </c>
      <c r="R443">
        <f t="shared" si="37"/>
        <v>442</v>
      </c>
      <c r="S443">
        <f>IFERROR(SEARCH(Crewlist!$P$5,V443)+ROW()/100000,"")</f>
        <v>1.0044299999999999</v>
      </c>
      <c r="T443">
        <f t="shared" si="38"/>
        <v>442</v>
      </c>
      <c r="U443">
        <f t="shared" si="39"/>
        <v>0</v>
      </c>
      <c r="V443" t="str">
        <f t="shared" si="41"/>
        <v xml:space="preserve"> </v>
      </c>
      <c r="Y443" s="162" t="e">
        <f>VLOOKUP(B443,Crewlist!AS:AU,3,FALSE)</f>
        <v>#N/A</v>
      </c>
      <c r="Z443" s="163">
        <f t="shared" si="40"/>
        <v>0</v>
      </c>
    </row>
    <row r="444" spans="2:26">
      <c r="B444" s="171">
        <v>443</v>
      </c>
      <c r="C444" s="169"/>
      <c r="D444" s="169"/>
      <c r="E444" s="169"/>
      <c r="F444" s="176"/>
      <c r="H444" s="178"/>
      <c r="I444" s="179"/>
      <c r="J444" s="179"/>
      <c r="K444" s="179"/>
      <c r="L444" s="179"/>
      <c r="Q444">
        <f t="shared" si="36"/>
        <v>0</v>
      </c>
      <c r="R444">
        <f t="shared" si="37"/>
        <v>443</v>
      </c>
      <c r="S444">
        <f>IFERROR(SEARCH(Crewlist!$P$5,V444)+ROW()/100000,"")</f>
        <v>1.00444</v>
      </c>
      <c r="T444">
        <f t="shared" si="38"/>
        <v>443</v>
      </c>
      <c r="U444">
        <f t="shared" si="39"/>
        <v>0</v>
      </c>
      <c r="V444" t="str">
        <f t="shared" si="41"/>
        <v xml:space="preserve"> </v>
      </c>
      <c r="Y444" s="162" t="e">
        <f>VLOOKUP(B444,Crewlist!AS:AU,3,FALSE)</f>
        <v>#N/A</v>
      </c>
      <c r="Z444" s="163">
        <f t="shared" si="40"/>
        <v>0</v>
      </c>
    </row>
    <row r="445" spans="2:26">
      <c r="B445" s="171">
        <v>444</v>
      </c>
      <c r="C445" s="169"/>
      <c r="D445" s="169"/>
      <c r="E445" s="169"/>
      <c r="F445" s="176"/>
      <c r="H445" s="178"/>
      <c r="I445" s="179"/>
      <c r="J445" s="179"/>
      <c r="K445" s="179"/>
      <c r="L445" s="179"/>
      <c r="Q445">
        <f t="shared" si="36"/>
        <v>0</v>
      </c>
      <c r="R445">
        <f t="shared" si="37"/>
        <v>444</v>
      </c>
      <c r="S445">
        <f>IFERROR(SEARCH(Crewlist!$P$5,V445)+ROW()/100000,"")</f>
        <v>1.0044500000000001</v>
      </c>
      <c r="T445">
        <f t="shared" si="38"/>
        <v>444</v>
      </c>
      <c r="U445">
        <f t="shared" si="39"/>
        <v>0</v>
      </c>
      <c r="V445" t="str">
        <f t="shared" si="41"/>
        <v xml:space="preserve"> </v>
      </c>
      <c r="Y445" s="162" t="e">
        <f>VLOOKUP(B445,Crewlist!AS:AU,3,FALSE)</f>
        <v>#N/A</v>
      </c>
      <c r="Z445" s="163">
        <f t="shared" si="40"/>
        <v>0</v>
      </c>
    </row>
    <row r="446" spans="2:26">
      <c r="B446" s="202">
        <v>445</v>
      </c>
      <c r="C446" s="169"/>
      <c r="D446" s="169"/>
      <c r="E446" s="169"/>
      <c r="F446" s="215"/>
      <c r="H446" s="178"/>
      <c r="I446" s="179"/>
      <c r="J446" s="179"/>
      <c r="K446" s="179"/>
      <c r="L446" s="215"/>
      <c r="Q446">
        <f t="shared" si="36"/>
        <v>0</v>
      </c>
      <c r="R446">
        <f t="shared" si="37"/>
        <v>445</v>
      </c>
      <c r="S446">
        <f>IFERROR(SEARCH(Crewlist!$P$5,V446)+ROW()/100000,"")</f>
        <v>1.0044599999999999</v>
      </c>
      <c r="T446">
        <f t="shared" si="38"/>
        <v>445</v>
      </c>
      <c r="U446">
        <f t="shared" si="39"/>
        <v>0</v>
      </c>
      <c r="V446" t="str">
        <f t="shared" si="41"/>
        <v xml:space="preserve"> </v>
      </c>
      <c r="Y446" s="162" t="e">
        <f>VLOOKUP(B446,Crewlist!AS:AU,3,FALSE)</f>
        <v>#N/A</v>
      </c>
      <c r="Z446" s="163">
        <f t="shared" si="40"/>
        <v>0</v>
      </c>
    </row>
    <row r="447" spans="2:26">
      <c r="B447" s="171">
        <v>446</v>
      </c>
      <c r="C447" s="169"/>
      <c r="D447" s="169"/>
      <c r="E447" s="169"/>
      <c r="F447" s="176"/>
      <c r="H447" s="178"/>
      <c r="I447" s="179"/>
      <c r="J447" s="179"/>
      <c r="K447" s="179"/>
      <c r="L447" s="179"/>
      <c r="Q447">
        <f t="shared" si="36"/>
        <v>0</v>
      </c>
      <c r="R447">
        <f t="shared" si="37"/>
        <v>446</v>
      </c>
      <c r="S447">
        <f>IFERROR(SEARCH(Crewlist!$P$5,V447)+ROW()/100000,"")</f>
        <v>1.00447</v>
      </c>
      <c r="T447">
        <f t="shared" si="38"/>
        <v>446</v>
      </c>
      <c r="U447">
        <f t="shared" si="39"/>
        <v>0</v>
      </c>
      <c r="V447" t="str">
        <f t="shared" si="41"/>
        <v xml:space="preserve"> </v>
      </c>
      <c r="Y447" s="162" t="e">
        <f>VLOOKUP(B447,Crewlist!AS:AU,3,FALSE)</f>
        <v>#N/A</v>
      </c>
      <c r="Z447" s="163">
        <f t="shared" si="40"/>
        <v>0</v>
      </c>
    </row>
    <row r="448" spans="2:26">
      <c r="B448" s="171">
        <v>447</v>
      </c>
      <c r="C448" s="169"/>
      <c r="D448" s="169"/>
      <c r="E448" s="169"/>
      <c r="F448" s="176"/>
      <c r="H448" s="178"/>
      <c r="I448" s="179"/>
      <c r="J448" s="179"/>
      <c r="K448" s="179"/>
      <c r="L448" s="179"/>
      <c r="Q448">
        <f t="shared" si="36"/>
        <v>0</v>
      </c>
      <c r="R448">
        <f t="shared" si="37"/>
        <v>447</v>
      </c>
      <c r="S448">
        <f>IFERROR(SEARCH(Crewlist!$P$5,V448)+ROW()/100000,"")</f>
        <v>1.00448</v>
      </c>
      <c r="T448">
        <f t="shared" si="38"/>
        <v>447</v>
      </c>
      <c r="U448">
        <f t="shared" si="39"/>
        <v>0</v>
      </c>
      <c r="V448" t="str">
        <f t="shared" si="41"/>
        <v xml:space="preserve"> </v>
      </c>
      <c r="Y448" s="162" t="e">
        <f>VLOOKUP(B448,Crewlist!AS:AU,3,FALSE)</f>
        <v>#N/A</v>
      </c>
      <c r="Z448" s="163">
        <f t="shared" si="40"/>
        <v>0</v>
      </c>
    </row>
    <row r="449" spans="2:26">
      <c r="B449" s="202">
        <v>448</v>
      </c>
      <c r="C449" s="169"/>
      <c r="D449" s="169"/>
      <c r="E449" s="169"/>
      <c r="F449" s="176"/>
      <c r="H449" s="178"/>
      <c r="I449" s="179"/>
      <c r="J449" s="179"/>
      <c r="K449" s="179"/>
      <c r="L449" s="179"/>
      <c r="Q449">
        <f t="shared" ref="Q449:Q512" si="42">IF(C449&lt;&gt; "",B449,0)</f>
        <v>0</v>
      </c>
      <c r="R449">
        <f t="shared" si="37"/>
        <v>448</v>
      </c>
      <c r="S449">
        <f>IFERROR(SEARCH(Crewlist!$P$5,V449)+ROW()/100000,"")</f>
        <v>1.0044900000000001</v>
      </c>
      <c r="T449">
        <f t="shared" si="38"/>
        <v>448</v>
      </c>
      <c r="U449">
        <f t="shared" si="39"/>
        <v>0</v>
      </c>
      <c r="V449" t="str">
        <f t="shared" si="41"/>
        <v xml:space="preserve"> </v>
      </c>
      <c r="Y449" s="162" t="e">
        <f>VLOOKUP(B449,Crewlist!AS:AU,3,FALSE)</f>
        <v>#N/A</v>
      </c>
      <c r="Z449" s="163">
        <f t="shared" si="40"/>
        <v>0</v>
      </c>
    </row>
    <row r="450" spans="2:26">
      <c r="B450" s="171">
        <v>449</v>
      </c>
      <c r="C450" s="169"/>
      <c r="D450" s="169"/>
      <c r="E450" s="169"/>
      <c r="F450" s="176"/>
      <c r="H450" s="178"/>
      <c r="I450" s="179"/>
      <c r="J450" s="179"/>
      <c r="K450" s="179"/>
      <c r="L450" s="179"/>
      <c r="Q450">
        <f t="shared" si="42"/>
        <v>0</v>
      </c>
      <c r="R450">
        <f t="shared" ref="R450:R513" si="43">IFERROR(RANK(S450,$S$2:$S$1998,1),"")</f>
        <v>449</v>
      </c>
      <c r="S450">
        <f>IFERROR(SEARCH(Crewlist!$P$5,V450)+ROW()/100000,"")</f>
        <v>1.0044999999999999</v>
      </c>
      <c r="T450">
        <f t="shared" ref="T450:T513" si="44">B450</f>
        <v>449</v>
      </c>
      <c r="U450">
        <f t="shared" ref="U450:U513" si="45">C450</f>
        <v>0</v>
      </c>
      <c r="V450" t="str">
        <f t="shared" si="41"/>
        <v xml:space="preserve"> </v>
      </c>
      <c r="Y450" s="162" t="e">
        <f>VLOOKUP(B450,Crewlist!AS:AU,3,FALSE)</f>
        <v>#N/A</v>
      </c>
      <c r="Z450" s="163">
        <f t="shared" ref="Z450:Z513" si="46">IF(ISNUMBER(SEARCH("",Y450)),Y450,N450)</f>
        <v>0</v>
      </c>
    </row>
    <row r="451" spans="2:26">
      <c r="B451" s="171">
        <v>450</v>
      </c>
      <c r="C451" s="169"/>
      <c r="D451" s="169"/>
      <c r="E451" s="169"/>
      <c r="F451" s="176"/>
      <c r="H451" s="169"/>
      <c r="I451" s="176"/>
      <c r="J451" s="176"/>
      <c r="K451" s="179"/>
      <c r="L451" s="179"/>
      <c r="Q451">
        <f t="shared" si="42"/>
        <v>0</v>
      </c>
      <c r="R451">
        <f t="shared" si="43"/>
        <v>450</v>
      </c>
      <c r="S451">
        <f>IFERROR(SEARCH(Crewlist!$P$5,V451)+ROW()/100000,"")</f>
        <v>1.00451</v>
      </c>
      <c r="T451">
        <f t="shared" si="44"/>
        <v>450</v>
      </c>
      <c r="U451">
        <f t="shared" si="45"/>
        <v>0</v>
      </c>
      <c r="V451" t="str">
        <f t="shared" ref="V451:V514" si="47">CONCATENATE(C451," ",D451)</f>
        <v xml:space="preserve"> </v>
      </c>
      <c r="Y451" s="162" t="e">
        <f>VLOOKUP(B451,Crewlist!AS:AU,3,FALSE)</f>
        <v>#N/A</v>
      </c>
      <c r="Z451" s="163">
        <f t="shared" si="46"/>
        <v>0</v>
      </c>
    </row>
    <row r="452" spans="2:26">
      <c r="B452" s="202">
        <v>451</v>
      </c>
      <c r="F452" s="176"/>
      <c r="H452" s="173"/>
      <c r="I452" s="179"/>
      <c r="J452" s="179"/>
      <c r="L452" s="179"/>
      <c r="Q452">
        <f t="shared" si="42"/>
        <v>0</v>
      </c>
      <c r="R452">
        <f t="shared" si="43"/>
        <v>451</v>
      </c>
      <c r="S452">
        <f>IFERROR(SEARCH(Crewlist!$P$5,V452)+ROW()/100000,"")</f>
        <v>1.0045200000000001</v>
      </c>
      <c r="T452">
        <f t="shared" si="44"/>
        <v>451</v>
      </c>
      <c r="U452">
        <f t="shared" si="45"/>
        <v>0</v>
      </c>
      <c r="V452" t="str">
        <f t="shared" si="47"/>
        <v xml:space="preserve"> </v>
      </c>
      <c r="Y452" s="162" t="e">
        <f>VLOOKUP(B452,Crewlist!AS:AU,3,FALSE)</f>
        <v>#N/A</v>
      </c>
      <c r="Z452" s="163">
        <f t="shared" si="46"/>
        <v>0</v>
      </c>
    </row>
    <row r="453" spans="2:26">
      <c r="B453" s="171">
        <v>452</v>
      </c>
      <c r="F453" s="176"/>
      <c r="H453" s="173"/>
      <c r="I453" s="179"/>
      <c r="J453" s="179"/>
      <c r="L453" s="179"/>
      <c r="Q453">
        <f t="shared" si="42"/>
        <v>0</v>
      </c>
      <c r="R453">
        <f t="shared" si="43"/>
        <v>452</v>
      </c>
      <c r="S453">
        <f>IFERROR(SEARCH(Crewlist!$P$5,V453)+ROW()/100000,"")</f>
        <v>1.0045299999999999</v>
      </c>
      <c r="T453">
        <f t="shared" si="44"/>
        <v>452</v>
      </c>
      <c r="U453">
        <f t="shared" si="45"/>
        <v>0</v>
      </c>
      <c r="V453" t="str">
        <f t="shared" si="47"/>
        <v xml:space="preserve"> </v>
      </c>
      <c r="Y453" s="162" t="e">
        <f>VLOOKUP(B453,Crewlist!AS:AU,3,FALSE)</f>
        <v>#N/A</v>
      </c>
      <c r="Z453" s="163">
        <f t="shared" si="46"/>
        <v>0</v>
      </c>
    </row>
    <row r="454" spans="2:26">
      <c r="B454" s="171">
        <v>453</v>
      </c>
      <c r="E454" s="169"/>
      <c r="F454" s="176"/>
      <c r="H454" s="173"/>
      <c r="I454" s="179"/>
      <c r="J454" s="179"/>
      <c r="L454" s="179"/>
      <c r="Q454">
        <f t="shared" si="42"/>
        <v>0</v>
      </c>
      <c r="R454">
        <f t="shared" si="43"/>
        <v>453</v>
      </c>
      <c r="S454">
        <f>IFERROR(SEARCH(Crewlist!$P$5,V454)+ROW()/100000,"")</f>
        <v>1.00454</v>
      </c>
      <c r="T454">
        <f t="shared" si="44"/>
        <v>453</v>
      </c>
      <c r="U454">
        <f t="shared" si="45"/>
        <v>0</v>
      </c>
      <c r="V454" t="str">
        <f t="shared" si="47"/>
        <v xml:space="preserve"> </v>
      </c>
      <c r="Y454" s="162" t="e">
        <f>VLOOKUP(B454,Crewlist!AS:AU,3,FALSE)</f>
        <v>#N/A</v>
      </c>
      <c r="Z454" s="163">
        <f t="shared" si="46"/>
        <v>0</v>
      </c>
    </row>
    <row r="455" spans="2:26">
      <c r="B455" s="202">
        <v>454</v>
      </c>
      <c r="C455" s="169"/>
      <c r="D455" s="169"/>
      <c r="E455" s="169"/>
      <c r="F455" s="176"/>
      <c r="H455" s="178"/>
      <c r="I455" s="179"/>
      <c r="J455" s="179"/>
      <c r="K455" s="179"/>
      <c r="L455" s="179"/>
      <c r="Q455">
        <f t="shared" si="42"/>
        <v>0</v>
      </c>
      <c r="R455">
        <f t="shared" si="43"/>
        <v>454</v>
      </c>
      <c r="S455">
        <f>IFERROR(SEARCH(Crewlist!$P$5,V455)+ROW()/100000,"")</f>
        <v>1.0045500000000001</v>
      </c>
      <c r="T455">
        <f t="shared" si="44"/>
        <v>454</v>
      </c>
      <c r="U455">
        <f t="shared" si="45"/>
        <v>0</v>
      </c>
      <c r="V455" t="str">
        <f t="shared" si="47"/>
        <v xml:space="preserve"> </v>
      </c>
      <c r="Y455" s="162" t="e">
        <f>VLOOKUP(B455,Crewlist!AS:AU,3,FALSE)</f>
        <v>#N/A</v>
      </c>
      <c r="Z455" s="163">
        <f t="shared" si="46"/>
        <v>0</v>
      </c>
    </row>
    <row r="456" spans="2:26">
      <c r="B456" s="171">
        <v>455</v>
      </c>
      <c r="C456" s="169"/>
      <c r="D456" s="169"/>
      <c r="E456" s="169"/>
      <c r="F456" s="176"/>
      <c r="H456" s="169"/>
      <c r="I456" s="176"/>
      <c r="J456" s="176"/>
      <c r="K456" s="179"/>
      <c r="L456" s="179"/>
      <c r="Q456">
        <f t="shared" si="42"/>
        <v>0</v>
      </c>
      <c r="R456">
        <f t="shared" si="43"/>
        <v>455</v>
      </c>
      <c r="S456">
        <f>IFERROR(SEARCH(Crewlist!$P$5,V456)+ROW()/100000,"")</f>
        <v>1.0045599999999999</v>
      </c>
      <c r="T456">
        <f t="shared" si="44"/>
        <v>455</v>
      </c>
      <c r="U456">
        <f t="shared" si="45"/>
        <v>0</v>
      </c>
      <c r="V456" t="str">
        <f t="shared" si="47"/>
        <v xml:space="preserve"> </v>
      </c>
      <c r="Y456" s="162" t="e">
        <f>VLOOKUP(B456,Crewlist!AS:AU,3,FALSE)</f>
        <v>#N/A</v>
      </c>
      <c r="Z456" s="163">
        <f t="shared" si="46"/>
        <v>0</v>
      </c>
    </row>
    <row r="457" spans="2:26">
      <c r="B457" s="171">
        <v>456</v>
      </c>
      <c r="C457" s="169"/>
      <c r="D457" s="169"/>
      <c r="E457" s="169"/>
      <c r="F457" s="215"/>
      <c r="H457" s="178"/>
      <c r="I457" s="179"/>
      <c r="J457" s="179"/>
      <c r="K457" s="179"/>
      <c r="L457" s="215"/>
      <c r="Q457">
        <f t="shared" si="42"/>
        <v>0</v>
      </c>
      <c r="R457">
        <f t="shared" si="43"/>
        <v>456</v>
      </c>
      <c r="S457">
        <f>IFERROR(SEARCH(Crewlist!$P$5,V457)+ROW()/100000,"")</f>
        <v>1.00457</v>
      </c>
      <c r="T457">
        <f t="shared" si="44"/>
        <v>456</v>
      </c>
      <c r="U457">
        <f t="shared" si="45"/>
        <v>0</v>
      </c>
      <c r="V457" t="str">
        <f t="shared" si="47"/>
        <v xml:space="preserve"> </v>
      </c>
      <c r="Y457" s="162" t="e">
        <f>VLOOKUP(B457,Crewlist!AS:AU,3,FALSE)</f>
        <v>#N/A</v>
      </c>
      <c r="Z457" s="163">
        <f t="shared" si="46"/>
        <v>0</v>
      </c>
    </row>
    <row r="458" spans="2:26">
      <c r="B458" s="202">
        <v>457</v>
      </c>
      <c r="C458" s="169"/>
      <c r="D458" s="169"/>
      <c r="E458" s="169"/>
      <c r="F458" s="176"/>
      <c r="H458" s="178"/>
      <c r="I458" s="179"/>
      <c r="J458" s="179"/>
      <c r="K458" s="179"/>
      <c r="L458" s="179"/>
      <c r="Q458">
        <f t="shared" si="42"/>
        <v>0</v>
      </c>
      <c r="R458">
        <f t="shared" si="43"/>
        <v>457</v>
      </c>
      <c r="S458">
        <f>IFERROR(SEARCH(Crewlist!$P$5,V458)+ROW()/100000,"")</f>
        <v>1.00458</v>
      </c>
      <c r="T458">
        <f t="shared" si="44"/>
        <v>457</v>
      </c>
      <c r="U458">
        <f t="shared" si="45"/>
        <v>0</v>
      </c>
      <c r="V458" t="str">
        <f t="shared" si="47"/>
        <v xml:space="preserve"> </v>
      </c>
      <c r="Y458" s="162" t="e">
        <f>VLOOKUP(B458,Crewlist!AS:AU,3,FALSE)</f>
        <v>#N/A</v>
      </c>
      <c r="Z458" s="163">
        <f t="shared" si="46"/>
        <v>0</v>
      </c>
    </row>
    <row r="459" spans="2:26">
      <c r="B459" s="171">
        <v>458</v>
      </c>
      <c r="C459" s="169"/>
      <c r="E459" s="169"/>
      <c r="H459" s="173"/>
      <c r="I459" s="174"/>
      <c r="J459" s="174"/>
      <c r="Q459">
        <f t="shared" si="42"/>
        <v>0</v>
      </c>
      <c r="R459">
        <f t="shared" si="43"/>
        <v>458</v>
      </c>
      <c r="S459">
        <f>IFERROR(SEARCH(Crewlist!$P$5,V459)+ROW()/100000,"")</f>
        <v>1.0045900000000001</v>
      </c>
      <c r="T459">
        <f t="shared" si="44"/>
        <v>458</v>
      </c>
      <c r="U459">
        <f t="shared" si="45"/>
        <v>0</v>
      </c>
      <c r="V459" t="str">
        <f t="shared" si="47"/>
        <v xml:space="preserve"> </v>
      </c>
      <c r="Y459" s="162" t="e">
        <f>VLOOKUP(B459,Crewlist!AS:AU,3,FALSE)</f>
        <v>#N/A</v>
      </c>
      <c r="Z459" s="163">
        <f t="shared" si="46"/>
        <v>0</v>
      </c>
    </row>
    <row r="460" spans="2:26">
      <c r="B460" s="171">
        <v>459</v>
      </c>
      <c r="H460" s="173"/>
      <c r="I460" s="174"/>
      <c r="J460" s="174"/>
      <c r="Q460">
        <f t="shared" si="42"/>
        <v>0</v>
      </c>
      <c r="R460">
        <f t="shared" si="43"/>
        <v>459</v>
      </c>
      <c r="S460">
        <f>IFERROR(SEARCH(Crewlist!$P$5,V460)+ROW()/100000,"")</f>
        <v>1.0045999999999999</v>
      </c>
      <c r="T460">
        <f t="shared" si="44"/>
        <v>459</v>
      </c>
      <c r="U460">
        <f t="shared" si="45"/>
        <v>0</v>
      </c>
      <c r="V460" t="str">
        <f t="shared" si="47"/>
        <v xml:space="preserve"> </v>
      </c>
      <c r="Y460" s="162" t="e">
        <f>VLOOKUP(B460,Crewlist!AS:AU,3,FALSE)</f>
        <v>#N/A</v>
      </c>
      <c r="Z460" s="163">
        <f t="shared" si="46"/>
        <v>0</v>
      </c>
    </row>
    <row r="461" spans="2:26">
      <c r="B461" s="202">
        <v>460</v>
      </c>
      <c r="H461" s="178"/>
      <c r="I461" s="174"/>
      <c r="J461" s="174"/>
      <c r="Q461">
        <f t="shared" si="42"/>
        <v>0</v>
      </c>
      <c r="R461">
        <f t="shared" si="43"/>
        <v>460</v>
      </c>
      <c r="S461">
        <f>IFERROR(SEARCH(Crewlist!$P$5,V461)+ROW()/100000,"")</f>
        <v>1.00461</v>
      </c>
      <c r="T461">
        <f t="shared" si="44"/>
        <v>460</v>
      </c>
      <c r="U461">
        <f t="shared" si="45"/>
        <v>0</v>
      </c>
      <c r="V461" t="str">
        <f t="shared" si="47"/>
        <v xml:space="preserve"> </v>
      </c>
      <c r="Y461" s="162" t="e">
        <f>VLOOKUP(B461,Crewlist!AS:AU,3,FALSE)</f>
        <v>#N/A</v>
      </c>
      <c r="Z461" s="163">
        <f t="shared" si="46"/>
        <v>0</v>
      </c>
    </row>
    <row r="462" spans="2:26">
      <c r="B462" s="171">
        <v>461</v>
      </c>
      <c r="H462" s="173"/>
      <c r="I462" s="174"/>
      <c r="J462" s="174"/>
      <c r="Q462">
        <f t="shared" si="42"/>
        <v>0</v>
      </c>
      <c r="R462">
        <f t="shared" si="43"/>
        <v>461</v>
      </c>
      <c r="S462">
        <f>IFERROR(SEARCH(Crewlist!$P$5,V462)+ROW()/100000,"")</f>
        <v>1.0046200000000001</v>
      </c>
      <c r="T462">
        <f t="shared" si="44"/>
        <v>461</v>
      </c>
      <c r="U462">
        <f t="shared" si="45"/>
        <v>0</v>
      </c>
      <c r="V462" t="str">
        <f t="shared" si="47"/>
        <v xml:space="preserve"> </v>
      </c>
      <c r="Y462" s="162" t="e">
        <f>VLOOKUP(B462,Crewlist!AS:AU,3,FALSE)</f>
        <v>#N/A</v>
      </c>
      <c r="Z462" s="163">
        <f t="shared" si="46"/>
        <v>0</v>
      </c>
    </row>
    <row r="463" spans="2:26">
      <c r="B463" s="171">
        <v>462</v>
      </c>
      <c r="E463" s="169"/>
      <c r="H463" s="173"/>
      <c r="I463" s="174"/>
      <c r="J463" s="174"/>
      <c r="Q463">
        <f t="shared" si="42"/>
        <v>0</v>
      </c>
      <c r="R463">
        <f t="shared" si="43"/>
        <v>462</v>
      </c>
      <c r="S463">
        <f>IFERROR(SEARCH(Crewlist!$P$5,V463)+ROW()/100000,"")</f>
        <v>1.0046299999999999</v>
      </c>
      <c r="T463">
        <f t="shared" si="44"/>
        <v>462</v>
      </c>
      <c r="U463">
        <f t="shared" si="45"/>
        <v>0</v>
      </c>
      <c r="V463" t="str">
        <f t="shared" si="47"/>
        <v xml:space="preserve"> </v>
      </c>
      <c r="Y463" s="162" t="e">
        <f>VLOOKUP(B463,Crewlist!AS:AU,3,FALSE)</f>
        <v>#N/A</v>
      </c>
      <c r="Z463" s="163">
        <f t="shared" si="46"/>
        <v>0</v>
      </c>
    </row>
    <row r="464" spans="2:26">
      <c r="B464" s="202">
        <v>463</v>
      </c>
      <c r="H464" s="173"/>
      <c r="I464" s="174"/>
      <c r="J464" s="174"/>
      <c r="L464" s="179"/>
      <c r="Q464">
        <f t="shared" si="42"/>
        <v>0</v>
      </c>
      <c r="R464">
        <f t="shared" si="43"/>
        <v>463</v>
      </c>
      <c r="S464">
        <f>IFERROR(SEARCH(Crewlist!$P$5,V464)+ROW()/100000,"")</f>
        <v>1.00464</v>
      </c>
      <c r="T464">
        <f t="shared" si="44"/>
        <v>463</v>
      </c>
      <c r="U464">
        <f t="shared" si="45"/>
        <v>0</v>
      </c>
      <c r="V464" t="str">
        <f t="shared" si="47"/>
        <v xml:space="preserve"> </v>
      </c>
      <c r="Y464" s="162" t="e">
        <f>VLOOKUP(B464,Crewlist!AS:AU,3,FALSE)</f>
        <v>#N/A</v>
      </c>
      <c r="Z464" s="163">
        <f t="shared" si="46"/>
        <v>0</v>
      </c>
    </row>
    <row r="465" spans="2:26">
      <c r="B465" s="171">
        <v>464</v>
      </c>
      <c r="F465" s="183"/>
      <c r="H465" s="173"/>
      <c r="I465" s="174"/>
      <c r="J465" s="174"/>
      <c r="L465" s="183"/>
      <c r="Q465">
        <f t="shared" si="42"/>
        <v>0</v>
      </c>
      <c r="R465">
        <f t="shared" si="43"/>
        <v>464</v>
      </c>
      <c r="S465">
        <f>IFERROR(SEARCH(Crewlist!$P$5,V465)+ROW()/100000,"")</f>
        <v>1.00465</v>
      </c>
      <c r="T465">
        <f t="shared" si="44"/>
        <v>464</v>
      </c>
      <c r="U465">
        <f t="shared" si="45"/>
        <v>0</v>
      </c>
      <c r="V465" t="str">
        <f t="shared" si="47"/>
        <v xml:space="preserve"> </v>
      </c>
      <c r="Y465" s="162" t="e">
        <f>VLOOKUP(B465,Crewlist!AS:AU,3,FALSE)</f>
        <v>#N/A</v>
      </c>
      <c r="Z465" s="163">
        <f t="shared" si="46"/>
        <v>0</v>
      </c>
    </row>
    <row r="466" spans="2:26">
      <c r="B466" s="171">
        <v>465</v>
      </c>
      <c r="H466" s="173"/>
      <c r="I466" s="174"/>
      <c r="J466" s="174"/>
      <c r="Q466">
        <f t="shared" si="42"/>
        <v>0</v>
      </c>
      <c r="R466">
        <f t="shared" si="43"/>
        <v>465</v>
      </c>
      <c r="S466">
        <f>IFERROR(SEARCH(Crewlist!$P$5,V466)+ROW()/100000,"")</f>
        <v>1.0046600000000001</v>
      </c>
      <c r="T466">
        <f t="shared" si="44"/>
        <v>465</v>
      </c>
      <c r="U466">
        <f t="shared" si="45"/>
        <v>0</v>
      </c>
      <c r="V466" t="str">
        <f t="shared" si="47"/>
        <v xml:space="preserve"> </v>
      </c>
      <c r="Y466" s="162" t="e">
        <f>VLOOKUP(B466,Crewlist!AS:AU,3,FALSE)</f>
        <v>#N/A</v>
      </c>
      <c r="Z466" s="163">
        <f t="shared" si="46"/>
        <v>0</v>
      </c>
    </row>
    <row r="467" spans="2:26">
      <c r="B467" s="202">
        <v>466</v>
      </c>
      <c r="C467" s="169"/>
      <c r="D467" s="169"/>
      <c r="E467" s="169"/>
      <c r="F467" s="176"/>
      <c r="H467" s="169"/>
      <c r="I467" s="176"/>
      <c r="J467" s="176"/>
      <c r="K467" s="179"/>
      <c r="L467" s="179"/>
      <c r="Q467">
        <f t="shared" si="42"/>
        <v>0</v>
      </c>
      <c r="R467">
        <f t="shared" si="43"/>
        <v>466</v>
      </c>
      <c r="S467">
        <f>IFERROR(SEARCH(Crewlist!$P$5,V467)+ROW()/100000,"")</f>
        <v>1.00467</v>
      </c>
      <c r="T467">
        <f t="shared" si="44"/>
        <v>466</v>
      </c>
      <c r="U467">
        <f t="shared" si="45"/>
        <v>0</v>
      </c>
      <c r="V467" t="str">
        <f t="shared" si="47"/>
        <v xml:space="preserve"> </v>
      </c>
      <c r="Y467" s="162" t="e">
        <f>VLOOKUP(B467,Crewlist!AS:AU,3,FALSE)</f>
        <v>#N/A</v>
      </c>
      <c r="Z467" s="163">
        <f t="shared" si="46"/>
        <v>0</v>
      </c>
    </row>
    <row r="468" spans="2:26">
      <c r="B468" s="171">
        <v>467</v>
      </c>
      <c r="C468" s="169"/>
      <c r="D468" s="169"/>
      <c r="E468" s="169"/>
      <c r="F468" s="176"/>
      <c r="H468" s="178"/>
      <c r="I468" s="179"/>
      <c r="J468" s="179"/>
      <c r="K468" s="179"/>
      <c r="L468" s="179"/>
      <c r="Q468">
        <f t="shared" si="42"/>
        <v>0</v>
      </c>
      <c r="R468">
        <f t="shared" si="43"/>
        <v>467</v>
      </c>
      <c r="S468">
        <f>IFERROR(SEARCH(Crewlist!$P$5,V468)+ROW()/100000,"")</f>
        <v>1.00468</v>
      </c>
      <c r="T468">
        <f t="shared" si="44"/>
        <v>467</v>
      </c>
      <c r="U468">
        <f t="shared" si="45"/>
        <v>0</v>
      </c>
      <c r="V468" t="str">
        <f t="shared" si="47"/>
        <v xml:space="preserve"> </v>
      </c>
      <c r="Y468" s="162" t="e">
        <f>VLOOKUP(B468,Crewlist!AS:AU,3,FALSE)</f>
        <v>#N/A</v>
      </c>
      <c r="Z468" s="163">
        <f t="shared" si="46"/>
        <v>0</v>
      </c>
    </row>
    <row r="469" spans="2:26">
      <c r="B469" s="171">
        <v>468</v>
      </c>
      <c r="C469" s="169"/>
      <c r="D469" s="169"/>
      <c r="E469" s="169"/>
      <c r="F469" s="176"/>
      <c r="H469" s="178"/>
      <c r="I469" s="179"/>
      <c r="J469" s="179"/>
      <c r="K469" s="181"/>
      <c r="L469" s="179"/>
      <c r="M469" s="182"/>
      <c r="Q469">
        <f t="shared" si="42"/>
        <v>0</v>
      </c>
      <c r="R469">
        <f t="shared" si="43"/>
        <v>468</v>
      </c>
      <c r="S469">
        <f>IFERROR(SEARCH(Crewlist!$P$5,V469)+ROW()/100000,"")</f>
        <v>1.0046900000000001</v>
      </c>
      <c r="T469">
        <f t="shared" si="44"/>
        <v>468</v>
      </c>
      <c r="U469">
        <f t="shared" si="45"/>
        <v>0</v>
      </c>
      <c r="V469" t="str">
        <f t="shared" si="47"/>
        <v xml:space="preserve"> </v>
      </c>
      <c r="Y469" s="162" t="e">
        <f>VLOOKUP(B469,Crewlist!AS:AU,3,FALSE)</f>
        <v>#N/A</v>
      </c>
      <c r="Z469" s="163">
        <f t="shared" si="46"/>
        <v>0</v>
      </c>
    </row>
    <row r="470" spans="2:26">
      <c r="B470" s="202">
        <v>469</v>
      </c>
      <c r="C470" s="169"/>
      <c r="D470" s="169"/>
      <c r="E470" s="169"/>
      <c r="F470" s="176"/>
      <c r="H470" s="178"/>
      <c r="I470" s="179"/>
      <c r="J470" s="179"/>
      <c r="K470" s="179"/>
      <c r="L470" s="179"/>
      <c r="Q470">
        <f t="shared" si="42"/>
        <v>0</v>
      </c>
      <c r="R470">
        <f t="shared" si="43"/>
        <v>469</v>
      </c>
      <c r="S470">
        <f>IFERROR(SEARCH(Crewlist!$P$5,V470)+ROW()/100000,"")</f>
        <v>1.0046999999999999</v>
      </c>
      <c r="T470">
        <f t="shared" si="44"/>
        <v>469</v>
      </c>
      <c r="U470">
        <f t="shared" si="45"/>
        <v>0</v>
      </c>
      <c r="V470" t="str">
        <f t="shared" si="47"/>
        <v xml:space="preserve"> </v>
      </c>
      <c r="Y470" s="162" t="e">
        <f>VLOOKUP(B470,Crewlist!AS:AU,3,FALSE)</f>
        <v>#N/A</v>
      </c>
      <c r="Z470" s="163">
        <f t="shared" si="46"/>
        <v>0</v>
      </c>
    </row>
    <row r="471" spans="2:26">
      <c r="B471" s="171">
        <v>470</v>
      </c>
      <c r="C471" s="169"/>
      <c r="D471" s="169"/>
      <c r="E471" s="169"/>
      <c r="F471" s="176"/>
      <c r="H471" s="178"/>
      <c r="I471" s="179"/>
      <c r="J471" s="179"/>
      <c r="K471" s="179"/>
      <c r="L471" s="179"/>
      <c r="Q471">
        <f t="shared" si="42"/>
        <v>0</v>
      </c>
      <c r="R471">
        <f t="shared" si="43"/>
        <v>470</v>
      </c>
      <c r="S471">
        <f>IFERROR(SEARCH(Crewlist!$P$5,V471)+ROW()/100000,"")</f>
        <v>1.00471</v>
      </c>
      <c r="T471">
        <f t="shared" si="44"/>
        <v>470</v>
      </c>
      <c r="U471">
        <f t="shared" si="45"/>
        <v>0</v>
      </c>
      <c r="V471" t="str">
        <f t="shared" si="47"/>
        <v xml:space="preserve"> </v>
      </c>
      <c r="Y471" s="162" t="e">
        <f>VLOOKUP(B471,Crewlist!AS:AU,3,FALSE)</f>
        <v>#N/A</v>
      </c>
      <c r="Z471" s="163">
        <f t="shared" si="46"/>
        <v>0</v>
      </c>
    </row>
    <row r="472" spans="2:26">
      <c r="B472" s="171">
        <v>471</v>
      </c>
      <c r="E472" s="169"/>
      <c r="F472" s="176"/>
      <c r="H472" s="173"/>
      <c r="I472" s="179"/>
      <c r="J472" s="179"/>
      <c r="L472" s="179"/>
      <c r="Q472">
        <f t="shared" si="42"/>
        <v>0</v>
      </c>
      <c r="R472">
        <f t="shared" si="43"/>
        <v>471</v>
      </c>
      <c r="S472">
        <f>IFERROR(SEARCH(Crewlist!$P$5,V472)+ROW()/100000,"")</f>
        <v>1.0047200000000001</v>
      </c>
      <c r="T472">
        <f t="shared" si="44"/>
        <v>471</v>
      </c>
      <c r="U472">
        <f t="shared" si="45"/>
        <v>0</v>
      </c>
      <c r="V472" t="str">
        <f t="shared" si="47"/>
        <v xml:space="preserve"> </v>
      </c>
      <c r="Y472" s="162" t="e">
        <f>VLOOKUP(B472,Crewlist!AS:AU,3,FALSE)</f>
        <v>#N/A</v>
      </c>
      <c r="Z472" s="163">
        <f t="shared" si="46"/>
        <v>0</v>
      </c>
    </row>
    <row r="473" spans="2:26">
      <c r="B473" s="202">
        <v>472</v>
      </c>
      <c r="E473" s="169"/>
      <c r="F473" s="176"/>
      <c r="H473" s="178"/>
      <c r="I473" s="179"/>
      <c r="J473" s="179"/>
      <c r="L473" s="179"/>
      <c r="Q473">
        <f t="shared" si="42"/>
        <v>0</v>
      </c>
      <c r="R473">
        <f t="shared" si="43"/>
        <v>472</v>
      </c>
      <c r="S473">
        <f>IFERROR(SEARCH(Crewlist!$P$5,V473)+ROW()/100000,"")</f>
        <v>1.0047299999999999</v>
      </c>
      <c r="T473">
        <f t="shared" si="44"/>
        <v>472</v>
      </c>
      <c r="U473">
        <f t="shared" si="45"/>
        <v>0</v>
      </c>
      <c r="V473" t="str">
        <f t="shared" si="47"/>
        <v xml:space="preserve"> </v>
      </c>
      <c r="Y473" s="162" t="e">
        <f>VLOOKUP(B473,Crewlist!AS:AU,3,FALSE)</f>
        <v>#N/A</v>
      </c>
      <c r="Z473" s="163">
        <f t="shared" si="46"/>
        <v>0</v>
      </c>
    </row>
    <row r="474" spans="2:26">
      <c r="B474" s="171">
        <v>473</v>
      </c>
      <c r="C474" s="169"/>
      <c r="D474" s="169"/>
      <c r="E474" s="169"/>
      <c r="F474" s="176"/>
      <c r="H474" s="178"/>
      <c r="I474" s="179"/>
      <c r="J474" s="179"/>
      <c r="K474" s="179"/>
      <c r="L474" s="179"/>
      <c r="Q474">
        <f t="shared" si="42"/>
        <v>0</v>
      </c>
      <c r="R474">
        <f t="shared" si="43"/>
        <v>473</v>
      </c>
      <c r="S474">
        <f>IFERROR(SEARCH(Crewlist!$P$5,V474)+ROW()/100000,"")</f>
        <v>1.00474</v>
      </c>
      <c r="T474">
        <f t="shared" si="44"/>
        <v>473</v>
      </c>
      <c r="U474">
        <f t="shared" si="45"/>
        <v>0</v>
      </c>
      <c r="V474" t="str">
        <f t="shared" si="47"/>
        <v xml:space="preserve"> </v>
      </c>
      <c r="Y474" s="162" t="e">
        <f>VLOOKUP(B474,Crewlist!AS:AU,3,FALSE)</f>
        <v>#N/A</v>
      </c>
      <c r="Z474" s="163">
        <f t="shared" si="46"/>
        <v>0</v>
      </c>
    </row>
    <row r="475" spans="2:26">
      <c r="B475" s="171">
        <v>474</v>
      </c>
      <c r="C475" s="169"/>
      <c r="D475" s="169"/>
      <c r="E475" s="169"/>
      <c r="F475" s="176"/>
      <c r="H475" s="173"/>
      <c r="I475" s="179"/>
      <c r="J475" s="179"/>
      <c r="L475" s="179"/>
      <c r="Q475">
        <f t="shared" si="42"/>
        <v>0</v>
      </c>
      <c r="R475">
        <f t="shared" si="43"/>
        <v>474</v>
      </c>
      <c r="S475">
        <f>IFERROR(SEARCH(Crewlist!$P$5,V475)+ROW()/100000,"")</f>
        <v>1.00475</v>
      </c>
      <c r="T475">
        <f t="shared" si="44"/>
        <v>474</v>
      </c>
      <c r="U475">
        <f t="shared" si="45"/>
        <v>0</v>
      </c>
      <c r="V475" t="str">
        <f t="shared" si="47"/>
        <v xml:space="preserve"> </v>
      </c>
      <c r="Y475" s="162" t="e">
        <f>VLOOKUP(B475,Crewlist!AS:AU,3,FALSE)</f>
        <v>#N/A</v>
      </c>
      <c r="Z475" s="163">
        <f t="shared" si="46"/>
        <v>0</v>
      </c>
    </row>
    <row r="476" spans="2:26">
      <c r="B476" s="202">
        <v>475</v>
      </c>
      <c r="C476" s="169"/>
      <c r="D476" s="169"/>
      <c r="E476" s="169"/>
      <c r="F476" s="176"/>
      <c r="H476" s="178"/>
      <c r="I476" s="179"/>
      <c r="J476" s="179"/>
      <c r="L476" s="179"/>
      <c r="Q476">
        <f t="shared" si="42"/>
        <v>0</v>
      </c>
      <c r="R476">
        <f t="shared" si="43"/>
        <v>475</v>
      </c>
      <c r="S476">
        <f>IFERROR(SEARCH(Crewlist!$P$5,V476)+ROW()/100000,"")</f>
        <v>1.0047600000000001</v>
      </c>
      <c r="T476">
        <f t="shared" si="44"/>
        <v>475</v>
      </c>
      <c r="U476">
        <f t="shared" si="45"/>
        <v>0</v>
      </c>
      <c r="V476" t="str">
        <f t="shared" si="47"/>
        <v xml:space="preserve"> </v>
      </c>
      <c r="Y476" s="162" t="e">
        <f>VLOOKUP(B476,Crewlist!AS:AU,3,FALSE)</f>
        <v>#N/A</v>
      </c>
      <c r="Z476" s="163">
        <f t="shared" si="46"/>
        <v>0</v>
      </c>
    </row>
    <row r="477" spans="2:26">
      <c r="B477" s="171">
        <v>476</v>
      </c>
      <c r="C477" s="169"/>
      <c r="D477" s="169"/>
      <c r="E477" s="169"/>
      <c r="F477" s="176"/>
      <c r="H477" s="173"/>
      <c r="I477" s="179"/>
      <c r="J477" s="179"/>
      <c r="L477" s="179"/>
      <c r="Q477">
        <f t="shared" si="42"/>
        <v>0</v>
      </c>
      <c r="R477">
        <f t="shared" si="43"/>
        <v>476</v>
      </c>
      <c r="S477">
        <f>IFERROR(SEARCH(Crewlist!$P$5,V477)+ROW()/100000,"")</f>
        <v>1.0047699999999999</v>
      </c>
      <c r="T477">
        <f t="shared" si="44"/>
        <v>476</v>
      </c>
      <c r="U477">
        <f t="shared" si="45"/>
        <v>0</v>
      </c>
      <c r="V477" t="str">
        <f t="shared" si="47"/>
        <v xml:space="preserve"> </v>
      </c>
      <c r="Y477" s="162" t="e">
        <f>VLOOKUP(B477,Crewlist!AS:AU,3,FALSE)</f>
        <v>#N/A</v>
      </c>
      <c r="Z477" s="163">
        <f t="shared" si="46"/>
        <v>0</v>
      </c>
    </row>
    <row r="478" spans="2:26">
      <c r="B478" s="171">
        <v>477</v>
      </c>
      <c r="C478" s="169"/>
      <c r="D478" s="169"/>
      <c r="E478" s="169"/>
      <c r="F478" s="215"/>
      <c r="H478" s="178"/>
      <c r="I478" s="179"/>
      <c r="J478" s="179"/>
      <c r="K478" s="179"/>
      <c r="L478" s="215"/>
      <c r="Q478">
        <f t="shared" si="42"/>
        <v>0</v>
      </c>
      <c r="R478">
        <f t="shared" si="43"/>
        <v>477</v>
      </c>
      <c r="S478">
        <f>IFERROR(SEARCH(Crewlist!$P$5,V478)+ROW()/100000,"")</f>
        <v>1.00478</v>
      </c>
      <c r="T478">
        <f t="shared" si="44"/>
        <v>477</v>
      </c>
      <c r="U478">
        <f t="shared" si="45"/>
        <v>0</v>
      </c>
      <c r="V478" t="str">
        <f t="shared" si="47"/>
        <v xml:space="preserve"> </v>
      </c>
      <c r="Y478" s="162" t="e">
        <f>VLOOKUP(B478,Crewlist!AS:AU,3,FALSE)</f>
        <v>#N/A</v>
      </c>
      <c r="Z478" s="163">
        <f t="shared" si="46"/>
        <v>0</v>
      </c>
    </row>
    <row r="479" spans="2:26">
      <c r="B479" s="202">
        <v>478</v>
      </c>
      <c r="C479" s="169"/>
      <c r="D479" s="169"/>
      <c r="E479" s="169"/>
      <c r="F479" s="176"/>
      <c r="G479" s="177"/>
      <c r="H479" s="178"/>
      <c r="I479" s="179"/>
      <c r="J479" s="179"/>
      <c r="K479" s="179"/>
      <c r="L479" s="179"/>
      <c r="Q479">
        <f t="shared" si="42"/>
        <v>0</v>
      </c>
      <c r="R479">
        <f t="shared" si="43"/>
        <v>478</v>
      </c>
      <c r="S479">
        <f>IFERROR(SEARCH(Crewlist!$P$5,V479)+ROW()/100000,"")</f>
        <v>1.0047900000000001</v>
      </c>
      <c r="T479">
        <f t="shared" si="44"/>
        <v>478</v>
      </c>
      <c r="U479">
        <f t="shared" si="45"/>
        <v>0</v>
      </c>
      <c r="V479" t="str">
        <f t="shared" si="47"/>
        <v xml:space="preserve"> </v>
      </c>
      <c r="Y479" s="162" t="e">
        <f>VLOOKUP(B479,Crewlist!AS:AU,3,FALSE)</f>
        <v>#N/A</v>
      </c>
      <c r="Z479" s="163">
        <f t="shared" si="46"/>
        <v>0</v>
      </c>
    </row>
    <row r="480" spans="2:26">
      <c r="B480" s="171">
        <v>479</v>
      </c>
      <c r="E480" s="169"/>
      <c r="F480" s="176"/>
      <c r="I480" s="176"/>
      <c r="J480" s="176"/>
      <c r="L480" s="179"/>
      <c r="Q480">
        <f t="shared" si="42"/>
        <v>0</v>
      </c>
      <c r="R480">
        <f t="shared" si="43"/>
        <v>479</v>
      </c>
      <c r="S480">
        <f>IFERROR(SEARCH(Crewlist!$P$5,V480)+ROW()/100000,"")</f>
        <v>1.0047999999999999</v>
      </c>
      <c r="T480">
        <f t="shared" si="44"/>
        <v>479</v>
      </c>
      <c r="U480">
        <f t="shared" si="45"/>
        <v>0</v>
      </c>
      <c r="V480" t="str">
        <f t="shared" si="47"/>
        <v xml:space="preserve"> </v>
      </c>
      <c r="Y480" s="162" t="e">
        <f>VLOOKUP(B480,Crewlist!AS:AU,3,FALSE)</f>
        <v>#N/A</v>
      </c>
      <c r="Z480" s="163">
        <f t="shared" si="46"/>
        <v>0</v>
      </c>
    </row>
    <row r="481" spans="2:26">
      <c r="B481" s="171">
        <v>480</v>
      </c>
      <c r="C481" s="169"/>
      <c r="D481" s="169"/>
      <c r="E481" s="169"/>
      <c r="F481" s="176"/>
      <c r="H481" s="178"/>
      <c r="I481" s="179"/>
      <c r="J481" s="179"/>
      <c r="K481" s="179"/>
      <c r="L481" s="179"/>
      <c r="M481" s="180"/>
      <c r="Q481">
        <f t="shared" si="42"/>
        <v>0</v>
      </c>
      <c r="R481">
        <f t="shared" si="43"/>
        <v>480</v>
      </c>
      <c r="S481">
        <f>IFERROR(SEARCH(Crewlist!$P$5,V481)+ROW()/100000,"")</f>
        <v>1.00481</v>
      </c>
      <c r="T481">
        <f t="shared" si="44"/>
        <v>480</v>
      </c>
      <c r="U481">
        <f t="shared" si="45"/>
        <v>0</v>
      </c>
      <c r="V481" t="str">
        <f t="shared" si="47"/>
        <v xml:space="preserve"> </v>
      </c>
      <c r="Y481" s="162" t="e">
        <f>VLOOKUP(B481,Crewlist!AS:AU,3,FALSE)</f>
        <v>#N/A</v>
      </c>
      <c r="Z481" s="163">
        <f t="shared" si="46"/>
        <v>0</v>
      </c>
    </row>
    <row r="482" spans="2:26">
      <c r="B482" s="202">
        <v>481</v>
      </c>
      <c r="E482" s="169"/>
      <c r="F482" s="176"/>
      <c r="H482" s="173"/>
      <c r="I482" s="179"/>
      <c r="J482" s="179"/>
      <c r="L482" s="179"/>
      <c r="Q482">
        <f t="shared" si="42"/>
        <v>0</v>
      </c>
      <c r="R482">
        <f t="shared" si="43"/>
        <v>481</v>
      </c>
      <c r="S482">
        <f>IFERROR(SEARCH(Crewlist!$P$5,V482)+ROW()/100000,"")</f>
        <v>1.00482</v>
      </c>
      <c r="T482">
        <f t="shared" si="44"/>
        <v>481</v>
      </c>
      <c r="U482">
        <f t="shared" si="45"/>
        <v>0</v>
      </c>
      <c r="V482" t="str">
        <f t="shared" si="47"/>
        <v xml:space="preserve"> </v>
      </c>
      <c r="Y482" s="162" t="e">
        <f>VLOOKUP(B482,Crewlist!AS:AU,3,FALSE)</f>
        <v>#N/A</v>
      </c>
      <c r="Z482" s="163">
        <f t="shared" si="46"/>
        <v>0</v>
      </c>
    </row>
    <row r="483" spans="2:26">
      <c r="B483" s="171">
        <v>482</v>
      </c>
      <c r="E483" s="169"/>
      <c r="F483" s="215"/>
      <c r="H483" s="173"/>
      <c r="I483" s="179"/>
      <c r="J483" s="179"/>
      <c r="L483" s="215"/>
      <c r="Q483">
        <f t="shared" si="42"/>
        <v>0</v>
      </c>
      <c r="R483">
        <f t="shared" si="43"/>
        <v>482</v>
      </c>
      <c r="S483">
        <f>IFERROR(SEARCH(Crewlist!$P$5,V483)+ROW()/100000,"")</f>
        <v>1.0048299999999999</v>
      </c>
      <c r="T483">
        <f t="shared" si="44"/>
        <v>482</v>
      </c>
      <c r="U483">
        <f t="shared" si="45"/>
        <v>0</v>
      </c>
      <c r="V483" t="str">
        <f t="shared" si="47"/>
        <v xml:space="preserve"> </v>
      </c>
      <c r="Y483" s="162" t="e">
        <f>VLOOKUP(B483,Crewlist!AS:AU,3,FALSE)</f>
        <v>#N/A</v>
      </c>
      <c r="Z483" s="163">
        <f t="shared" si="46"/>
        <v>0</v>
      </c>
    </row>
    <row r="484" spans="2:26">
      <c r="B484" s="171">
        <v>483</v>
      </c>
      <c r="E484" s="169"/>
      <c r="F484" s="215"/>
      <c r="H484" s="173"/>
      <c r="I484" s="179"/>
      <c r="J484" s="179"/>
      <c r="L484" s="215"/>
      <c r="Q484">
        <f t="shared" si="42"/>
        <v>0</v>
      </c>
      <c r="R484">
        <f t="shared" si="43"/>
        <v>483</v>
      </c>
      <c r="S484">
        <f>IFERROR(SEARCH(Crewlist!$P$5,V484)+ROW()/100000,"")</f>
        <v>1.00484</v>
      </c>
      <c r="T484">
        <f t="shared" si="44"/>
        <v>483</v>
      </c>
      <c r="U484">
        <f t="shared" si="45"/>
        <v>0</v>
      </c>
      <c r="V484" t="str">
        <f t="shared" si="47"/>
        <v xml:space="preserve"> </v>
      </c>
      <c r="Y484" s="162" t="e">
        <f>VLOOKUP(B484,Crewlist!AS:AU,3,FALSE)</f>
        <v>#N/A</v>
      </c>
      <c r="Z484" s="163">
        <f t="shared" si="46"/>
        <v>0</v>
      </c>
    </row>
    <row r="485" spans="2:26">
      <c r="B485" s="202">
        <v>484</v>
      </c>
      <c r="E485" s="169"/>
      <c r="F485" s="176"/>
      <c r="H485" s="173"/>
      <c r="I485" s="179"/>
      <c r="J485" s="179"/>
      <c r="L485" s="179"/>
      <c r="Q485">
        <f t="shared" si="42"/>
        <v>0</v>
      </c>
      <c r="R485">
        <f t="shared" si="43"/>
        <v>484</v>
      </c>
      <c r="S485">
        <f>IFERROR(SEARCH(Crewlist!$P$5,V485)+ROW()/100000,"")</f>
        <v>1.00485</v>
      </c>
      <c r="T485">
        <f t="shared" si="44"/>
        <v>484</v>
      </c>
      <c r="U485">
        <f t="shared" si="45"/>
        <v>0</v>
      </c>
      <c r="V485" t="str">
        <f t="shared" si="47"/>
        <v xml:space="preserve"> </v>
      </c>
      <c r="Y485" s="162" t="e">
        <f>VLOOKUP(B485,Crewlist!AS:AU,3,FALSE)</f>
        <v>#N/A</v>
      </c>
      <c r="Z485" s="163">
        <f t="shared" si="46"/>
        <v>0</v>
      </c>
    </row>
    <row r="486" spans="2:26">
      <c r="B486" s="171">
        <v>485</v>
      </c>
      <c r="C486" s="169"/>
      <c r="D486" s="169"/>
      <c r="F486" s="176"/>
      <c r="G486" s="177"/>
      <c r="H486" s="178"/>
      <c r="I486" s="179"/>
      <c r="J486" s="179"/>
      <c r="L486" s="179"/>
      <c r="Q486">
        <f t="shared" si="42"/>
        <v>0</v>
      </c>
      <c r="R486">
        <f t="shared" si="43"/>
        <v>485</v>
      </c>
      <c r="S486">
        <f>IFERROR(SEARCH(Crewlist!$P$5,V486)+ROW()/100000,"")</f>
        <v>1.0048600000000001</v>
      </c>
      <c r="T486">
        <f t="shared" si="44"/>
        <v>485</v>
      </c>
      <c r="U486">
        <f t="shared" si="45"/>
        <v>0</v>
      </c>
      <c r="V486" t="str">
        <f t="shared" si="47"/>
        <v xml:space="preserve"> </v>
      </c>
      <c r="Y486" s="162" t="e">
        <f>VLOOKUP(B486,Crewlist!AS:AU,3,FALSE)</f>
        <v>#N/A</v>
      </c>
      <c r="Z486" s="163">
        <f t="shared" si="46"/>
        <v>0</v>
      </c>
    </row>
    <row r="487" spans="2:26">
      <c r="B487" s="171">
        <v>486</v>
      </c>
      <c r="C487" s="169"/>
      <c r="D487" s="169"/>
      <c r="E487" s="169"/>
      <c r="F487" s="176"/>
      <c r="H487" s="173"/>
      <c r="I487" s="179"/>
      <c r="J487" s="179"/>
      <c r="L487" s="179"/>
      <c r="Q487">
        <f t="shared" si="42"/>
        <v>0</v>
      </c>
      <c r="R487">
        <f t="shared" si="43"/>
        <v>486</v>
      </c>
      <c r="S487">
        <f>IFERROR(SEARCH(Crewlist!$P$5,V487)+ROW()/100000,"")</f>
        <v>1.0048699999999999</v>
      </c>
      <c r="T487">
        <f t="shared" si="44"/>
        <v>486</v>
      </c>
      <c r="U487">
        <f t="shared" si="45"/>
        <v>0</v>
      </c>
      <c r="V487" t="str">
        <f t="shared" si="47"/>
        <v xml:space="preserve"> </v>
      </c>
      <c r="Y487" s="162" t="e">
        <f>VLOOKUP(B487,Crewlist!AS:AU,3,FALSE)</f>
        <v>#N/A</v>
      </c>
      <c r="Z487" s="163">
        <f t="shared" si="46"/>
        <v>0</v>
      </c>
    </row>
    <row r="488" spans="2:26">
      <c r="B488" s="202">
        <v>487</v>
      </c>
      <c r="C488" s="169"/>
      <c r="D488" s="169"/>
      <c r="E488" s="169"/>
      <c r="F488" s="176"/>
      <c r="G488" s="177"/>
      <c r="H488" s="178"/>
      <c r="I488" s="179"/>
      <c r="J488" s="179"/>
      <c r="L488" s="179"/>
      <c r="Q488">
        <f t="shared" si="42"/>
        <v>0</v>
      </c>
      <c r="R488">
        <f t="shared" si="43"/>
        <v>487</v>
      </c>
      <c r="S488">
        <f>IFERROR(SEARCH(Crewlist!$P$5,V488)+ROW()/100000,"")</f>
        <v>1.00488</v>
      </c>
      <c r="T488">
        <f t="shared" si="44"/>
        <v>487</v>
      </c>
      <c r="U488">
        <f t="shared" si="45"/>
        <v>0</v>
      </c>
      <c r="V488" t="str">
        <f t="shared" si="47"/>
        <v xml:space="preserve"> </v>
      </c>
      <c r="Y488" s="162" t="e">
        <f>VLOOKUP(B488,Crewlist!AS:AU,3,FALSE)</f>
        <v>#N/A</v>
      </c>
      <c r="Z488" s="163">
        <f t="shared" si="46"/>
        <v>0</v>
      </c>
    </row>
    <row r="489" spans="2:26">
      <c r="B489" s="171">
        <v>488</v>
      </c>
      <c r="C489" s="169"/>
      <c r="D489" s="169"/>
      <c r="E489" s="169"/>
      <c r="F489" s="176"/>
      <c r="H489" s="173"/>
      <c r="I489" s="179"/>
      <c r="J489" s="179"/>
      <c r="L489" s="179"/>
      <c r="Q489">
        <f t="shared" si="42"/>
        <v>0</v>
      </c>
      <c r="R489">
        <f t="shared" si="43"/>
        <v>488</v>
      </c>
      <c r="S489">
        <f>IFERROR(SEARCH(Crewlist!$P$5,V489)+ROW()/100000,"")</f>
        <v>1.0048900000000001</v>
      </c>
      <c r="T489">
        <f t="shared" si="44"/>
        <v>488</v>
      </c>
      <c r="U489">
        <f t="shared" si="45"/>
        <v>0</v>
      </c>
      <c r="V489" t="str">
        <f t="shared" si="47"/>
        <v xml:space="preserve"> </v>
      </c>
      <c r="Y489" s="162" t="e">
        <f>VLOOKUP(B489,Crewlist!AS:AU,3,FALSE)</f>
        <v>#N/A</v>
      </c>
      <c r="Z489" s="163">
        <f t="shared" si="46"/>
        <v>0</v>
      </c>
    </row>
    <row r="490" spans="2:26">
      <c r="B490" s="171">
        <v>489</v>
      </c>
      <c r="C490" s="169"/>
      <c r="D490" s="169"/>
      <c r="E490" s="169"/>
      <c r="F490" s="176"/>
      <c r="H490" s="178"/>
      <c r="I490" s="179"/>
      <c r="J490" s="179"/>
      <c r="L490" s="179"/>
      <c r="Q490">
        <f t="shared" si="42"/>
        <v>0</v>
      </c>
      <c r="R490">
        <f t="shared" si="43"/>
        <v>489</v>
      </c>
      <c r="S490">
        <f>IFERROR(SEARCH(Crewlist!$P$5,V490)+ROW()/100000,"")</f>
        <v>1.0048999999999999</v>
      </c>
      <c r="T490">
        <f t="shared" si="44"/>
        <v>489</v>
      </c>
      <c r="U490">
        <f t="shared" si="45"/>
        <v>0</v>
      </c>
      <c r="V490" t="str">
        <f t="shared" si="47"/>
        <v xml:space="preserve"> </v>
      </c>
      <c r="Y490" s="162" t="e">
        <f>VLOOKUP(B490,Crewlist!AS:AU,3,FALSE)</f>
        <v>#N/A</v>
      </c>
      <c r="Z490" s="163">
        <f t="shared" si="46"/>
        <v>0</v>
      </c>
    </row>
    <row r="491" spans="2:26">
      <c r="B491" s="202">
        <v>490</v>
      </c>
      <c r="C491" s="169"/>
      <c r="D491" s="169"/>
      <c r="E491" s="169"/>
      <c r="F491" s="176"/>
      <c r="H491" s="173"/>
      <c r="I491" s="179"/>
      <c r="J491" s="179"/>
      <c r="L491" s="179"/>
      <c r="Q491">
        <f t="shared" si="42"/>
        <v>0</v>
      </c>
      <c r="R491">
        <f t="shared" si="43"/>
        <v>490</v>
      </c>
      <c r="S491">
        <f>IFERROR(SEARCH(Crewlist!$P$5,V491)+ROW()/100000,"")</f>
        <v>1.00491</v>
      </c>
      <c r="T491">
        <f t="shared" si="44"/>
        <v>490</v>
      </c>
      <c r="U491">
        <f t="shared" si="45"/>
        <v>0</v>
      </c>
      <c r="V491" t="str">
        <f t="shared" si="47"/>
        <v xml:space="preserve"> </v>
      </c>
      <c r="Y491" s="162" t="e">
        <f>VLOOKUP(B491,Crewlist!AS:AU,3,FALSE)</f>
        <v>#N/A</v>
      </c>
      <c r="Z491" s="163">
        <f t="shared" si="46"/>
        <v>0</v>
      </c>
    </row>
    <row r="492" spans="2:26">
      <c r="B492" s="171">
        <v>491</v>
      </c>
      <c r="C492" s="169"/>
      <c r="D492" s="169"/>
      <c r="E492" s="169"/>
      <c r="F492" s="176"/>
      <c r="H492" s="173"/>
      <c r="I492" s="179"/>
      <c r="J492" s="179"/>
      <c r="L492" s="179"/>
      <c r="Q492">
        <f t="shared" si="42"/>
        <v>0</v>
      </c>
      <c r="R492">
        <f t="shared" si="43"/>
        <v>491</v>
      </c>
      <c r="S492">
        <f>IFERROR(SEARCH(Crewlist!$P$5,V492)+ROW()/100000,"")</f>
        <v>1.00492</v>
      </c>
      <c r="T492">
        <f t="shared" si="44"/>
        <v>491</v>
      </c>
      <c r="U492">
        <f t="shared" si="45"/>
        <v>0</v>
      </c>
      <c r="V492" t="str">
        <f t="shared" si="47"/>
        <v xml:space="preserve"> </v>
      </c>
      <c r="Y492" s="162" t="e">
        <f>VLOOKUP(B492,Crewlist!AS:AU,3,FALSE)</f>
        <v>#N/A</v>
      </c>
      <c r="Z492" s="163">
        <f t="shared" si="46"/>
        <v>0</v>
      </c>
    </row>
    <row r="493" spans="2:26">
      <c r="B493" s="171">
        <v>492</v>
      </c>
      <c r="C493" s="169"/>
      <c r="D493" s="169"/>
      <c r="E493" s="169"/>
      <c r="F493" s="176"/>
      <c r="H493" s="173"/>
      <c r="I493" s="179"/>
      <c r="J493" s="179"/>
      <c r="L493" s="179"/>
      <c r="Q493">
        <f t="shared" si="42"/>
        <v>0</v>
      </c>
      <c r="R493">
        <f t="shared" si="43"/>
        <v>492</v>
      </c>
      <c r="S493">
        <f>IFERROR(SEARCH(Crewlist!$P$5,V493)+ROW()/100000,"")</f>
        <v>1.0049300000000001</v>
      </c>
      <c r="T493">
        <f t="shared" si="44"/>
        <v>492</v>
      </c>
      <c r="U493">
        <f t="shared" si="45"/>
        <v>0</v>
      </c>
      <c r="V493" t="str">
        <f t="shared" si="47"/>
        <v xml:space="preserve"> </v>
      </c>
      <c r="Y493" s="162" t="e">
        <f>VLOOKUP(B493,Crewlist!AS:AU,3,FALSE)</f>
        <v>#N/A</v>
      </c>
      <c r="Z493" s="163">
        <f t="shared" si="46"/>
        <v>0</v>
      </c>
    </row>
    <row r="494" spans="2:26">
      <c r="B494" s="202">
        <v>493</v>
      </c>
      <c r="C494" s="169"/>
      <c r="D494" s="169"/>
      <c r="E494" s="169"/>
      <c r="F494" s="176"/>
      <c r="H494" s="173"/>
      <c r="I494" s="179"/>
      <c r="J494" s="179"/>
      <c r="L494" s="179"/>
      <c r="Q494">
        <f t="shared" si="42"/>
        <v>0</v>
      </c>
      <c r="R494">
        <f t="shared" si="43"/>
        <v>493</v>
      </c>
      <c r="S494">
        <f>IFERROR(SEARCH(Crewlist!$P$5,V494)+ROW()/100000,"")</f>
        <v>1.0049399999999999</v>
      </c>
      <c r="T494">
        <f t="shared" si="44"/>
        <v>493</v>
      </c>
      <c r="U494">
        <f t="shared" si="45"/>
        <v>0</v>
      </c>
      <c r="V494" t="str">
        <f t="shared" si="47"/>
        <v xml:space="preserve"> </v>
      </c>
      <c r="Y494" s="162" t="e">
        <f>VLOOKUP(B494,Crewlist!AS:AU,3,FALSE)</f>
        <v>#N/A</v>
      </c>
      <c r="Z494" s="163">
        <f t="shared" si="46"/>
        <v>0</v>
      </c>
    </row>
    <row r="495" spans="2:26">
      <c r="B495" s="171">
        <v>494</v>
      </c>
      <c r="C495" s="169"/>
      <c r="D495" s="169"/>
      <c r="E495" s="169"/>
      <c r="F495" s="176"/>
      <c r="G495" s="177"/>
      <c r="H495" s="178"/>
      <c r="I495" s="179"/>
      <c r="J495" s="179"/>
      <c r="K495" s="179"/>
      <c r="L495" s="179"/>
      <c r="M495" s="180"/>
      <c r="Q495">
        <f t="shared" si="42"/>
        <v>0</v>
      </c>
      <c r="R495">
        <f t="shared" si="43"/>
        <v>494</v>
      </c>
      <c r="S495">
        <f>IFERROR(SEARCH(Crewlist!$P$5,V495)+ROW()/100000,"")</f>
        <v>1.00495</v>
      </c>
      <c r="T495">
        <f t="shared" si="44"/>
        <v>494</v>
      </c>
      <c r="U495">
        <f t="shared" si="45"/>
        <v>0</v>
      </c>
      <c r="V495" t="str">
        <f t="shared" si="47"/>
        <v xml:space="preserve"> </v>
      </c>
      <c r="Y495" s="162" t="e">
        <f>VLOOKUP(B495,Crewlist!AS:AU,3,FALSE)</f>
        <v>#N/A</v>
      </c>
      <c r="Z495" s="163">
        <f t="shared" si="46"/>
        <v>0</v>
      </c>
    </row>
    <row r="496" spans="2:26">
      <c r="B496" s="171">
        <v>495</v>
      </c>
      <c r="E496" s="169"/>
      <c r="F496" s="176"/>
      <c r="H496" s="173"/>
      <c r="I496" s="179"/>
      <c r="J496" s="179"/>
      <c r="L496" s="179"/>
      <c r="Q496">
        <f t="shared" si="42"/>
        <v>0</v>
      </c>
      <c r="R496">
        <f t="shared" si="43"/>
        <v>495</v>
      </c>
      <c r="S496">
        <f>IFERROR(SEARCH(Crewlist!$P$5,V496)+ROW()/100000,"")</f>
        <v>1.0049600000000001</v>
      </c>
      <c r="T496">
        <f t="shared" si="44"/>
        <v>495</v>
      </c>
      <c r="U496">
        <f t="shared" si="45"/>
        <v>0</v>
      </c>
      <c r="V496" t="str">
        <f t="shared" si="47"/>
        <v xml:space="preserve"> </v>
      </c>
      <c r="Y496" s="162" t="e">
        <f>VLOOKUP(B496,Crewlist!AS:AU,3,FALSE)</f>
        <v>#N/A</v>
      </c>
      <c r="Z496" s="163">
        <f t="shared" si="46"/>
        <v>0</v>
      </c>
    </row>
    <row r="497" spans="2:26">
      <c r="B497" s="202">
        <v>496</v>
      </c>
      <c r="E497" s="169"/>
      <c r="F497" s="176"/>
      <c r="H497" s="173"/>
      <c r="I497" s="179"/>
      <c r="J497" s="179"/>
      <c r="L497" s="179"/>
      <c r="Q497">
        <f t="shared" si="42"/>
        <v>0</v>
      </c>
      <c r="R497">
        <f t="shared" si="43"/>
        <v>496</v>
      </c>
      <c r="S497">
        <f>IFERROR(SEARCH(Crewlist!$P$5,V497)+ROW()/100000,"")</f>
        <v>1.0049699999999999</v>
      </c>
      <c r="T497">
        <f t="shared" si="44"/>
        <v>496</v>
      </c>
      <c r="U497">
        <f t="shared" si="45"/>
        <v>0</v>
      </c>
      <c r="V497" t="str">
        <f t="shared" si="47"/>
        <v xml:space="preserve"> </v>
      </c>
      <c r="Y497" s="162" t="e">
        <f>VLOOKUP(B497,Crewlist!AS:AU,3,FALSE)</f>
        <v>#N/A</v>
      </c>
      <c r="Z497" s="163">
        <f t="shared" si="46"/>
        <v>0</v>
      </c>
    </row>
    <row r="498" spans="2:26">
      <c r="B498" s="171">
        <v>497</v>
      </c>
      <c r="E498" s="169"/>
      <c r="F498" s="176"/>
      <c r="H498" s="173"/>
      <c r="I498" s="179"/>
      <c r="J498" s="179"/>
      <c r="L498" s="179"/>
      <c r="Q498">
        <f t="shared" si="42"/>
        <v>0</v>
      </c>
      <c r="R498">
        <f t="shared" si="43"/>
        <v>497</v>
      </c>
      <c r="S498">
        <f>IFERROR(SEARCH(Crewlist!$P$5,V498)+ROW()/100000,"")</f>
        <v>1.00498</v>
      </c>
      <c r="T498">
        <f t="shared" si="44"/>
        <v>497</v>
      </c>
      <c r="U498">
        <f t="shared" si="45"/>
        <v>0</v>
      </c>
      <c r="V498" t="str">
        <f t="shared" si="47"/>
        <v xml:space="preserve"> </v>
      </c>
      <c r="Y498" s="162" t="e">
        <f>VLOOKUP(B498,Crewlist!AS:AU,3,FALSE)</f>
        <v>#N/A</v>
      </c>
      <c r="Z498" s="163">
        <f t="shared" si="46"/>
        <v>0</v>
      </c>
    </row>
    <row r="499" spans="2:26">
      <c r="B499" s="171">
        <v>498</v>
      </c>
      <c r="E499" s="169"/>
      <c r="F499" s="176"/>
      <c r="H499" s="173"/>
      <c r="I499" s="179"/>
      <c r="J499" s="179"/>
      <c r="K499" s="181"/>
      <c r="L499" s="179"/>
      <c r="M499" s="182"/>
      <c r="Q499">
        <f t="shared" si="42"/>
        <v>0</v>
      </c>
      <c r="R499">
        <f t="shared" si="43"/>
        <v>498</v>
      </c>
      <c r="S499">
        <f>IFERROR(SEARCH(Crewlist!$P$5,V499)+ROW()/100000,"")</f>
        <v>1.00499</v>
      </c>
      <c r="T499">
        <f t="shared" si="44"/>
        <v>498</v>
      </c>
      <c r="U499">
        <f t="shared" si="45"/>
        <v>0</v>
      </c>
      <c r="V499" t="str">
        <f t="shared" si="47"/>
        <v xml:space="preserve"> </v>
      </c>
      <c r="Y499" s="162" t="e">
        <f>VLOOKUP(B499,Crewlist!AS:AU,3,FALSE)</f>
        <v>#N/A</v>
      </c>
      <c r="Z499" s="163">
        <f t="shared" si="46"/>
        <v>0</v>
      </c>
    </row>
    <row r="500" spans="2:26">
      <c r="B500" s="202">
        <v>499</v>
      </c>
      <c r="E500" s="169"/>
      <c r="F500" s="215"/>
      <c r="H500" s="173"/>
      <c r="I500" s="179"/>
      <c r="J500" s="179"/>
      <c r="L500" s="179"/>
      <c r="Q500">
        <f t="shared" si="42"/>
        <v>0</v>
      </c>
      <c r="R500">
        <f t="shared" si="43"/>
        <v>499</v>
      </c>
      <c r="S500">
        <f>IFERROR(SEARCH(Crewlist!$P$5,V500)+ROW()/100000,"")</f>
        <v>1.0049999999999999</v>
      </c>
      <c r="T500">
        <f t="shared" si="44"/>
        <v>499</v>
      </c>
      <c r="U500">
        <f t="shared" si="45"/>
        <v>0</v>
      </c>
      <c r="V500" t="str">
        <f t="shared" si="47"/>
        <v xml:space="preserve"> </v>
      </c>
      <c r="Y500" s="162" t="e">
        <f>VLOOKUP(B500,Crewlist!AS:AU,3,FALSE)</f>
        <v>#N/A</v>
      </c>
      <c r="Z500" s="163">
        <f t="shared" si="46"/>
        <v>0</v>
      </c>
    </row>
    <row r="501" spans="2:26">
      <c r="B501" s="171">
        <v>500</v>
      </c>
      <c r="C501" s="169"/>
      <c r="D501" s="169"/>
      <c r="F501" s="176"/>
      <c r="G501" s="177"/>
      <c r="H501" s="178"/>
      <c r="I501" s="179"/>
      <c r="J501" s="179"/>
      <c r="K501" s="179"/>
      <c r="M501" s="180"/>
      <c r="Q501">
        <f t="shared" si="42"/>
        <v>0</v>
      </c>
      <c r="R501">
        <f t="shared" si="43"/>
        <v>500</v>
      </c>
      <c r="S501">
        <f>IFERROR(SEARCH(Crewlist!$P$5,V501)+ROW()/100000,"")</f>
        <v>1.00501</v>
      </c>
      <c r="T501">
        <f t="shared" si="44"/>
        <v>500</v>
      </c>
      <c r="U501">
        <f t="shared" si="45"/>
        <v>0</v>
      </c>
      <c r="V501" t="str">
        <f t="shared" si="47"/>
        <v xml:space="preserve"> </v>
      </c>
      <c r="Y501" s="162" t="e">
        <f>VLOOKUP(B501,Crewlist!AS:AU,3,FALSE)</f>
        <v>#N/A</v>
      </c>
      <c r="Z501" s="163">
        <f t="shared" si="46"/>
        <v>0</v>
      </c>
    </row>
    <row r="502" spans="2:26">
      <c r="B502" s="171">
        <v>501</v>
      </c>
      <c r="H502" s="173"/>
      <c r="I502" s="179"/>
      <c r="J502" s="179"/>
      <c r="Q502">
        <f t="shared" si="42"/>
        <v>0</v>
      </c>
      <c r="R502">
        <f t="shared" si="43"/>
        <v>501</v>
      </c>
      <c r="S502">
        <f>IFERROR(SEARCH(Crewlist!$P$5,V502)+ROW()/100000,"")</f>
        <v>1.00502</v>
      </c>
      <c r="T502">
        <f t="shared" si="44"/>
        <v>501</v>
      </c>
      <c r="U502">
        <f t="shared" si="45"/>
        <v>0</v>
      </c>
      <c r="V502" t="str">
        <f t="shared" si="47"/>
        <v xml:space="preserve"> </v>
      </c>
      <c r="Y502" s="162" t="e">
        <f>VLOOKUP(B502,Crewlist!AS:AU,3,FALSE)</f>
        <v>#N/A</v>
      </c>
      <c r="Z502" s="163">
        <f t="shared" si="46"/>
        <v>0</v>
      </c>
    </row>
    <row r="503" spans="2:26">
      <c r="B503" s="202">
        <v>502</v>
      </c>
      <c r="C503" s="169"/>
      <c r="D503" s="169"/>
      <c r="H503" s="173"/>
      <c r="I503" s="179"/>
      <c r="J503" s="179"/>
      <c r="Q503">
        <f t="shared" si="42"/>
        <v>0</v>
      </c>
      <c r="R503">
        <f t="shared" si="43"/>
        <v>502</v>
      </c>
      <c r="S503">
        <f>IFERROR(SEARCH(Crewlist!$P$5,V503)+ROW()/100000,"")</f>
        <v>1.0050300000000001</v>
      </c>
      <c r="T503">
        <f t="shared" si="44"/>
        <v>502</v>
      </c>
      <c r="U503">
        <f t="shared" si="45"/>
        <v>0</v>
      </c>
      <c r="V503" t="str">
        <f t="shared" si="47"/>
        <v xml:space="preserve"> </v>
      </c>
      <c r="Y503" s="162" t="e">
        <f>VLOOKUP(B503,Crewlist!AS:AU,3,FALSE)</f>
        <v>#N/A</v>
      </c>
      <c r="Z503" s="163">
        <f t="shared" si="46"/>
        <v>0</v>
      </c>
    </row>
    <row r="504" spans="2:26">
      <c r="B504" s="171">
        <v>503</v>
      </c>
      <c r="C504" s="169"/>
      <c r="D504" s="169"/>
      <c r="I504" s="179"/>
      <c r="J504" s="179"/>
      <c r="Q504">
        <f t="shared" si="42"/>
        <v>0</v>
      </c>
      <c r="R504">
        <f t="shared" si="43"/>
        <v>503</v>
      </c>
      <c r="S504">
        <f>IFERROR(SEARCH(Crewlist!$P$5,V504)+ROW()/100000,"")</f>
        <v>1.0050399999999999</v>
      </c>
      <c r="T504">
        <f t="shared" si="44"/>
        <v>503</v>
      </c>
      <c r="U504">
        <f t="shared" si="45"/>
        <v>0</v>
      </c>
      <c r="V504" t="str">
        <f t="shared" si="47"/>
        <v xml:space="preserve"> </v>
      </c>
      <c r="Y504" s="162" t="e">
        <f>VLOOKUP(B504,Crewlist!AS:AU,3,FALSE)</f>
        <v>#N/A</v>
      </c>
      <c r="Z504" s="163">
        <f t="shared" si="46"/>
        <v>0</v>
      </c>
    </row>
    <row r="505" spans="2:26">
      <c r="B505" s="171">
        <v>504</v>
      </c>
      <c r="H505" s="173"/>
      <c r="I505" s="179"/>
      <c r="J505" s="179"/>
      <c r="K505" s="179"/>
      <c r="M505" s="180"/>
      <c r="Q505">
        <f t="shared" si="42"/>
        <v>0</v>
      </c>
      <c r="R505">
        <f t="shared" si="43"/>
        <v>504</v>
      </c>
      <c r="S505">
        <f>IFERROR(SEARCH(Crewlist!$P$5,V505)+ROW()/100000,"")</f>
        <v>1.00505</v>
      </c>
      <c r="T505">
        <f t="shared" si="44"/>
        <v>504</v>
      </c>
      <c r="U505">
        <f t="shared" si="45"/>
        <v>0</v>
      </c>
      <c r="V505" t="str">
        <f t="shared" si="47"/>
        <v xml:space="preserve"> </v>
      </c>
      <c r="Y505" s="162" t="e">
        <f>VLOOKUP(B505,Crewlist!AS:AU,3,FALSE)</f>
        <v>#N/A</v>
      </c>
      <c r="Z505" s="163">
        <f t="shared" si="46"/>
        <v>0</v>
      </c>
    </row>
    <row r="506" spans="2:26">
      <c r="B506" s="202">
        <v>505</v>
      </c>
      <c r="H506" s="173"/>
      <c r="I506" s="179"/>
      <c r="J506" s="179"/>
      <c r="K506" s="179"/>
      <c r="Q506">
        <f t="shared" si="42"/>
        <v>0</v>
      </c>
      <c r="R506">
        <f t="shared" si="43"/>
        <v>505</v>
      </c>
      <c r="S506">
        <f>IFERROR(SEARCH(Crewlist!$P$5,V506)+ROW()/100000,"")</f>
        <v>1.0050600000000001</v>
      </c>
      <c r="T506">
        <f t="shared" si="44"/>
        <v>505</v>
      </c>
      <c r="U506">
        <f t="shared" si="45"/>
        <v>0</v>
      </c>
      <c r="V506" t="str">
        <f t="shared" si="47"/>
        <v xml:space="preserve"> </v>
      </c>
      <c r="Y506" s="162" t="e">
        <f>VLOOKUP(B506,Crewlist!AS:AU,3,FALSE)</f>
        <v>#N/A</v>
      </c>
      <c r="Z506" s="163">
        <f t="shared" si="46"/>
        <v>0</v>
      </c>
    </row>
    <row r="507" spans="2:26">
      <c r="B507" s="171">
        <v>506</v>
      </c>
      <c r="H507" s="173"/>
      <c r="I507" s="179"/>
      <c r="J507" s="179"/>
      <c r="K507" s="181"/>
      <c r="L507" s="181"/>
      <c r="M507" s="182"/>
      <c r="Q507">
        <f t="shared" si="42"/>
        <v>0</v>
      </c>
      <c r="R507">
        <f t="shared" si="43"/>
        <v>506</v>
      </c>
      <c r="S507">
        <f>IFERROR(SEARCH(Crewlist!$P$5,V507)+ROW()/100000,"")</f>
        <v>1.0050699999999999</v>
      </c>
      <c r="T507">
        <f t="shared" si="44"/>
        <v>506</v>
      </c>
      <c r="U507">
        <f t="shared" si="45"/>
        <v>0</v>
      </c>
      <c r="V507" t="str">
        <f t="shared" si="47"/>
        <v xml:space="preserve"> </v>
      </c>
      <c r="Y507" s="162" t="e">
        <f>VLOOKUP(B507,Crewlist!AS:AU,3,FALSE)</f>
        <v>#N/A</v>
      </c>
      <c r="Z507" s="163">
        <f t="shared" si="46"/>
        <v>0</v>
      </c>
    </row>
    <row r="508" spans="2:26">
      <c r="B508" s="171">
        <v>507</v>
      </c>
      <c r="E508" s="169"/>
      <c r="H508" s="173"/>
      <c r="I508" s="179"/>
      <c r="J508" s="179"/>
      <c r="Q508">
        <f t="shared" si="42"/>
        <v>0</v>
      </c>
      <c r="R508">
        <f t="shared" si="43"/>
        <v>507</v>
      </c>
      <c r="S508">
        <f>IFERROR(SEARCH(Crewlist!$P$5,V508)+ROW()/100000,"")</f>
        <v>1.00508</v>
      </c>
      <c r="T508">
        <f t="shared" si="44"/>
        <v>507</v>
      </c>
      <c r="U508">
        <f t="shared" si="45"/>
        <v>0</v>
      </c>
      <c r="V508" t="str">
        <f t="shared" si="47"/>
        <v xml:space="preserve"> </v>
      </c>
      <c r="Y508" s="162" t="e">
        <f>VLOOKUP(B508,Crewlist!AS:AU,3,FALSE)</f>
        <v>#N/A</v>
      </c>
      <c r="Z508" s="163">
        <f t="shared" si="46"/>
        <v>0</v>
      </c>
    </row>
    <row r="509" spans="2:26">
      <c r="B509" s="202">
        <v>508</v>
      </c>
      <c r="H509" s="173"/>
      <c r="I509" s="179"/>
      <c r="J509" s="179"/>
      <c r="Q509">
        <f t="shared" si="42"/>
        <v>0</v>
      </c>
      <c r="R509">
        <f t="shared" si="43"/>
        <v>508</v>
      </c>
      <c r="S509">
        <f>IFERROR(SEARCH(Crewlist!$P$5,V509)+ROW()/100000,"")</f>
        <v>1.00509</v>
      </c>
      <c r="T509">
        <f t="shared" si="44"/>
        <v>508</v>
      </c>
      <c r="U509">
        <f t="shared" si="45"/>
        <v>0</v>
      </c>
      <c r="V509" t="str">
        <f t="shared" si="47"/>
        <v xml:space="preserve"> </v>
      </c>
      <c r="Y509" s="162" t="e">
        <f>VLOOKUP(B509,Crewlist!AS:AU,3,FALSE)</f>
        <v>#N/A</v>
      </c>
      <c r="Z509" s="163">
        <f t="shared" si="46"/>
        <v>0</v>
      </c>
    </row>
    <row r="510" spans="2:26">
      <c r="B510" s="171">
        <v>509</v>
      </c>
      <c r="C510" s="169"/>
      <c r="I510" s="179"/>
      <c r="J510" s="179"/>
      <c r="Q510">
        <f t="shared" si="42"/>
        <v>0</v>
      </c>
      <c r="R510">
        <f t="shared" si="43"/>
        <v>509</v>
      </c>
      <c r="S510">
        <f>IFERROR(SEARCH(Crewlist!$P$5,V510)+ROW()/100000,"")</f>
        <v>1.0051000000000001</v>
      </c>
      <c r="T510">
        <f t="shared" si="44"/>
        <v>509</v>
      </c>
      <c r="U510">
        <f t="shared" si="45"/>
        <v>0</v>
      </c>
      <c r="V510" t="str">
        <f t="shared" si="47"/>
        <v xml:space="preserve"> </v>
      </c>
      <c r="Y510" s="162" t="e">
        <f>VLOOKUP(B510,Crewlist!AS:AU,3,FALSE)</f>
        <v>#N/A</v>
      </c>
      <c r="Z510" s="163">
        <f t="shared" si="46"/>
        <v>0</v>
      </c>
    </row>
    <row r="511" spans="2:26">
      <c r="B511" s="171">
        <v>510</v>
      </c>
      <c r="H511" s="173"/>
      <c r="I511" s="179"/>
      <c r="J511" s="179"/>
      <c r="K511" s="179"/>
      <c r="M511" s="180"/>
      <c r="Q511">
        <f t="shared" si="42"/>
        <v>0</v>
      </c>
      <c r="R511">
        <f t="shared" si="43"/>
        <v>510</v>
      </c>
      <c r="S511">
        <f>IFERROR(SEARCH(Crewlist!$P$5,V511)+ROW()/100000,"")</f>
        <v>1.0051099999999999</v>
      </c>
      <c r="T511">
        <f t="shared" si="44"/>
        <v>510</v>
      </c>
      <c r="U511">
        <f t="shared" si="45"/>
        <v>0</v>
      </c>
      <c r="V511" t="str">
        <f t="shared" si="47"/>
        <v xml:space="preserve"> </v>
      </c>
      <c r="Y511" s="162" t="e">
        <f>VLOOKUP(B511,Crewlist!AS:AU,3,FALSE)</f>
        <v>#N/A</v>
      </c>
      <c r="Z511" s="163">
        <f t="shared" si="46"/>
        <v>0</v>
      </c>
    </row>
    <row r="512" spans="2:26">
      <c r="B512" s="202">
        <v>511</v>
      </c>
      <c r="H512" s="173"/>
      <c r="I512" s="179"/>
      <c r="J512" s="179"/>
      <c r="Q512">
        <f t="shared" si="42"/>
        <v>0</v>
      </c>
      <c r="R512">
        <f t="shared" si="43"/>
        <v>511</v>
      </c>
      <c r="S512">
        <f>IFERROR(SEARCH(Crewlist!$P$5,V512)+ROW()/100000,"")</f>
        <v>1.00512</v>
      </c>
      <c r="T512">
        <f t="shared" si="44"/>
        <v>511</v>
      </c>
      <c r="U512">
        <f t="shared" si="45"/>
        <v>0</v>
      </c>
      <c r="V512" t="str">
        <f t="shared" si="47"/>
        <v xml:space="preserve"> </v>
      </c>
      <c r="Y512" s="162" t="e">
        <f>VLOOKUP(B512,Crewlist!AS:AU,3,FALSE)</f>
        <v>#N/A</v>
      </c>
      <c r="Z512" s="163">
        <f t="shared" si="46"/>
        <v>0</v>
      </c>
    </row>
    <row r="513" spans="2:26">
      <c r="B513" s="171">
        <v>512</v>
      </c>
      <c r="C513" s="169"/>
      <c r="D513" s="169"/>
      <c r="E513" s="169"/>
      <c r="F513" s="176"/>
      <c r="G513" s="177"/>
      <c r="H513" s="178"/>
      <c r="I513" s="179"/>
      <c r="J513" s="179"/>
      <c r="L513" s="179"/>
      <c r="Q513">
        <f t="shared" ref="Q513:Q576" si="48">IF(C513&lt;&gt; "",B513,0)</f>
        <v>0</v>
      </c>
      <c r="R513">
        <f t="shared" si="43"/>
        <v>512</v>
      </c>
      <c r="S513">
        <f>IFERROR(SEARCH(Crewlist!$P$5,V513)+ROW()/100000,"")</f>
        <v>1.0051300000000001</v>
      </c>
      <c r="T513">
        <f t="shared" si="44"/>
        <v>512</v>
      </c>
      <c r="U513">
        <f t="shared" si="45"/>
        <v>0</v>
      </c>
      <c r="V513" t="str">
        <f t="shared" si="47"/>
        <v xml:space="preserve"> </v>
      </c>
      <c r="Y513" s="162" t="e">
        <f>VLOOKUP(B513,Crewlist!AS:AU,3,FALSE)</f>
        <v>#N/A</v>
      </c>
      <c r="Z513" s="163">
        <f t="shared" si="46"/>
        <v>0</v>
      </c>
    </row>
    <row r="514" spans="2:26">
      <c r="B514" s="171">
        <v>513</v>
      </c>
      <c r="E514" s="169"/>
      <c r="F514" s="176"/>
      <c r="H514" s="173"/>
      <c r="I514" s="179"/>
      <c r="J514" s="179"/>
      <c r="L514" s="179"/>
      <c r="Q514">
        <f t="shared" si="48"/>
        <v>0</v>
      </c>
      <c r="R514">
        <f t="shared" ref="R514:R577" si="49">IFERROR(RANK(S514,$S$2:$S$1998,1),"")</f>
        <v>513</v>
      </c>
      <c r="S514">
        <f>IFERROR(SEARCH(Crewlist!$P$5,V514)+ROW()/100000,"")</f>
        <v>1.0051399999999999</v>
      </c>
      <c r="T514">
        <f t="shared" ref="T514:T577" si="50">B514</f>
        <v>513</v>
      </c>
      <c r="U514">
        <f t="shared" ref="U514:U577" si="51">C514</f>
        <v>0</v>
      </c>
      <c r="V514" t="str">
        <f t="shared" si="47"/>
        <v xml:space="preserve"> </v>
      </c>
      <c r="Y514" s="162" t="e">
        <f>VLOOKUP(B514,Crewlist!AS:AU,3,FALSE)</f>
        <v>#N/A</v>
      </c>
      <c r="Z514" s="163">
        <f t="shared" ref="Z514:Z577" si="52">IF(ISNUMBER(SEARCH("",Y514)),Y514,N514)</f>
        <v>0</v>
      </c>
    </row>
    <row r="515" spans="2:26">
      <c r="B515" s="202">
        <v>514</v>
      </c>
      <c r="C515" s="169"/>
      <c r="D515" s="169"/>
      <c r="E515" s="169"/>
      <c r="F515" s="176"/>
      <c r="G515" s="177"/>
      <c r="H515" s="178"/>
      <c r="I515" s="179"/>
      <c r="J515" s="179"/>
      <c r="K515" s="179"/>
      <c r="L515" s="179"/>
      <c r="M515" s="180"/>
      <c r="Q515">
        <f t="shared" si="48"/>
        <v>0</v>
      </c>
      <c r="R515">
        <f t="shared" si="49"/>
        <v>514</v>
      </c>
      <c r="S515">
        <f>IFERROR(SEARCH(Crewlist!$P$5,V515)+ROW()/100000,"")</f>
        <v>1.00515</v>
      </c>
      <c r="T515">
        <f t="shared" si="50"/>
        <v>514</v>
      </c>
      <c r="U515">
        <f t="shared" si="51"/>
        <v>0</v>
      </c>
      <c r="V515" t="str">
        <f t="shared" ref="V515:V578" si="53">CONCATENATE(C515," ",D515)</f>
        <v xml:space="preserve"> </v>
      </c>
      <c r="Y515" s="162" t="e">
        <f>VLOOKUP(B515,Crewlist!AS:AU,3,FALSE)</f>
        <v>#N/A</v>
      </c>
      <c r="Z515" s="163">
        <f t="shared" si="52"/>
        <v>0</v>
      </c>
    </row>
    <row r="516" spans="2:26">
      <c r="B516" s="171">
        <v>515</v>
      </c>
      <c r="E516" s="169"/>
      <c r="F516" s="176"/>
      <c r="H516" s="173"/>
      <c r="I516" s="179"/>
      <c r="J516" s="179"/>
      <c r="L516" s="179"/>
      <c r="Q516">
        <f t="shared" si="48"/>
        <v>0</v>
      </c>
      <c r="R516">
        <f t="shared" si="49"/>
        <v>515</v>
      </c>
      <c r="S516">
        <f>IFERROR(SEARCH(Crewlist!$P$5,V516)+ROW()/100000,"")</f>
        <v>1.0051600000000001</v>
      </c>
      <c r="T516">
        <f t="shared" si="50"/>
        <v>515</v>
      </c>
      <c r="U516">
        <f t="shared" si="51"/>
        <v>0</v>
      </c>
      <c r="V516" t="str">
        <f t="shared" si="53"/>
        <v xml:space="preserve"> </v>
      </c>
      <c r="Y516" s="162" t="e">
        <f>VLOOKUP(B516,Crewlist!AS:AU,3,FALSE)</f>
        <v>#N/A</v>
      </c>
      <c r="Z516" s="163">
        <f t="shared" si="52"/>
        <v>0</v>
      </c>
    </row>
    <row r="517" spans="2:26">
      <c r="B517" s="171">
        <v>516</v>
      </c>
      <c r="C517" s="169"/>
      <c r="D517" s="169"/>
      <c r="E517" s="169"/>
      <c r="F517" s="176"/>
      <c r="H517" s="173"/>
      <c r="I517" s="179"/>
      <c r="J517" s="179"/>
      <c r="L517" s="179"/>
      <c r="Q517">
        <f t="shared" si="48"/>
        <v>0</v>
      </c>
      <c r="R517">
        <f t="shared" si="49"/>
        <v>516</v>
      </c>
      <c r="S517">
        <f>IFERROR(SEARCH(Crewlist!$P$5,V517)+ROW()/100000,"")</f>
        <v>1.0051699999999999</v>
      </c>
      <c r="T517">
        <f t="shared" si="50"/>
        <v>516</v>
      </c>
      <c r="U517">
        <f t="shared" si="51"/>
        <v>0</v>
      </c>
      <c r="V517" t="str">
        <f t="shared" si="53"/>
        <v xml:space="preserve"> </v>
      </c>
      <c r="Y517" s="162" t="e">
        <f>VLOOKUP(B517,Crewlist!AS:AU,3,FALSE)</f>
        <v>#N/A</v>
      </c>
      <c r="Z517" s="163">
        <f t="shared" si="52"/>
        <v>0</v>
      </c>
    </row>
    <row r="518" spans="2:26">
      <c r="B518" s="202">
        <v>517</v>
      </c>
      <c r="C518" s="169"/>
      <c r="D518" s="169"/>
      <c r="E518" s="169"/>
      <c r="F518" s="176"/>
      <c r="H518" s="178"/>
      <c r="I518" s="179"/>
      <c r="J518" s="179"/>
      <c r="L518" s="179"/>
      <c r="Q518">
        <f t="shared" si="48"/>
        <v>0</v>
      </c>
      <c r="R518">
        <f t="shared" si="49"/>
        <v>517</v>
      </c>
      <c r="S518">
        <f>IFERROR(SEARCH(Crewlist!$P$5,V518)+ROW()/100000,"")</f>
        <v>1.00518</v>
      </c>
      <c r="T518">
        <f t="shared" si="50"/>
        <v>517</v>
      </c>
      <c r="U518">
        <f t="shared" si="51"/>
        <v>0</v>
      </c>
      <c r="V518" t="str">
        <f t="shared" si="53"/>
        <v xml:space="preserve"> </v>
      </c>
      <c r="Y518" s="162" t="e">
        <f>VLOOKUP(B518,Crewlist!AS:AU,3,FALSE)</f>
        <v>#N/A</v>
      </c>
      <c r="Z518" s="163">
        <f t="shared" si="52"/>
        <v>0</v>
      </c>
    </row>
    <row r="519" spans="2:26">
      <c r="B519" s="171">
        <v>518</v>
      </c>
      <c r="C519" s="169"/>
      <c r="D519" s="169"/>
      <c r="E519" s="169"/>
      <c r="F519" s="176"/>
      <c r="H519" s="178"/>
      <c r="I519" s="179"/>
      <c r="J519" s="179"/>
      <c r="K519" s="181"/>
      <c r="L519" s="179"/>
      <c r="M519" s="182"/>
      <c r="Q519">
        <f t="shared" si="48"/>
        <v>0</v>
      </c>
      <c r="R519">
        <f t="shared" si="49"/>
        <v>518</v>
      </c>
      <c r="S519">
        <f>IFERROR(SEARCH(Crewlist!$P$5,V519)+ROW()/100000,"")</f>
        <v>1.00519</v>
      </c>
      <c r="T519">
        <f t="shared" si="50"/>
        <v>518</v>
      </c>
      <c r="U519">
        <f t="shared" si="51"/>
        <v>0</v>
      </c>
      <c r="V519" t="str">
        <f t="shared" si="53"/>
        <v xml:space="preserve"> </v>
      </c>
      <c r="Y519" s="162" t="e">
        <f>VLOOKUP(B519,Crewlist!AS:AU,3,FALSE)</f>
        <v>#N/A</v>
      </c>
      <c r="Z519" s="163">
        <f t="shared" si="52"/>
        <v>0</v>
      </c>
    </row>
    <row r="520" spans="2:26">
      <c r="B520" s="171">
        <v>519</v>
      </c>
      <c r="E520" s="169"/>
      <c r="F520" s="176"/>
      <c r="H520" s="178"/>
      <c r="I520" s="179"/>
      <c r="J520" s="179"/>
      <c r="K520" s="179"/>
      <c r="L520" s="179"/>
      <c r="Q520">
        <f t="shared" si="48"/>
        <v>0</v>
      </c>
      <c r="R520">
        <f t="shared" si="49"/>
        <v>519</v>
      </c>
      <c r="S520">
        <f>IFERROR(SEARCH(Crewlist!$P$5,V520)+ROW()/100000,"")</f>
        <v>1.0052000000000001</v>
      </c>
      <c r="T520">
        <f t="shared" si="50"/>
        <v>519</v>
      </c>
      <c r="U520">
        <f t="shared" si="51"/>
        <v>0</v>
      </c>
      <c r="V520" t="str">
        <f t="shared" si="53"/>
        <v xml:space="preserve"> </v>
      </c>
      <c r="Y520" s="162" t="e">
        <f>VLOOKUP(B520,Crewlist!AS:AU,3,FALSE)</f>
        <v>#N/A</v>
      </c>
      <c r="Z520" s="163">
        <f t="shared" si="52"/>
        <v>0</v>
      </c>
    </row>
    <row r="521" spans="2:26">
      <c r="B521" s="202">
        <v>520</v>
      </c>
      <c r="C521" s="169"/>
      <c r="D521" s="169"/>
      <c r="E521" s="169"/>
      <c r="F521" s="176"/>
      <c r="H521" s="178"/>
      <c r="I521" s="179"/>
      <c r="J521" s="179"/>
      <c r="L521" s="179"/>
      <c r="Q521">
        <f t="shared" si="48"/>
        <v>0</v>
      </c>
      <c r="R521">
        <f t="shared" si="49"/>
        <v>520</v>
      </c>
      <c r="S521">
        <f>IFERROR(SEARCH(Crewlist!$P$5,V521)+ROW()/100000,"")</f>
        <v>1.0052099999999999</v>
      </c>
      <c r="T521">
        <f t="shared" si="50"/>
        <v>520</v>
      </c>
      <c r="U521">
        <f t="shared" si="51"/>
        <v>0</v>
      </c>
      <c r="V521" t="str">
        <f t="shared" si="53"/>
        <v xml:space="preserve"> </v>
      </c>
      <c r="Y521" s="162" t="e">
        <f>VLOOKUP(B521,Crewlist!AS:AU,3,FALSE)</f>
        <v>#N/A</v>
      </c>
      <c r="Z521" s="163">
        <f t="shared" si="52"/>
        <v>0</v>
      </c>
    </row>
    <row r="522" spans="2:26">
      <c r="B522" s="171">
        <v>521</v>
      </c>
      <c r="C522" s="169"/>
      <c r="D522" s="169"/>
      <c r="E522" s="169"/>
      <c r="F522" s="176"/>
      <c r="H522" s="178"/>
      <c r="I522" s="179"/>
      <c r="J522" s="179"/>
      <c r="L522" s="179"/>
      <c r="Q522">
        <f t="shared" si="48"/>
        <v>0</v>
      </c>
      <c r="R522">
        <f t="shared" si="49"/>
        <v>521</v>
      </c>
      <c r="S522">
        <f>IFERROR(SEARCH(Crewlist!$P$5,V522)+ROW()/100000,"")</f>
        <v>1.00522</v>
      </c>
      <c r="T522">
        <f t="shared" si="50"/>
        <v>521</v>
      </c>
      <c r="U522">
        <f t="shared" si="51"/>
        <v>0</v>
      </c>
      <c r="V522" t="str">
        <f t="shared" si="53"/>
        <v xml:space="preserve"> </v>
      </c>
      <c r="Y522" s="162" t="e">
        <f>VLOOKUP(B522,Crewlist!AS:AU,3,FALSE)</f>
        <v>#N/A</v>
      </c>
      <c r="Z522" s="163">
        <f t="shared" si="52"/>
        <v>0</v>
      </c>
    </row>
    <row r="523" spans="2:26">
      <c r="B523" s="171">
        <v>522</v>
      </c>
      <c r="H523" s="173"/>
      <c r="I523" s="174"/>
      <c r="J523" s="174"/>
      <c r="Q523">
        <f t="shared" si="48"/>
        <v>0</v>
      </c>
      <c r="R523">
        <f t="shared" si="49"/>
        <v>522</v>
      </c>
      <c r="S523">
        <f>IFERROR(SEARCH(Crewlist!$P$5,V523)+ROW()/100000,"")</f>
        <v>1.0052300000000001</v>
      </c>
      <c r="T523">
        <f t="shared" si="50"/>
        <v>522</v>
      </c>
      <c r="U523">
        <f t="shared" si="51"/>
        <v>0</v>
      </c>
      <c r="V523" t="str">
        <f t="shared" si="53"/>
        <v xml:space="preserve"> </v>
      </c>
      <c r="Y523" s="162" t="e">
        <f>VLOOKUP(B523,Crewlist!AS:AU,3,FALSE)</f>
        <v>#N/A</v>
      </c>
      <c r="Z523" s="163">
        <f t="shared" si="52"/>
        <v>0</v>
      </c>
    </row>
    <row r="524" spans="2:26">
      <c r="B524" s="202">
        <v>523</v>
      </c>
      <c r="H524" s="173"/>
      <c r="I524" s="174"/>
      <c r="J524" s="174"/>
      <c r="Q524">
        <f t="shared" si="48"/>
        <v>0</v>
      </c>
      <c r="R524">
        <f t="shared" si="49"/>
        <v>523</v>
      </c>
      <c r="S524">
        <f>IFERROR(SEARCH(Crewlist!$P$5,V524)+ROW()/100000,"")</f>
        <v>1.0052399999999999</v>
      </c>
      <c r="T524">
        <f t="shared" si="50"/>
        <v>523</v>
      </c>
      <c r="U524">
        <f t="shared" si="51"/>
        <v>0</v>
      </c>
      <c r="V524" t="str">
        <f t="shared" si="53"/>
        <v xml:space="preserve"> </v>
      </c>
      <c r="Y524" s="162" t="e">
        <f>VLOOKUP(B524,Crewlist!AS:AU,3,FALSE)</f>
        <v>#N/A</v>
      </c>
      <c r="Z524" s="163">
        <f t="shared" si="52"/>
        <v>0</v>
      </c>
    </row>
    <row r="525" spans="2:26">
      <c r="B525" s="171">
        <v>524</v>
      </c>
      <c r="H525" s="173"/>
      <c r="I525" s="174"/>
      <c r="J525" s="174"/>
      <c r="Q525">
        <f t="shared" si="48"/>
        <v>0</v>
      </c>
      <c r="R525">
        <f t="shared" si="49"/>
        <v>524</v>
      </c>
      <c r="S525">
        <f>IFERROR(SEARCH(Crewlist!$P$5,V525)+ROW()/100000,"")</f>
        <v>1.00525</v>
      </c>
      <c r="T525">
        <f t="shared" si="50"/>
        <v>524</v>
      </c>
      <c r="U525">
        <f t="shared" si="51"/>
        <v>0</v>
      </c>
      <c r="V525" t="str">
        <f t="shared" si="53"/>
        <v xml:space="preserve"> </v>
      </c>
      <c r="Y525" s="162" t="e">
        <f>VLOOKUP(B525,Crewlist!AS:AU,3,FALSE)</f>
        <v>#N/A</v>
      </c>
      <c r="Z525" s="163">
        <f t="shared" si="52"/>
        <v>0</v>
      </c>
    </row>
    <row r="526" spans="2:26">
      <c r="B526" s="171">
        <v>525</v>
      </c>
      <c r="C526" s="169"/>
      <c r="E526" s="169"/>
      <c r="F526" s="176"/>
      <c r="H526" s="173"/>
      <c r="I526" s="179"/>
      <c r="J526" s="179"/>
      <c r="Q526">
        <f t="shared" si="48"/>
        <v>0</v>
      </c>
      <c r="R526">
        <f t="shared" si="49"/>
        <v>525</v>
      </c>
      <c r="S526">
        <f>IFERROR(SEARCH(Crewlist!$P$5,V526)+ROW()/100000,"")</f>
        <v>1.00526</v>
      </c>
      <c r="T526">
        <f t="shared" si="50"/>
        <v>525</v>
      </c>
      <c r="U526">
        <f t="shared" si="51"/>
        <v>0</v>
      </c>
      <c r="V526" t="str">
        <f t="shared" si="53"/>
        <v xml:space="preserve"> </v>
      </c>
      <c r="Y526" s="162" t="e">
        <f>VLOOKUP(B526,Crewlist!AS:AU,3,FALSE)</f>
        <v>#N/A</v>
      </c>
      <c r="Z526" s="163">
        <f t="shared" si="52"/>
        <v>0</v>
      </c>
    </row>
    <row r="527" spans="2:26">
      <c r="B527" s="202">
        <v>526</v>
      </c>
      <c r="E527" s="169"/>
      <c r="F527" s="176"/>
      <c r="H527" s="173"/>
      <c r="I527" s="179"/>
      <c r="J527" s="179"/>
      <c r="Q527">
        <f t="shared" si="48"/>
        <v>0</v>
      </c>
      <c r="R527">
        <f t="shared" si="49"/>
        <v>526</v>
      </c>
      <c r="S527">
        <f>IFERROR(SEARCH(Crewlist!$P$5,V527)+ROW()/100000,"")</f>
        <v>1.0052700000000001</v>
      </c>
      <c r="T527">
        <f t="shared" si="50"/>
        <v>526</v>
      </c>
      <c r="U527">
        <f t="shared" si="51"/>
        <v>0</v>
      </c>
      <c r="V527" t="str">
        <f t="shared" si="53"/>
        <v xml:space="preserve"> </v>
      </c>
      <c r="Y527" s="162" t="e">
        <f>VLOOKUP(B527,Crewlist!AS:AU,3,FALSE)</f>
        <v>#N/A</v>
      </c>
      <c r="Z527" s="163">
        <f t="shared" si="52"/>
        <v>0</v>
      </c>
    </row>
    <row r="528" spans="2:26">
      <c r="B528" s="171">
        <v>527</v>
      </c>
      <c r="E528" s="169"/>
      <c r="F528" s="176"/>
      <c r="H528" s="173"/>
      <c r="I528" s="179"/>
      <c r="J528" s="179"/>
      <c r="Q528">
        <f t="shared" si="48"/>
        <v>0</v>
      </c>
      <c r="R528">
        <f t="shared" si="49"/>
        <v>527</v>
      </c>
      <c r="S528">
        <f>IFERROR(SEARCH(Crewlist!$P$5,V528)+ROW()/100000,"")</f>
        <v>1.00528</v>
      </c>
      <c r="T528">
        <f t="shared" si="50"/>
        <v>527</v>
      </c>
      <c r="U528">
        <f t="shared" si="51"/>
        <v>0</v>
      </c>
      <c r="V528" t="str">
        <f t="shared" si="53"/>
        <v xml:space="preserve"> </v>
      </c>
      <c r="Y528" s="162" t="e">
        <f>VLOOKUP(B528,Crewlist!AS:AU,3,FALSE)</f>
        <v>#N/A</v>
      </c>
      <c r="Z528" s="163">
        <f t="shared" si="52"/>
        <v>0</v>
      </c>
    </row>
    <row r="529" spans="2:26">
      <c r="B529" s="171">
        <v>528</v>
      </c>
      <c r="H529" s="173"/>
      <c r="I529" s="174"/>
      <c r="J529" s="174"/>
      <c r="Q529">
        <f t="shared" si="48"/>
        <v>0</v>
      </c>
      <c r="R529">
        <f t="shared" si="49"/>
        <v>528</v>
      </c>
      <c r="S529">
        <f>IFERROR(SEARCH(Crewlist!$P$5,V529)+ROW()/100000,"")</f>
        <v>1.00529</v>
      </c>
      <c r="T529">
        <f t="shared" si="50"/>
        <v>528</v>
      </c>
      <c r="U529">
        <f t="shared" si="51"/>
        <v>0</v>
      </c>
      <c r="V529" t="str">
        <f t="shared" si="53"/>
        <v xml:space="preserve"> </v>
      </c>
      <c r="Y529" s="162" t="e">
        <f>VLOOKUP(B529,Crewlist!AS:AU,3,FALSE)</f>
        <v>#N/A</v>
      </c>
      <c r="Z529" s="163">
        <f t="shared" si="52"/>
        <v>0</v>
      </c>
    </row>
    <row r="530" spans="2:26">
      <c r="B530" s="202">
        <v>529</v>
      </c>
      <c r="E530" s="169"/>
      <c r="F530" s="176"/>
      <c r="H530" s="173"/>
      <c r="I530" s="179"/>
      <c r="J530" s="179"/>
      <c r="L530" s="179"/>
      <c r="Q530">
        <f t="shared" si="48"/>
        <v>0</v>
      </c>
      <c r="R530">
        <f t="shared" si="49"/>
        <v>529</v>
      </c>
      <c r="S530">
        <f>IFERROR(SEARCH(Crewlist!$P$5,V530)+ROW()/100000,"")</f>
        <v>1.0053000000000001</v>
      </c>
      <c r="T530">
        <f t="shared" si="50"/>
        <v>529</v>
      </c>
      <c r="U530">
        <f t="shared" si="51"/>
        <v>0</v>
      </c>
      <c r="V530" t="str">
        <f>CONCATENATE(C530," ",D531)</f>
        <v xml:space="preserve"> </v>
      </c>
      <c r="Y530" s="162" t="e">
        <f>VLOOKUP(B530,Crewlist!AS:AU,3,FALSE)</f>
        <v>#N/A</v>
      </c>
      <c r="Z530" s="163">
        <f t="shared" si="52"/>
        <v>0</v>
      </c>
    </row>
    <row r="531" spans="2:26">
      <c r="B531" s="171">
        <v>530</v>
      </c>
      <c r="H531" s="173"/>
      <c r="I531" s="174"/>
      <c r="J531" s="174"/>
      <c r="Q531">
        <f t="shared" si="48"/>
        <v>0</v>
      </c>
      <c r="R531" t="str">
        <f t="shared" si="49"/>
        <v/>
      </c>
      <c r="S531" t="str">
        <f>IFERROR(SEARCH(Crewlist!$P$5,V531)+ROW()/100000,"")</f>
        <v/>
      </c>
      <c r="T531">
        <f t="shared" si="50"/>
        <v>530</v>
      </c>
      <c r="U531">
        <f t="shared" si="51"/>
        <v>0</v>
      </c>
      <c r="V531" t="e">
        <f>CONCATENATE(C531," ",#REF!)</f>
        <v>#REF!</v>
      </c>
      <c r="Y531" s="162" t="e">
        <f>VLOOKUP(B531,Crewlist!AS:AU,3,FALSE)</f>
        <v>#N/A</v>
      </c>
      <c r="Z531" s="163">
        <f t="shared" si="52"/>
        <v>0</v>
      </c>
    </row>
    <row r="532" spans="2:26">
      <c r="B532" s="171">
        <v>531</v>
      </c>
      <c r="E532" s="169"/>
      <c r="F532" s="176"/>
      <c r="H532" s="178"/>
      <c r="I532" s="179"/>
      <c r="J532" s="179"/>
      <c r="L532" s="179"/>
      <c r="Q532">
        <f t="shared" si="48"/>
        <v>0</v>
      </c>
      <c r="R532">
        <f t="shared" si="49"/>
        <v>530</v>
      </c>
      <c r="S532">
        <f>IFERROR(SEARCH(Crewlist!$P$5,V532)+ROW()/100000,"")</f>
        <v>1.00532</v>
      </c>
      <c r="T532">
        <f t="shared" si="50"/>
        <v>531</v>
      </c>
      <c r="U532">
        <f t="shared" si="51"/>
        <v>0</v>
      </c>
      <c r="V532" t="str">
        <f t="shared" si="53"/>
        <v xml:space="preserve"> </v>
      </c>
      <c r="Y532" s="162" t="e">
        <f>VLOOKUP(B532,Crewlist!AS:AU,3,FALSE)</f>
        <v>#N/A</v>
      </c>
      <c r="Z532" s="163">
        <f t="shared" si="52"/>
        <v>0</v>
      </c>
    </row>
    <row r="533" spans="2:26">
      <c r="B533" s="202">
        <v>532</v>
      </c>
      <c r="H533" s="173"/>
      <c r="I533" s="174"/>
      <c r="J533" s="174"/>
      <c r="Q533">
        <f t="shared" si="48"/>
        <v>0</v>
      </c>
      <c r="R533">
        <f t="shared" si="49"/>
        <v>531</v>
      </c>
      <c r="S533">
        <f>IFERROR(SEARCH(Crewlist!$P$5,V533)+ROW()/100000,"")</f>
        <v>1.0053300000000001</v>
      </c>
      <c r="T533">
        <f t="shared" si="50"/>
        <v>532</v>
      </c>
      <c r="U533">
        <f t="shared" si="51"/>
        <v>0</v>
      </c>
      <c r="V533" t="str">
        <f t="shared" si="53"/>
        <v xml:space="preserve"> </v>
      </c>
      <c r="Y533" s="162" t="e">
        <f>VLOOKUP(B533,Crewlist!AS:AU,3,FALSE)</f>
        <v>#N/A</v>
      </c>
      <c r="Z533" s="163">
        <f t="shared" si="52"/>
        <v>0</v>
      </c>
    </row>
    <row r="534" spans="2:26">
      <c r="B534" s="171">
        <v>533</v>
      </c>
      <c r="F534" s="183"/>
      <c r="H534" s="173"/>
      <c r="I534" s="179"/>
      <c r="J534" s="179"/>
      <c r="L534" s="215"/>
      <c r="Q534">
        <f t="shared" si="48"/>
        <v>0</v>
      </c>
      <c r="R534">
        <f t="shared" si="49"/>
        <v>532</v>
      </c>
      <c r="S534">
        <f>IFERROR(SEARCH(Crewlist!$P$5,V534)+ROW()/100000,"")</f>
        <v>1.0053399999999999</v>
      </c>
      <c r="T534">
        <f t="shared" si="50"/>
        <v>533</v>
      </c>
      <c r="U534">
        <f t="shared" si="51"/>
        <v>0</v>
      </c>
      <c r="V534" t="str">
        <f t="shared" si="53"/>
        <v xml:space="preserve"> </v>
      </c>
      <c r="Y534" s="162" t="e">
        <f>VLOOKUP(B534,Crewlist!AS:AU,3,FALSE)</f>
        <v>#N/A</v>
      </c>
      <c r="Z534" s="163">
        <f t="shared" si="52"/>
        <v>0</v>
      </c>
    </row>
    <row r="535" spans="2:26">
      <c r="B535" s="171">
        <v>534</v>
      </c>
      <c r="E535" s="169"/>
      <c r="F535" s="215"/>
      <c r="H535" s="178"/>
      <c r="I535" s="179"/>
      <c r="J535" s="179"/>
      <c r="K535" s="179"/>
      <c r="L535" s="215"/>
      <c r="Q535">
        <f t="shared" si="48"/>
        <v>0</v>
      </c>
      <c r="R535">
        <f t="shared" si="49"/>
        <v>533</v>
      </c>
      <c r="S535">
        <f>IFERROR(SEARCH(Crewlist!$P$5,V535)+ROW()/100000,"")</f>
        <v>1.00535</v>
      </c>
      <c r="T535">
        <f t="shared" si="50"/>
        <v>534</v>
      </c>
      <c r="U535">
        <f t="shared" si="51"/>
        <v>0</v>
      </c>
      <c r="V535" t="str">
        <f t="shared" si="53"/>
        <v xml:space="preserve"> </v>
      </c>
      <c r="Y535" s="162" t="e">
        <f>VLOOKUP(B535,Crewlist!AS:AU,3,FALSE)</f>
        <v>#N/A</v>
      </c>
      <c r="Z535" s="163">
        <f t="shared" si="52"/>
        <v>0</v>
      </c>
    </row>
    <row r="536" spans="2:26">
      <c r="B536" s="202">
        <v>535</v>
      </c>
      <c r="E536" s="169"/>
      <c r="F536" s="215"/>
      <c r="H536" s="178"/>
      <c r="I536" s="179"/>
      <c r="J536" s="179"/>
      <c r="L536" s="215"/>
      <c r="Q536">
        <f t="shared" si="48"/>
        <v>0</v>
      </c>
      <c r="R536">
        <f t="shared" si="49"/>
        <v>534</v>
      </c>
      <c r="S536">
        <f>IFERROR(SEARCH(Crewlist!$P$5,V536)+ROW()/100000,"")</f>
        <v>1.00536</v>
      </c>
      <c r="T536">
        <f t="shared" si="50"/>
        <v>535</v>
      </c>
      <c r="U536">
        <f t="shared" si="51"/>
        <v>0</v>
      </c>
      <c r="V536" t="str">
        <f t="shared" si="53"/>
        <v xml:space="preserve"> </v>
      </c>
      <c r="Y536" s="162" t="e">
        <f>VLOOKUP(B536,Crewlist!AS:AU,3,FALSE)</f>
        <v>#N/A</v>
      </c>
      <c r="Z536" s="163">
        <f t="shared" si="52"/>
        <v>0</v>
      </c>
    </row>
    <row r="537" spans="2:26">
      <c r="B537" s="171">
        <v>536</v>
      </c>
      <c r="F537" s="176"/>
      <c r="H537" s="173"/>
      <c r="I537" s="179"/>
      <c r="J537" s="179"/>
      <c r="L537" s="179"/>
      <c r="Q537">
        <f t="shared" si="48"/>
        <v>0</v>
      </c>
      <c r="R537">
        <f t="shared" si="49"/>
        <v>535</v>
      </c>
      <c r="S537">
        <f>IFERROR(SEARCH(Crewlist!$P$5,V537)+ROW()/100000,"")</f>
        <v>1.0053700000000001</v>
      </c>
      <c r="T537">
        <f t="shared" si="50"/>
        <v>536</v>
      </c>
      <c r="U537">
        <f t="shared" si="51"/>
        <v>0</v>
      </c>
      <c r="V537" t="str">
        <f t="shared" si="53"/>
        <v xml:space="preserve"> </v>
      </c>
      <c r="Y537" s="162" t="e">
        <f>VLOOKUP(B537,Crewlist!AS:AU,3,FALSE)</f>
        <v>#N/A</v>
      </c>
      <c r="Z537" s="163">
        <f t="shared" si="52"/>
        <v>0</v>
      </c>
    </row>
    <row r="538" spans="2:26">
      <c r="B538" s="171">
        <v>537</v>
      </c>
      <c r="E538" s="169"/>
      <c r="F538" s="176"/>
      <c r="H538" s="173"/>
      <c r="I538" s="179"/>
      <c r="J538" s="179"/>
      <c r="L538" s="179"/>
      <c r="Q538">
        <f t="shared" si="48"/>
        <v>0</v>
      </c>
      <c r="R538">
        <f t="shared" si="49"/>
        <v>536</v>
      </c>
      <c r="S538">
        <f>IFERROR(SEARCH(Crewlist!$P$5,V538)+ROW()/100000,"")</f>
        <v>1.0053799999999999</v>
      </c>
      <c r="T538">
        <f t="shared" si="50"/>
        <v>537</v>
      </c>
      <c r="U538">
        <f t="shared" si="51"/>
        <v>0</v>
      </c>
      <c r="V538" t="str">
        <f t="shared" si="53"/>
        <v xml:space="preserve"> </v>
      </c>
      <c r="Y538" s="162" t="e">
        <f>VLOOKUP(B538,Crewlist!AS:AU,3,FALSE)</f>
        <v>#N/A</v>
      </c>
      <c r="Z538" s="163">
        <f t="shared" si="52"/>
        <v>0</v>
      </c>
    </row>
    <row r="539" spans="2:26">
      <c r="B539" s="202">
        <v>538</v>
      </c>
      <c r="D539" s="169"/>
      <c r="E539" s="169"/>
      <c r="F539" s="176"/>
      <c r="H539" s="178"/>
      <c r="I539" s="179"/>
      <c r="J539" s="179"/>
      <c r="K539" s="179"/>
      <c r="L539" s="179"/>
      <c r="M539" s="180"/>
      <c r="Q539">
        <f t="shared" si="48"/>
        <v>0</v>
      </c>
      <c r="R539">
        <f t="shared" si="49"/>
        <v>537</v>
      </c>
      <c r="S539">
        <f>IFERROR(SEARCH(Crewlist!$P$5,V539)+ROW()/100000,"")</f>
        <v>1.00539</v>
      </c>
      <c r="T539">
        <f t="shared" si="50"/>
        <v>538</v>
      </c>
      <c r="U539">
        <f t="shared" si="51"/>
        <v>0</v>
      </c>
      <c r="V539" t="str">
        <f t="shared" si="53"/>
        <v xml:space="preserve"> </v>
      </c>
      <c r="Y539" s="162" t="e">
        <f>VLOOKUP(B539,Crewlist!AS:AU,3,FALSE)</f>
        <v>#N/A</v>
      </c>
      <c r="Z539" s="163">
        <f t="shared" si="52"/>
        <v>0</v>
      </c>
    </row>
    <row r="540" spans="2:26">
      <c r="B540" s="171">
        <v>539</v>
      </c>
      <c r="C540" s="169"/>
      <c r="E540" s="169"/>
      <c r="F540" s="176"/>
      <c r="H540" s="173"/>
      <c r="I540" s="179"/>
      <c r="J540" s="179"/>
      <c r="L540" s="179"/>
      <c r="Q540">
        <f t="shared" si="48"/>
        <v>0</v>
      </c>
      <c r="R540">
        <f t="shared" si="49"/>
        <v>538</v>
      </c>
      <c r="S540">
        <f>IFERROR(SEARCH(Crewlist!$P$5,V540)+ROW()/100000,"")</f>
        <v>1.0054000000000001</v>
      </c>
      <c r="T540">
        <f t="shared" si="50"/>
        <v>539</v>
      </c>
      <c r="U540">
        <f t="shared" si="51"/>
        <v>0</v>
      </c>
      <c r="V540" t="str">
        <f t="shared" si="53"/>
        <v xml:space="preserve"> </v>
      </c>
      <c r="Y540" s="162" t="e">
        <f>VLOOKUP(B540,Crewlist!AS:AU,3,FALSE)</f>
        <v>#N/A</v>
      </c>
      <c r="Z540" s="163">
        <f t="shared" si="52"/>
        <v>0</v>
      </c>
    </row>
    <row r="541" spans="2:26">
      <c r="B541" s="171">
        <v>540</v>
      </c>
      <c r="E541" s="169"/>
      <c r="F541" s="176"/>
      <c r="H541" s="173"/>
      <c r="I541" s="179"/>
      <c r="J541" s="179"/>
      <c r="L541" s="179"/>
      <c r="Q541">
        <f t="shared" si="48"/>
        <v>0</v>
      </c>
      <c r="R541">
        <f t="shared" si="49"/>
        <v>539</v>
      </c>
      <c r="S541">
        <f>IFERROR(SEARCH(Crewlist!$P$5,V541)+ROW()/100000,"")</f>
        <v>1.0054099999999999</v>
      </c>
      <c r="T541">
        <f t="shared" si="50"/>
        <v>540</v>
      </c>
      <c r="U541">
        <f t="shared" si="51"/>
        <v>0</v>
      </c>
      <c r="V541" t="str">
        <f t="shared" si="53"/>
        <v xml:space="preserve"> </v>
      </c>
      <c r="Y541" s="162" t="e">
        <f>VLOOKUP(B541,Crewlist!AS:AU,3,FALSE)</f>
        <v>#N/A</v>
      </c>
      <c r="Z541" s="163">
        <f t="shared" si="52"/>
        <v>0</v>
      </c>
    </row>
    <row r="542" spans="2:26">
      <c r="B542" s="202">
        <v>541</v>
      </c>
      <c r="E542" s="169"/>
      <c r="F542" s="176"/>
      <c r="H542" s="173"/>
      <c r="I542" s="179"/>
      <c r="J542" s="179"/>
      <c r="L542" s="179"/>
      <c r="Q542">
        <f t="shared" si="48"/>
        <v>0</v>
      </c>
      <c r="R542">
        <f t="shared" si="49"/>
        <v>540</v>
      </c>
      <c r="S542">
        <f>IFERROR(SEARCH(Crewlist!$P$5,V542)+ROW()/100000,"")</f>
        <v>1.00542</v>
      </c>
      <c r="T542">
        <f t="shared" si="50"/>
        <v>541</v>
      </c>
      <c r="U542">
        <f t="shared" si="51"/>
        <v>0</v>
      </c>
      <c r="V542" t="str">
        <f t="shared" si="53"/>
        <v xml:space="preserve"> </v>
      </c>
      <c r="Y542" s="162" t="e">
        <f>VLOOKUP(B542,Crewlist!AS:AU,3,FALSE)</f>
        <v>#N/A</v>
      </c>
      <c r="Z542" s="163">
        <f t="shared" si="52"/>
        <v>0</v>
      </c>
    </row>
    <row r="543" spans="2:26">
      <c r="B543" s="171">
        <v>542</v>
      </c>
      <c r="E543" s="169"/>
      <c r="F543" s="176"/>
      <c r="H543" s="173"/>
      <c r="I543" s="179"/>
      <c r="J543" s="179"/>
      <c r="K543" s="181"/>
      <c r="L543" s="179"/>
      <c r="M543" s="182"/>
      <c r="Q543">
        <f t="shared" si="48"/>
        <v>0</v>
      </c>
      <c r="R543">
        <f t="shared" si="49"/>
        <v>541</v>
      </c>
      <c r="S543">
        <f>IFERROR(SEARCH(Crewlist!$P$5,V543)+ROW()/100000,"")</f>
        <v>1.00543</v>
      </c>
      <c r="T543">
        <f t="shared" si="50"/>
        <v>542</v>
      </c>
      <c r="U543">
        <f t="shared" si="51"/>
        <v>0</v>
      </c>
      <c r="V543" t="str">
        <f t="shared" si="53"/>
        <v xml:space="preserve"> </v>
      </c>
      <c r="Y543" s="162" t="e">
        <f>VLOOKUP(B543,Crewlist!AS:AU,3,FALSE)</f>
        <v>#N/A</v>
      </c>
      <c r="Z543" s="163">
        <f t="shared" si="52"/>
        <v>0</v>
      </c>
    </row>
    <row r="544" spans="2:26">
      <c r="B544" s="171">
        <v>543</v>
      </c>
      <c r="E544" s="169"/>
      <c r="F544" s="176"/>
      <c r="H544" s="173"/>
      <c r="I544" s="179"/>
      <c r="J544" s="179"/>
      <c r="L544" s="179"/>
      <c r="Q544">
        <f t="shared" si="48"/>
        <v>0</v>
      </c>
      <c r="R544">
        <f t="shared" si="49"/>
        <v>542</v>
      </c>
      <c r="S544">
        <f>IFERROR(SEARCH(Crewlist!$P$5,V544)+ROW()/100000,"")</f>
        <v>1.0054400000000001</v>
      </c>
      <c r="T544">
        <f t="shared" si="50"/>
        <v>543</v>
      </c>
      <c r="U544">
        <f t="shared" si="51"/>
        <v>0</v>
      </c>
      <c r="V544" t="str">
        <f t="shared" si="53"/>
        <v xml:space="preserve"> </v>
      </c>
      <c r="Y544" s="162" t="e">
        <f>VLOOKUP(B544,Crewlist!AS:AU,3,FALSE)</f>
        <v>#N/A</v>
      </c>
      <c r="Z544" s="163">
        <f t="shared" si="52"/>
        <v>0</v>
      </c>
    </row>
    <row r="545" spans="2:26">
      <c r="B545" s="202">
        <v>544</v>
      </c>
      <c r="E545" s="169"/>
      <c r="F545" s="176"/>
      <c r="H545" s="173"/>
      <c r="I545" s="179"/>
      <c r="J545" s="179"/>
      <c r="L545" s="179"/>
      <c r="Q545">
        <f t="shared" si="48"/>
        <v>0</v>
      </c>
      <c r="R545">
        <f t="shared" si="49"/>
        <v>543</v>
      </c>
      <c r="S545">
        <f>IFERROR(SEARCH(Crewlist!$P$5,V545)+ROW()/100000,"")</f>
        <v>1.00545</v>
      </c>
      <c r="T545">
        <f t="shared" si="50"/>
        <v>544</v>
      </c>
      <c r="U545">
        <f t="shared" si="51"/>
        <v>0</v>
      </c>
      <c r="V545" t="str">
        <f t="shared" si="53"/>
        <v xml:space="preserve"> </v>
      </c>
      <c r="Y545" s="162" t="e">
        <f>VLOOKUP(B545,Crewlist!AS:AU,3,FALSE)</f>
        <v>#N/A</v>
      </c>
      <c r="Z545" s="163">
        <f t="shared" si="52"/>
        <v>0</v>
      </c>
    </row>
    <row r="546" spans="2:26">
      <c r="B546" s="171">
        <v>545</v>
      </c>
      <c r="C546" s="169"/>
      <c r="D546" s="169"/>
      <c r="E546" s="169"/>
      <c r="F546" s="176"/>
      <c r="H546" s="173"/>
      <c r="I546" s="179"/>
      <c r="J546" s="179"/>
      <c r="L546" s="179"/>
      <c r="Q546">
        <f t="shared" si="48"/>
        <v>0</v>
      </c>
      <c r="R546">
        <f t="shared" si="49"/>
        <v>544</v>
      </c>
      <c r="S546">
        <f>IFERROR(SEARCH(Crewlist!$P$5,V546)+ROW()/100000,"")</f>
        <v>1.00546</v>
      </c>
      <c r="T546">
        <f t="shared" si="50"/>
        <v>545</v>
      </c>
      <c r="U546">
        <f t="shared" si="51"/>
        <v>0</v>
      </c>
      <c r="V546" t="str">
        <f t="shared" si="53"/>
        <v xml:space="preserve"> </v>
      </c>
      <c r="Y546" s="162" t="e">
        <f>VLOOKUP(B546,Crewlist!AS:AU,3,FALSE)</f>
        <v>#N/A</v>
      </c>
      <c r="Z546" s="163">
        <f t="shared" si="52"/>
        <v>0</v>
      </c>
    </row>
    <row r="547" spans="2:26">
      <c r="B547" s="171">
        <v>546</v>
      </c>
      <c r="C547" s="169"/>
      <c r="D547" s="169"/>
      <c r="E547" s="169"/>
      <c r="F547" s="176"/>
      <c r="H547" s="173"/>
      <c r="I547" s="179"/>
      <c r="J547" s="179"/>
      <c r="L547" s="179"/>
      <c r="Q547">
        <f t="shared" si="48"/>
        <v>0</v>
      </c>
      <c r="R547">
        <f t="shared" si="49"/>
        <v>545</v>
      </c>
      <c r="S547">
        <f>IFERROR(SEARCH(Crewlist!$P$5,V547)+ROW()/100000,"")</f>
        <v>1.0054700000000001</v>
      </c>
      <c r="T547">
        <f t="shared" si="50"/>
        <v>546</v>
      </c>
      <c r="U547">
        <f t="shared" si="51"/>
        <v>0</v>
      </c>
      <c r="V547" t="str">
        <f t="shared" si="53"/>
        <v xml:space="preserve"> </v>
      </c>
      <c r="Y547" s="162" t="e">
        <f>VLOOKUP(B547,Crewlist!AS:AU,3,FALSE)</f>
        <v>#N/A</v>
      </c>
      <c r="Z547" s="163">
        <f t="shared" si="52"/>
        <v>0</v>
      </c>
    </row>
    <row r="548" spans="2:26">
      <c r="B548" s="202">
        <v>547</v>
      </c>
      <c r="C548" s="169"/>
      <c r="D548" s="169"/>
      <c r="E548" s="169"/>
      <c r="F548" s="176"/>
      <c r="H548" s="169"/>
      <c r="I548" s="176"/>
      <c r="J548" s="176"/>
      <c r="K548" s="179"/>
      <c r="M548" s="180"/>
      <c r="Q548">
        <f t="shared" si="48"/>
        <v>0</v>
      </c>
      <c r="R548">
        <f t="shared" si="49"/>
        <v>546</v>
      </c>
      <c r="S548">
        <f>IFERROR(SEARCH(Crewlist!$P$5,V548)+ROW()/100000,"")</f>
        <v>1.0054799999999999</v>
      </c>
      <c r="T548">
        <f t="shared" si="50"/>
        <v>547</v>
      </c>
      <c r="U548">
        <f t="shared" si="51"/>
        <v>0</v>
      </c>
      <c r="V548" t="str">
        <f t="shared" si="53"/>
        <v xml:space="preserve"> </v>
      </c>
      <c r="Y548" s="162" t="e">
        <f>VLOOKUP(B548,Crewlist!AS:AU,3,FALSE)</f>
        <v>#N/A</v>
      </c>
      <c r="Z548" s="163">
        <f t="shared" si="52"/>
        <v>0</v>
      </c>
    </row>
    <row r="549" spans="2:26">
      <c r="B549" s="171">
        <v>548</v>
      </c>
      <c r="D549" s="169"/>
      <c r="E549" s="169"/>
      <c r="F549" s="176"/>
      <c r="H549" s="173"/>
      <c r="I549" s="174"/>
      <c r="J549" s="174"/>
      <c r="Q549">
        <f t="shared" si="48"/>
        <v>0</v>
      </c>
      <c r="R549">
        <f t="shared" si="49"/>
        <v>547</v>
      </c>
      <c r="S549">
        <f>IFERROR(SEARCH(Crewlist!$P$5,V549)+ROW()/100000,"")</f>
        <v>1.00549</v>
      </c>
      <c r="T549">
        <f t="shared" si="50"/>
        <v>548</v>
      </c>
      <c r="U549">
        <f t="shared" si="51"/>
        <v>0</v>
      </c>
      <c r="V549" t="str">
        <f t="shared" si="53"/>
        <v xml:space="preserve"> </v>
      </c>
      <c r="Y549" s="162" t="e">
        <f>VLOOKUP(B549,Crewlist!AS:AU,3,FALSE)</f>
        <v>#N/A</v>
      </c>
      <c r="Z549" s="163">
        <f t="shared" si="52"/>
        <v>0</v>
      </c>
    </row>
    <row r="550" spans="2:26">
      <c r="B550" s="171">
        <v>549</v>
      </c>
      <c r="E550" s="169"/>
      <c r="F550" s="176"/>
      <c r="H550" s="173"/>
      <c r="I550" s="174"/>
      <c r="J550" s="174"/>
      <c r="Q550">
        <f t="shared" si="48"/>
        <v>0</v>
      </c>
      <c r="R550">
        <f t="shared" si="49"/>
        <v>548</v>
      </c>
      <c r="S550">
        <f>IFERROR(SEARCH(Crewlist!$P$5,V550)+ROW()/100000,"")</f>
        <v>1.0055000000000001</v>
      </c>
      <c r="T550">
        <f t="shared" si="50"/>
        <v>549</v>
      </c>
      <c r="U550">
        <f t="shared" si="51"/>
        <v>0</v>
      </c>
      <c r="V550" t="str">
        <f t="shared" si="53"/>
        <v xml:space="preserve"> </v>
      </c>
      <c r="Y550" s="162" t="e">
        <f>VLOOKUP(B550,Crewlist!AS:AU,3,FALSE)</f>
        <v>#N/A</v>
      </c>
      <c r="Z550" s="163">
        <f t="shared" si="52"/>
        <v>0</v>
      </c>
    </row>
    <row r="551" spans="2:26">
      <c r="B551" s="202">
        <v>550</v>
      </c>
      <c r="E551" s="169"/>
      <c r="F551" s="176"/>
      <c r="H551" s="173"/>
      <c r="I551" s="174"/>
      <c r="J551" s="174"/>
      <c r="Q551">
        <f t="shared" si="48"/>
        <v>0</v>
      </c>
      <c r="R551">
        <f t="shared" si="49"/>
        <v>549</v>
      </c>
      <c r="S551">
        <f>IFERROR(SEARCH(Crewlist!$P$5,V551)+ROW()/100000,"")</f>
        <v>1.0055099999999999</v>
      </c>
      <c r="T551">
        <f t="shared" si="50"/>
        <v>550</v>
      </c>
      <c r="U551">
        <f t="shared" si="51"/>
        <v>0</v>
      </c>
      <c r="V551" t="str">
        <f t="shared" si="53"/>
        <v xml:space="preserve"> </v>
      </c>
      <c r="Y551" s="162" t="e">
        <f>VLOOKUP(B551,Crewlist!AS:AU,3,FALSE)</f>
        <v>#N/A</v>
      </c>
      <c r="Z551" s="163">
        <f t="shared" si="52"/>
        <v>0</v>
      </c>
    </row>
    <row r="552" spans="2:26">
      <c r="B552" s="171">
        <v>551</v>
      </c>
      <c r="D552" s="169"/>
      <c r="E552" s="169"/>
      <c r="F552" s="176"/>
      <c r="H552" s="173"/>
      <c r="I552" s="174"/>
      <c r="J552" s="174"/>
      <c r="Q552">
        <f t="shared" si="48"/>
        <v>0</v>
      </c>
      <c r="R552">
        <f t="shared" si="49"/>
        <v>550</v>
      </c>
      <c r="S552">
        <f>IFERROR(SEARCH(Crewlist!$P$5,V552)+ROW()/100000,"")</f>
        <v>1.00552</v>
      </c>
      <c r="T552">
        <f t="shared" si="50"/>
        <v>551</v>
      </c>
      <c r="U552">
        <f t="shared" si="51"/>
        <v>0</v>
      </c>
      <c r="V552" t="str">
        <f t="shared" si="53"/>
        <v xml:space="preserve"> </v>
      </c>
      <c r="Y552" s="162" t="e">
        <f>VLOOKUP(B552,Crewlist!AS:AU,3,FALSE)</f>
        <v>#N/A</v>
      </c>
      <c r="Z552" s="163">
        <f t="shared" si="52"/>
        <v>0</v>
      </c>
    </row>
    <row r="553" spans="2:26">
      <c r="B553" s="171">
        <v>552</v>
      </c>
      <c r="E553" s="169"/>
      <c r="F553" s="176"/>
      <c r="H553" s="173"/>
      <c r="I553" s="174"/>
      <c r="J553" s="174"/>
      <c r="Q553">
        <f t="shared" si="48"/>
        <v>0</v>
      </c>
      <c r="R553">
        <f t="shared" si="49"/>
        <v>551</v>
      </c>
      <c r="S553">
        <f>IFERROR(SEARCH(Crewlist!$P$5,V553)+ROW()/100000,"")</f>
        <v>1.00553</v>
      </c>
      <c r="T553">
        <f t="shared" si="50"/>
        <v>552</v>
      </c>
      <c r="U553">
        <f t="shared" si="51"/>
        <v>0</v>
      </c>
      <c r="V553" t="str">
        <f t="shared" si="53"/>
        <v xml:space="preserve"> </v>
      </c>
      <c r="Y553" s="162" t="e">
        <f>VLOOKUP(B553,Crewlist!AS:AU,3,FALSE)</f>
        <v>#N/A</v>
      </c>
      <c r="Z553" s="163">
        <f t="shared" si="52"/>
        <v>0</v>
      </c>
    </row>
    <row r="554" spans="2:26">
      <c r="B554" s="202">
        <v>553</v>
      </c>
      <c r="E554" s="169"/>
      <c r="F554" s="176"/>
      <c r="H554" s="173"/>
      <c r="I554" s="174"/>
      <c r="J554" s="174"/>
      <c r="Q554">
        <f t="shared" si="48"/>
        <v>0</v>
      </c>
      <c r="R554">
        <f t="shared" si="49"/>
        <v>552</v>
      </c>
      <c r="S554">
        <f>IFERROR(SEARCH(Crewlist!$P$5,V554)+ROW()/100000,"")</f>
        <v>1.0055400000000001</v>
      </c>
      <c r="T554">
        <f t="shared" si="50"/>
        <v>553</v>
      </c>
      <c r="U554">
        <f t="shared" si="51"/>
        <v>0</v>
      </c>
      <c r="V554" t="str">
        <f t="shared" si="53"/>
        <v xml:space="preserve"> </v>
      </c>
      <c r="Y554" s="162" t="e">
        <f>VLOOKUP(B554,Crewlist!AS:AU,3,FALSE)</f>
        <v>#N/A</v>
      </c>
      <c r="Z554" s="163">
        <f t="shared" si="52"/>
        <v>0</v>
      </c>
    </row>
    <row r="555" spans="2:26">
      <c r="B555" s="171">
        <v>554</v>
      </c>
      <c r="E555" s="169"/>
      <c r="F555" s="176"/>
      <c r="H555" s="173"/>
      <c r="I555" s="174"/>
      <c r="J555" s="174"/>
      <c r="Q555">
        <f t="shared" si="48"/>
        <v>0</v>
      </c>
      <c r="R555">
        <f t="shared" si="49"/>
        <v>553</v>
      </c>
      <c r="S555">
        <f>IFERROR(SEARCH(Crewlist!$P$5,V555)+ROW()/100000,"")</f>
        <v>1.0055499999999999</v>
      </c>
      <c r="T555">
        <f t="shared" si="50"/>
        <v>554</v>
      </c>
      <c r="U555">
        <f t="shared" si="51"/>
        <v>0</v>
      </c>
      <c r="V555" t="str">
        <f t="shared" si="53"/>
        <v xml:space="preserve"> </v>
      </c>
      <c r="Y555" s="162" t="e">
        <f>VLOOKUP(B555,Crewlist!AS:AU,3,FALSE)</f>
        <v>#N/A</v>
      </c>
      <c r="Z555" s="163">
        <f t="shared" si="52"/>
        <v>0</v>
      </c>
    </row>
    <row r="556" spans="2:26">
      <c r="B556" s="171">
        <v>555</v>
      </c>
      <c r="D556" s="169"/>
      <c r="E556" s="169"/>
      <c r="F556" s="176"/>
      <c r="H556" s="173"/>
      <c r="I556" s="174"/>
      <c r="J556" s="174"/>
      <c r="Q556">
        <f t="shared" si="48"/>
        <v>0</v>
      </c>
      <c r="R556">
        <f t="shared" si="49"/>
        <v>554</v>
      </c>
      <c r="S556">
        <f>IFERROR(SEARCH(Crewlist!$P$5,V556)+ROW()/100000,"")</f>
        <v>1.00556</v>
      </c>
      <c r="T556">
        <f t="shared" si="50"/>
        <v>555</v>
      </c>
      <c r="U556">
        <f t="shared" si="51"/>
        <v>0</v>
      </c>
      <c r="V556" t="str">
        <f t="shared" si="53"/>
        <v xml:space="preserve"> </v>
      </c>
      <c r="Y556" s="162" t="e">
        <f>VLOOKUP(B556,Crewlist!AS:AU,3,FALSE)</f>
        <v>#N/A</v>
      </c>
      <c r="Z556" s="163">
        <f t="shared" si="52"/>
        <v>0</v>
      </c>
    </row>
    <row r="557" spans="2:26">
      <c r="B557" s="202">
        <v>556</v>
      </c>
      <c r="E557" s="169"/>
      <c r="F557" s="176"/>
      <c r="H557" s="173"/>
      <c r="I557" s="174"/>
      <c r="J557" s="174"/>
      <c r="Q557">
        <f t="shared" si="48"/>
        <v>0</v>
      </c>
      <c r="R557">
        <f t="shared" si="49"/>
        <v>555</v>
      </c>
      <c r="S557">
        <f>IFERROR(SEARCH(Crewlist!$P$5,V557)+ROW()/100000,"")</f>
        <v>1.0055700000000001</v>
      </c>
      <c r="T557">
        <f t="shared" si="50"/>
        <v>556</v>
      </c>
      <c r="U557">
        <f t="shared" si="51"/>
        <v>0</v>
      </c>
      <c r="V557" t="str">
        <f t="shared" si="53"/>
        <v xml:space="preserve"> </v>
      </c>
      <c r="Y557" s="162" t="e">
        <f>VLOOKUP(B557,Crewlist!AS:AU,3,FALSE)</f>
        <v>#N/A</v>
      </c>
      <c r="Z557" s="163">
        <f t="shared" si="52"/>
        <v>0</v>
      </c>
    </row>
    <row r="558" spans="2:26">
      <c r="B558" s="171">
        <v>557</v>
      </c>
      <c r="E558" s="169"/>
      <c r="F558" s="176"/>
      <c r="H558" s="173"/>
      <c r="I558" s="174"/>
      <c r="J558" s="174"/>
      <c r="Q558">
        <f t="shared" si="48"/>
        <v>0</v>
      </c>
      <c r="R558">
        <f t="shared" si="49"/>
        <v>556</v>
      </c>
      <c r="S558">
        <f>IFERROR(SEARCH(Crewlist!$P$5,V558)+ROW()/100000,"")</f>
        <v>1.0055799999999999</v>
      </c>
      <c r="T558">
        <f t="shared" si="50"/>
        <v>557</v>
      </c>
      <c r="U558">
        <f t="shared" si="51"/>
        <v>0</v>
      </c>
      <c r="V558" t="str">
        <f t="shared" si="53"/>
        <v xml:space="preserve"> </v>
      </c>
      <c r="Y558" s="162" t="e">
        <f>VLOOKUP(B558,Crewlist!AS:AU,3,FALSE)</f>
        <v>#N/A</v>
      </c>
      <c r="Z558" s="163">
        <f t="shared" si="52"/>
        <v>0</v>
      </c>
    </row>
    <row r="559" spans="2:26">
      <c r="B559" s="171">
        <v>558</v>
      </c>
      <c r="D559" s="169"/>
      <c r="E559" s="169"/>
      <c r="F559" s="215"/>
      <c r="H559" s="173"/>
      <c r="I559" s="174"/>
      <c r="J559" s="174"/>
      <c r="L559" s="183"/>
      <c r="Q559">
        <f t="shared" si="48"/>
        <v>0</v>
      </c>
      <c r="R559">
        <f t="shared" si="49"/>
        <v>557</v>
      </c>
      <c r="S559">
        <f>IFERROR(SEARCH(Crewlist!$P$5,V559)+ROW()/100000,"")</f>
        <v>1.00559</v>
      </c>
      <c r="T559">
        <f t="shared" si="50"/>
        <v>558</v>
      </c>
      <c r="U559">
        <f t="shared" si="51"/>
        <v>0</v>
      </c>
      <c r="V559" t="str">
        <f t="shared" si="53"/>
        <v xml:space="preserve"> </v>
      </c>
      <c r="Y559" s="162" t="e">
        <f>VLOOKUP(B559,Crewlist!AS:AU,3,FALSE)</f>
        <v>#N/A</v>
      </c>
      <c r="Z559" s="163">
        <f t="shared" si="52"/>
        <v>0</v>
      </c>
    </row>
    <row r="560" spans="2:26">
      <c r="B560" s="202">
        <v>559</v>
      </c>
      <c r="D560" s="169"/>
      <c r="E560" s="169"/>
      <c r="F560" s="215"/>
      <c r="H560" s="173"/>
      <c r="I560" s="174"/>
      <c r="J560" s="174"/>
      <c r="K560" s="179"/>
      <c r="L560" s="183"/>
      <c r="Q560">
        <f t="shared" si="48"/>
        <v>0</v>
      </c>
      <c r="R560">
        <f t="shared" si="49"/>
        <v>558</v>
      </c>
      <c r="S560">
        <f>IFERROR(SEARCH(Crewlist!$P$5,V560)+ROW()/100000,"")</f>
        <v>1.0056</v>
      </c>
      <c r="T560">
        <f t="shared" si="50"/>
        <v>559</v>
      </c>
      <c r="U560">
        <f t="shared" si="51"/>
        <v>0</v>
      </c>
      <c r="V560" t="str">
        <f t="shared" si="53"/>
        <v xml:space="preserve"> </v>
      </c>
      <c r="Y560" s="162" t="e">
        <f>VLOOKUP(B560,Crewlist!AS:AU,3,FALSE)</f>
        <v>#N/A</v>
      </c>
      <c r="Z560" s="163">
        <f t="shared" si="52"/>
        <v>0</v>
      </c>
    </row>
    <row r="561" spans="2:26">
      <c r="B561" s="171">
        <v>560</v>
      </c>
      <c r="C561" s="169"/>
      <c r="D561" s="169"/>
      <c r="E561" s="169"/>
      <c r="F561" s="176"/>
      <c r="G561" s="177"/>
      <c r="H561" s="178"/>
      <c r="I561" s="179"/>
      <c r="J561" s="179"/>
      <c r="K561" s="179"/>
      <c r="L561" s="179"/>
      <c r="M561" s="180"/>
      <c r="Q561">
        <f t="shared" si="48"/>
        <v>0</v>
      </c>
      <c r="R561">
        <f t="shared" si="49"/>
        <v>559</v>
      </c>
      <c r="S561">
        <f>IFERROR(SEARCH(Crewlist!$P$5,V561)+ROW()/100000,"")</f>
        <v>1.0056099999999999</v>
      </c>
      <c r="T561">
        <f t="shared" si="50"/>
        <v>560</v>
      </c>
      <c r="U561">
        <f t="shared" si="51"/>
        <v>0</v>
      </c>
      <c r="V561" t="str">
        <f t="shared" si="53"/>
        <v xml:space="preserve"> </v>
      </c>
      <c r="Y561" s="162" t="e">
        <f>VLOOKUP(B561,Crewlist!AS:AU,3,FALSE)</f>
        <v>#N/A</v>
      </c>
      <c r="Z561" s="163">
        <f t="shared" si="52"/>
        <v>0</v>
      </c>
    </row>
    <row r="562" spans="2:26">
      <c r="B562" s="171">
        <v>561</v>
      </c>
      <c r="E562" s="169"/>
      <c r="F562" s="176"/>
      <c r="H562" s="173"/>
      <c r="I562" s="174"/>
      <c r="J562" s="174"/>
      <c r="Q562">
        <f t="shared" si="48"/>
        <v>0</v>
      </c>
      <c r="R562">
        <f t="shared" si="49"/>
        <v>560</v>
      </c>
      <c r="S562">
        <f>IFERROR(SEARCH(Crewlist!$P$5,V562)+ROW()/100000,"")</f>
        <v>1.00562</v>
      </c>
      <c r="T562">
        <f t="shared" si="50"/>
        <v>561</v>
      </c>
      <c r="U562">
        <f t="shared" si="51"/>
        <v>0</v>
      </c>
      <c r="V562" t="str">
        <f t="shared" si="53"/>
        <v xml:space="preserve"> </v>
      </c>
      <c r="Y562" s="162" t="e">
        <f>VLOOKUP(B562,Crewlist!AS:AU,3,FALSE)</f>
        <v>#N/A</v>
      </c>
      <c r="Z562" s="163">
        <f t="shared" si="52"/>
        <v>0</v>
      </c>
    </row>
    <row r="563" spans="2:26">
      <c r="B563" s="202">
        <v>562</v>
      </c>
      <c r="E563" s="169"/>
      <c r="F563" s="176"/>
      <c r="Q563">
        <f t="shared" si="48"/>
        <v>0</v>
      </c>
      <c r="R563">
        <f t="shared" si="49"/>
        <v>561</v>
      </c>
      <c r="S563">
        <f>IFERROR(SEARCH(Crewlist!$P$5,V563)+ROW()/100000,"")</f>
        <v>1.00563</v>
      </c>
      <c r="T563">
        <f t="shared" si="50"/>
        <v>562</v>
      </c>
      <c r="U563">
        <f t="shared" si="51"/>
        <v>0</v>
      </c>
      <c r="V563" t="str">
        <f t="shared" si="53"/>
        <v xml:space="preserve"> </v>
      </c>
      <c r="Y563" s="162" t="e">
        <f>VLOOKUP(B563,Crewlist!AS:AU,3,FALSE)</f>
        <v>#N/A</v>
      </c>
      <c r="Z563" s="163">
        <f t="shared" si="52"/>
        <v>0</v>
      </c>
    </row>
    <row r="564" spans="2:26">
      <c r="B564" s="171">
        <v>563</v>
      </c>
      <c r="E564" s="169"/>
      <c r="F564" s="176"/>
      <c r="H564" s="173"/>
      <c r="I564" s="174"/>
      <c r="J564" s="174"/>
      <c r="Q564">
        <f t="shared" si="48"/>
        <v>0</v>
      </c>
      <c r="R564">
        <f t="shared" si="49"/>
        <v>562</v>
      </c>
      <c r="S564">
        <f>IFERROR(SEARCH(Crewlist!$P$5,V564)+ROW()/100000,"")</f>
        <v>1.0056400000000001</v>
      </c>
      <c r="T564">
        <f t="shared" si="50"/>
        <v>563</v>
      </c>
      <c r="U564">
        <f t="shared" si="51"/>
        <v>0</v>
      </c>
      <c r="V564" t="str">
        <f t="shared" si="53"/>
        <v xml:space="preserve"> </v>
      </c>
      <c r="Y564" s="162" t="e">
        <f>VLOOKUP(B564,Crewlist!AS:AU,3,FALSE)</f>
        <v>#N/A</v>
      </c>
      <c r="Z564" s="163">
        <f t="shared" si="52"/>
        <v>0</v>
      </c>
    </row>
    <row r="565" spans="2:26">
      <c r="B565" s="171">
        <v>564</v>
      </c>
      <c r="C565" s="169"/>
      <c r="D565" s="169"/>
      <c r="E565" s="169"/>
      <c r="F565" s="176"/>
      <c r="G565" s="177"/>
      <c r="H565" s="178"/>
      <c r="I565" s="179"/>
      <c r="J565" s="179"/>
      <c r="Q565">
        <f t="shared" si="48"/>
        <v>0</v>
      </c>
      <c r="R565">
        <f t="shared" si="49"/>
        <v>563</v>
      </c>
      <c r="S565">
        <f>IFERROR(SEARCH(Crewlist!$P$5,V565)+ROW()/100000,"")</f>
        <v>1.0056499999999999</v>
      </c>
      <c r="T565">
        <f t="shared" si="50"/>
        <v>564</v>
      </c>
      <c r="U565">
        <f t="shared" si="51"/>
        <v>0</v>
      </c>
      <c r="V565" t="str">
        <f t="shared" si="53"/>
        <v xml:space="preserve"> </v>
      </c>
      <c r="Y565" s="162" t="e">
        <f>VLOOKUP(B565,Crewlist!AS:AU,3,FALSE)</f>
        <v>#N/A</v>
      </c>
      <c r="Z565" s="163">
        <f t="shared" si="52"/>
        <v>0</v>
      </c>
    </row>
    <row r="566" spans="2:26">
      <c r="B566" s="202">
        <v>565</v>
      </c>
      <c r="D566" s="169"/>
      <c r="E566" s="169"/>
      <c r="F566" s="176"/>
      <c r="H566" s="173"/>
      <c r="I566" s="174"/>
      <c r="J566" s="174"/>
      <c r="Q566">
        <f t="shared" si="48"/>
        <v>0</v>
      </c>
      <c r="R566">
        <f t="shared" si="49"/>
        <v>564</v>
      </c>
      <c r="S566">
        <f>IFERROR(SEARCH(Crewlist!$P$5,V566)+ROW()/100000,"")</f>
        <v>1.00566</v>
      </c>
      <c r="T566">
        <f t="shared" si="50"/>
        <v>565</v>
      </c>
      <c r="U566">
        <f t="shared" si="51"/>
        <v>0</v>
      </c>
      <c r="V566" t="str">
        <f t="shared" si="53"/>
        <v xml:space="preserve"> </v>
      </c>
      <c r="Y566" s="162" t="e">
        <f>VLOOKUP(B566,Crewlist!AS:AU,3,FALSE)</f>
        <v>#N/A</v>
      </c>
      <c r="Z566" s="163">
        <f t="shared" si="52"/>
        <v>0</v>
      </c>
    </row>
    <row r="567" spans="2:26">
      <c r="B567" s="171">
        <v>566</v>
      </c>
      <c r="E567" s="169"/>
      <c r="F567" s="176"/>
      <c r="H567" s="173"/>
      <c r="I567" s="174"/>
      <c r="J567" s="174"/>
      <c r="Q567">
        <f t="shared" si="48"/>
        <v>0</v>
      </c>
      <c r="R567">
        <f t="shared" si="49"/>
        <v>565</v>
      </c>
      <c r="S567">
        <f>IFERROR(SEARCH(Crewlist!$P$5,V567)+ROW()/100000,"")</f>
        <v>1.0056700000000001</v>
      </c>
      <c r="T567">
        <f t="shared" si="50"/>
        <v>566</v>
      </c>
      <c r="U567">
        <f t="shared" si="51"/>
        <v>0</v>
      </c>
      <c r="V567" t="str">
        <f t="shared" si="53"/>
        <v xml:space="preserve"> </v>
      </c>
      <c r="Y567" s="162" t="e">
        <f>VLOOKUP(B567,Crewlist!AS:AU,3,FALSE)</f>
        <v>#N/A</v>
      </c>
      <c r="Z567" s="163">
        <f t="shared" si="52"/>
        <v>0</v>
      </c>
    </row>
    <row r="568" spans="2:26">
      <c r="B568" s="171">
        <v>567</v>
      </c>
      <c r="C568" s="169"/>
      <c r="D568" s="169"/>
      <c r="E568" s="169"/>
      <c r="F568" s="176"/>
      <c r="H568" s="178"/>
      <c r="I568" s="179"/>
      <c r="J568" s="179"/>
      <c r="K568" s="179"/>
      <c r="L568" s="179"/>
      <c r="Q568">
        <f t="shared" si="48"/>
        <v>0</v>
      </c>
      <c r="R568">
        <f t="shared" si="49"/>
        <v>566</v>
      </c>
      <c r="S568">
        <f>IFERROR(SEARCH(Crewlist!$P$5,V568)+ROW()/100000,"")</f>
        <v>1.0056799999999999</v>
      </c>
      <c r="T568">
        <f t="shared" si="50"/>
        <v>567</v>
      </c>
      <c r="U568">
        <f t="shared" si="51"/>
        <v>0</v>
      </c>
      <c r="V568" t="str">
        <f t="shared" si="53"/>
        <v xml:space="preserve"> </v>
      </c>
      <c r="Y568" s="162" t="e">
        <f>VLOOKUP(B568,Crewlist!AS:AU,3,FALSE)</f>
        <v>#N/A</v>
      </c>
      <c r="Z568" s="163">
        <f t="shared" si="52"/>
        <v>0</v>
      </c>
    </row>
    <row r="569" spans="2:26">
      <c r="B569" s="202">
        <v>568</v>
      </c>
      <c r="C569" s="169"/>
      <c r="D569" s="169"/>
      <c r="E569" s="169"/>
      <c r="F569" s="176"/>
      <c r="H569" s="178"/>
      <c r="I569" s="179"/>
      <c r="J569" s="179"/>
      <c r="K569" s="179"/>
      <c r="L569" s="179"/>
      <c r="Q569">
        <f t="shared" si="48"/>
        <v>0</v>
      </c>
      <c r="R569">
        <f t="shared" si="49"/>
        <v>567</v>
      </c>
      <c r="S569">
        <f>IFERROR(SEARCH(Crewlist!$P$5,V569)+ROW()/100000,"")</f>
        <v>1.00569</v>
      </c>
      <c r="T569">
        <f t="shared" si="50"/>
        <v>568</v>
      </c>
      <c r="U569">
        <f t="shared" si="51"/>
        <v>0</v>
      </c>
      <c r="V569" t="str">
        <f t="shared" si="53"/>
        <v xml:space="preserve"> </v>
      </c>
      <c r="Y569" s="162" t="e">
        <f>VLOOKUP(B569,Crewlist!AS:AU,3,FALSE)</f>
        <v>#N/A</v>
      </c>
      <c r="Z569" s="163">
        <f t="shared" si="52"/>
        <v>0</v>
      </c>
    </row>
    <row r="570" spans="2:26">
      <c r="B570" s="171">
        <v>569</v>
      </c>
      <c r="C570" s="169"/>
      <c r="D570" s="169"/>
      <c r="E570" s="169"/>
      <c r="F570" s="176"/>
      <c r="H570" s="178"/>
      <c r="I570" s="179"/>
      <c r="J570" s="179"/>
      <c r="K570" s="179"/>
      <c r="L570" s="179"/>
      <c r="Q570">
        <f t="shared" si="48"/>
        <v>0</v>
      </c>
      <c r="R570">
        <f t="shared" si="49"/>
        <v>568</v>
      </c>
      <c r="S570">
        <f>IFERROR(SEARCH(Crewlist!$P$5,V570)+ROW()/100000,"")</f>
        <v>1.0057</v>
      </c>
      <c r="T570">
        <f t="shared" si="50"/>
        <v>569</v>
      </c>
      <c r="U570">
        <f t="shared" si="51"/>
        <v>0</v>
      </c>
      <c r="V570" t="str">
        <f t="shared" si="53"/>
        <v xml:space="preserve"> </v>
      </c>
      <c r="Y570" s="162" t="e">
        <f>VLOOKUP(B570,Crewlist!AS:AU,3,FALSE)</f>
        <v>#N/A</v>
      </c>
      <c r="Z570" s="163">
        <f t="shared" si="52"/>
        <v>0</v>
      </c>
    </row>
    <row r="571" spans="2:26">
      <c r="B571" s="171">
        <v>570</v>
      </c>
      <c r="C571" s="169"/>
      <c r="D571" s="169"/>
      <c r="E571" s="169"/>
      <c r="F571" s="176"/>
      <c r="H571" s="178"/>
      <c r="I571" s="179"/>
      <c r="J571" s="179"/>
      <c r="K571" s="179"/>
      <c r="L571" s="179"/>
      <c r="Q571">
        <f t="shared" si="48"/>
        <v>0</v>
      </c>
      <c r="R571">
        <f t="shared" si="49"/>
        <v>569</v>
      </c>
      <c r="S571">
        <f>IFERROR(SEARCH(Crewlist!$P$5,V571)+ROW()/100000,"")</f>
        <v>1.0057100000000001</v>
      </c>
      <c r="T571">
        <f t="shared" si="50"/>
        <v>570</v>
      </c>
      <c r="U571">
        <f t="shared" si="51"/>
        <v>0</v>
      </c>
      <c r="V571" t="str">
        <f t="shared" si="53"/>
        <v xml:space="preserve"> </v>
      </c>
      <c r="Y571" s="162" t="e">
        <f>VLOOKUP(B571,Crewlist!AS:AU,3,FALSE)</f>
        <v>#N/A</v>
      </c>
      <c r="Z571" s="163">
        <f t="shared" si="52"/>
        <v>0</v>
      </c>
    </row>
    <row r="572" spans="2:26">
      <c r="B572" s="202">
        <v>571</v>
      </c>
      <c r="H572" s="173"/>
      <c r="I572" s="174"/>
      <c r="J572" s="174"/>
      <c r="Q572">
        <f t="shared" si="48"/>
        <v>0</v>
      </c>
      <c r="R572">
        <f t="shared" si="49"/>
        <v>570</v>
      </c>
      <c r="S572">
        <f>IFERROR(SEARCH(Crewlist!$P$5,V572)+ROW()/100000,"")</f>
        <v>1.0057199999999999</v>
      </c>
      <c r="T572">
        <f t="shared" si="50"/>
        <v>571</v>
      </c>
      <c r="U572">
        <f t="shared" si="51"/>
        <v>0</v>
      </c>
      <c r="V572" t="str">
        <f t="shared" si="53"/>
        <v xml:space="preserve"> </v>
      </c>
      <c r="Y572" s="162" t="e">
        <f>VLOOKUP(B572,Crewlist!AS:AU,3,FALSE)</f>
        <v>#N/A</v>
      </c>
      <c r="Z572" s="163">
        <f t="shared" si="52"/>
        <v>0</v>
      </c>
    </row>
    <row r="573" spans="2:26">
      <c r="B573" s="171">
        <v>572</v>
      </c>
      <c r="H573" s="173"/>
      <c r="I573" s="174"/>
      <c r="J573" s="174"/>
      <c r="Q573">
        <f t="shared" si="48"/>
        <v>0</v>
      </c>
      <c r="R573">
        <f t="shared" si="49"/>
        <v>571</v>
      </c>
      <c r="S573">
        <f>IFERROR(SEARCH(Crewlist!$P$5,V573)+ROW()/100000,"")</f>
        <v>1.00573</v>
      </c>
      <c r="T573">
        <f t="shared" si="50"/>
        <v>572</v>
      </c>
      <c r="U573">
        <f t="shared" si="51"/>
        <v>0</v>
      </c>
      <c r="V573" t="str">
        <f t="shared" si="53"/>
        <v xml:space="preserve"> </v>
      </c>
      <c r="Y573" s="162" t="e">
        <f>VLOOKUP(B573,Crewlist!AS:AU,3,FALSE)</f>
        <v>#N/A</v>
      </c>
      <c r="Z573" s="163">
        <f t="shared" si="52"/>
        <v>0</v>
      </c>
    </row>
    <row r="574" spans="2:26">
      <c r="B574" s="171">
        <v>573</v>
      </c>
      <c r="H574" s="173"/>
      <c r="I574" s="174"/>
      <c r="J574" s="174"/>
      <c r="Q574">
        <f t="shared" si="48"/>
        <v>0</v>
      </c>
      <c r="R574">
        <f t="shared" si="49"/>
        <v>572</v>
      </c>
      <c r="S574">
        <f>IFERROR(SEARCH(Crewlist!$P$5,V574)+ROW()/100000,"")</f>
        <v>1.0057400000000001</v>
      </c>
      <c r="T574">
        <f t="shared" si="50"/>
        <v>573</v>
      </c>
      <c r="U574">
        <f t="shared" si="51"/>
        <v>0</v>
      </c>
      <c r="V574" t="str">
        <f t="shared" si="53"/>
        <v xml:space="preserve"> </v>
      </c>
      <c r="Y574" s="162" t="e">
        <f>VLOOKUP(B574,Crewlist!AS:AU,3,FALSE)</f>
        <v>#N/A</v>
      </c>
      <c r="Z574" s="163">
        <f t="shared" si="52"/>
        <v>0</v>
      </c>
    </row>
    <row r="575" spans="2:26">
      <c r="B575" s="202">
        <v>574</v>
      </c>
      <c r="C575" s="169"/>
      <c r="D575" s="169"/>
      <c r="E575" s="169"/>
      <c r="F575" s="215"/>
      <c r="H575" s="178"/>
      <c r="I575" s="179"/>
      <c r="J575" s="179"/>
      <c r="K575" s="179"/>
      <c r="L575" s="215"/>
      <c r="Q575">
        <f t="shared" si="48"/>
        <v>0</v>
      </c>
      <c r="R575">
        <f t="shared" si="49"/>
        <v>573</v>
      </c>
      <c r="S575">
        <f>IFERROR(SEARCH(Crewlist!$P$5,V575)+ROW()/100000,"")</f>
        <v>1.0057499999999999</v>
      </c>
      <c r="T575">
        <f t="shared" si="50"/>
        <v>574</v>
      </c>
      <c r="U575">
        <f t="shared" si="51"/>
        <v>0</v>
      </c>
      <c r="V575" t="str">
        <f t="shared" si="53"/>
        <v xml:space="preserve"> </v>
      </c>
      <c r="Y575" s="162" t="e">
        <f>VLOOKUP(B575,Crewlist!AS:AU,3,FALSE)</f>
        <v>#N/A</v>
      </c>
      <c r="Z575" s="163">
        <f t="shared" si="52"/>
        <v>0</v>
      </c>
    </row>
    <row r="576" spans="2:26">
      <c r="B576" s="171">
        <v>575</v>
      </c>
      <c r="F576" s="183"/>
      <c r="H576" s="173"/>
      <c r="I576" s="174"/>
      <c r="J576" s="174"/>
      <c r="L576" s="183"/>
      <c r="Q576">
        <f t="shared" si="48"/>
        <v>0</v>
      </c>
      <c r="R576">
        <f t="shared" si="49"/>
        <v>574</v>
      </c>
      <c r="S576">
        <f>IFERROR(SEARCH(Crewlist!$P$5,V576)+ROW()/100000,"")</f>
        <v>1.00576</v>
      </c>
      <c r="T576">
        <f t="shared" si="50"/>
        <v>575</v>
      </c>
      <c r="U576">
        <f t="shared" si="51"/>
        <v>0</v>
      </c>
      <c r="V576" t="str">
        <f t="shared" si="53"/>
        <v xml:space="preserve"> </v>
      </c>
      <c r="Y576" s="162" t="e">
        <f>VLOOKUP(B576,Crewlist!AS:AU,3,FALSE)</f>
        <v>#N/A</v>
      </c>
      <c r="Z576" s="163">
        <f t="shared" si="52"/>
        <v>0</v>
      </c>
    </row>
    <row r="577" spans="2:26">
      <c r="B577" s="171">
        <v>576</v>
      </c>
      <c r="H577" s="173"/>
      <c r="I577" s="174"/>
      <c r="J577" s="174"/>
      <c r="Q577">
        <f t="shared" ref="Q577:Q640" si="54">IF(C577&lt;&gt; "",B577,0)</f>
        <v>0</v>
      </c>
      <c r="R577">
        <f t="shared" si="49"/>
        <v>575</v>
      </c>
      <c r="S577">
        <f>IFERROR(SEARCH(Crewlist!$P$5,V577)+ROW()/100000,"")</f>
        <v>1.0057700000000001</v>
      </c>
      <c r="T577">
        <f t="shared" si="50"/>
        <v>576</v>
      </c>
      <c r="U577">
        <f t="shared" si="51"/>
        <v>0</v>
      </c>
      <c r="V577" t="str">
        <f t="shared" si="53"/>
        <v xml:space="preserve"> </v>
      </c>
      <c r="Y577" s="162" t="e">
        <f>VLOOKUP(B577,Crewlist!AS:AU,3,FALSE)</f>
        <v>#N/A</v>
      </c>
      <c r="Z577" s="163">
        <f t="shared" si="52"/>
        <v>0</v>
      </c>
    </row>
    <row r="578" spans="2:26">
      <c r="B578" s="202">
        <v>577</v>
      </c>
      <c r="E578" s="169"/>
      <c r="F578" s="176"/>
      <c r="H578" s="173"/>
      <c r="I578" s="179"/>
      <c r="J578" s="179"/>
      <c r="L578" s="179"/>
      <c r="Q578">
        <f t="shared" si="54"/>
        <v>0</v>
      </c>
      <c r="R578">
        <f t="shared" ref="R578:R641" si="55">IFERROR(RANK(S578,$S$2:$S$1998,1),"")</f>
        <v>576</v>
      </c>
      <c r="S578">
        <f>IFERROR(SEARCH(Crewlist!$P$5,V578)+ROW()/100000,"")</f>
        <v>1.0057799999999999</v>
      </c>
      <c r="T578">
        <f t="shared" ref="T578:T641" si="56">B578</f>
        <v>577</v>
      </c>
      <c r="U578">
        <f t="shared" ref="U578:U641" si="57">C578</f>
        <v>0</v>
      </c>
      <c r="V578" t="str">
        <f t="shared" si="53"/>
        <v xml:space="preserve"> </v>
      </c>
      <c r="Y578" s="162" t="e">
        <f>VLOOKUP(B578,Crewlist!AS:AU,3,FALSE)</f>
        <v>#N/A</v>
      </c>
      <c r="Z578" s="163">
        <f t="shared" ref="Z578:Z641" si="58">IF(ISNUMBER(SEARCH("",Y578)),Y578,N578)</f>
        <v>0</v>
      </c>
    </row>
    <row r="579" spans="2:26">
      <c r="B579" s="171">
        <v>578</v>
      </c>
      <c r="E579" s="169"/>
      <c r="F579" s="176"/>
      <c r="H579" s="173"/>
      <c r="I579" s="179"/>
      <c r="J579" s="179"/>
      <c r="K579" s="181"/>
      <c r="L579" s="179"/>
      <c r="M579" s="182"/>
      <c r="Q579">
        <f t="shared" si="54"/>
        <v>0</v>
      </c>
      <c r="R579">
        <f t="shared" si="55"/>
        <v>577</v>
      </c>
      <c r="S579">
        <f>IFERROR(SEARCH(Crewlist!$P$5,V579)+ROW()/100000,"")</f>
        <v>1.00579</v>
      </c>
      <c r="T579">
        <f t="shared" si="56"/>
        <v>578</v>
      </c>
      <c r="U579">
        <f t="shared" si="57"/>
        <v>0</v>
      </c>
      <c r="V579" t="str">
        <f t="shared" ref="V579:V642" si="59">CONCATENATE(C579," ",D579)</f>
        <v xml:space="preserve"> </v>
      </c>
      <c r="Y579" s="162" t="e">
        <f>VLOOKUP(B579,Crewlist!AS:AU,3,FALSE)</f>
        <v>#N/A</v>
      </c>
      <c r="Z579" s="163">
        <f t="shared" si="58"/>
        <v>0</v>
      </c>
    </row>
    <row r="580" spans="2:26">
      <c r="B580" s="171">
        <v>579</v>
      </c>
      <c r="C580" s="169"/>
      <c r="D580" s="169"/>
      <c r="E580" s="169"/>
      <c r="F580" s="176"/>
      <c r="H580" s="178"/>
      <c r="I580" s="179"/>
      <c r="J580" s="179"/>
      <c r="L580" s="179"/>
      <c r="Q580">
        <f t="shared" si="54"/>
        <v>0</v>
      </c>
      <c r="R580">
        <f t="shared" si="55"/>
        <v>578</v>
      </c>
      <c r="S580">
        <f>IFERROR(SEARCH(Crewlist!$P$5,V580)+ROW()/100000,"")</f>
        <v>1.0058</v>
      </c>
      <c r="T580">
        <f t="shared" si="56"/>
        <v>579</v>
      </c>
      <c r="U580">
        <f t="shared" si="57"/>
        <v>0</v>
      </c>
      <c r="V580" t="str">
        <f t="shared" si="59"/>
        <v xml:space="preserve"> </v>
      </c>
      <c r="Y580" s="162" t="e">
        <f>VLOOKUP(B580,Crewlist!AS:AU,3,FALSE)</f>
        <v>#N/A</v>
      </c>
      <c r="Z580" s="163">
        <f t="shared" si="58"/>
        <v>0</v>
      </c>
    </row>
    <row r="581" spans="2:26">
      <c r="B581" s="202">
        <v>580</v>
      </c>
      <c r="C581" s="169"/>
      <c r="D581" s="169"/>
      <c r="E581" s="169"/>
      <c r="F581" s="215"/>
      <c r="G581" s="177"/>
      <c r="H581" s="178"/>
      <c r="I581" s="179"/>
      <c r="J581" s="179"/>
      <c r="K581" s="179"/>
      <c r="L581" s="179"/>
      <c r="M581" s="180"/>
      <c r="Q581">
        <f t="shared" si="54"/>
        <v>0</v>
      </c>
      <c r="R581">
        <f t="shared" si="55"/>
        <v>579</v>
      </c>
      <c r="S581">
        <f>IFERROR(SEARCH(Crewlist!$P$5,V581)+ROW()/100000,"")</f>
        <v>1.0058100000000001</v>
      </c>
      <c r="T581">
        <f t="shared" si="56"/>
        <v>580</v>
      </c>
      <c r="U581">
        <f t="shared" si="57"/>
        <v>0</v>
      </c>
      <c r="V581" t="str">
        <f t="shared" si="59"/>
        <v xml:space="preserve"> </v>
      </c>
      <c r="Y581" s="162" t="e">
        <f>VLOOKUP(B581,Crewlist!AS:AU,3,FALSE)</f>
        <v>#N/A</v>
      </c>
      <c r="Z581" s="163">
        <f t="shared" si="58"/>
        <v>0</v>
      </c>
    </row>
    <row r="582" spans="2:26">
      <c r="B582" s="171">
        <v>581</v>
      </c>
      <c r="E582" s="169"/>
      <c r="F582" s="176"/>
      <c r="H582" s="173"/>
      <c r="I582" s="179"/>
      <c r="J582" s="179"/>
      <c r="L582" s="179"/>
      <c r="Q582">
        <f t="shared" si="54"/>
        <v>0</v>
      </c>
      <c r="R582">
        <f t="shared" si="55"/>
        <v>580</v>
      </c>
      <c r="S582">
        <f>IFERROR(SEARCH(Crewlist!$P$5,V582)+ROW()/100000,"")</f>
        <v>1.0058199999999999</v>
      </c>
      <c r="T582">
        <f t="shared" si="56"/>
        <v>581</v>
      </c>
      <c r="U582">
        <f t="shared" si="57"/>
        <v>0</v>
      </c>
      <c r="V582" t="str">
        <f t="shared" si="59"/>
        <v xml:space="preserve"> </v>
      </c>
      <c r="Y582" s="162" t="e">
        <f>VLOOKUP(B582,Crewlist!AS:AU,3,FALSE)</f>
        <v>#N/A</v>
      </c>
      <c r="Z582" s="163">
        <f t="shared" si="58"/>
        <v>0</v>
      </c>
    </row>
    <row r="583" spans="2:26">
      <c r="B583" s="171">
        <v>582</v>
      </c>
      <c r="E583" s="169"/>
      <c r="F583" s="176"/>
      <c r="H583" s="173"/>
      <c r="I583" s="179"/>
      <c r="J583" s="179"/>
      <c r="L583" s="179"/>
      <c r="Q583">
        <f t="shared" si="54"/>
        <v>0</v>
      </c>
      <c r="R583">
        <f t="shared" si="55"/>
        <v>581</v>
      </c>
      <c r="S583">
        <f>IFERROR(SEARCH(Crewlist!$P$5,V583)+ROW()/100000,"")</f>
        <v>1.00583</v>
      </c>
      <c r="T583">
        <f t="shared" si="56"/>
        <v>582</v>
      </c>
      <c r="U583">
        <f t="shared" si="57"/>
        <v>0</v>
      </c>
      <c r="V583" t="str">
        <f t="shared" si="59"/>
        <v xml:space="preserve"> </v>
      </c>
      <c r="Y583" s="162" t="e">
        <f>VLOOKUP(B583,Crewlist!AS:AU,3,FALSE)</f>
        <v>#N/A</v>
      </c>
      <c r="Z583" s="163">
        <f t="shared" si="58"/>
        <v>0</v>
      </c>
    </row>
    <row r="584" spans="2:26">
      <c r="B584" s="202">
        <v>583</v>
      </c>
      <c r="C584" s="169"/>
      <c r="D584" s="169"/>
      <c r="E584" s="169"/>
      <c r="F584" s="176"/>
      <c r="H584" s="178"/>
      <c r="I584" s="179"/>
      <c r="J584" s="179"/>
      <c r="L584" s="179"/>
      <c r="Q584">
        <f t="shared" si="54"/>
        <v>0</v>
      </c>
      <c r="R584">
        <f t="shared" si="55"/>
        <v>582</v>
      </c>
      <c r="S584">
        <f>IFERROR(SEARCH(Crewlist!$P$5,V584)+ROW()/100000,"")</f>
        <v>1.0058400000000001</v>
      </c>
      <c r="T584">
        <f t="shared" si="56"/>
        <v>583</v>
      </c>
      <c r="U584">
        <f t="shared" si="57"/>
        <v>0</v>
      </c>
      <c r="V584" t="str">
        <f t="shared" si="59"/>
        <v xml:space="preserve"> </v>
      </c>
      <c r="Y584" s="162" t="e">
        <f>VLOOKUP(B584,Crewlist!AS:AU,3,FALSE)</f>
        <v>#N/A</v>
      </c>
      <c r="Z584" s="163">
        <f t="shared" si="58"/>
        <v>0</v>
      </c>
    </row>
    <row r="585" spans="2:26">
      <c r="B585" s="171">
        <v>584</v>
      </c>
      <c r="D585" s="169"/>
      <c r="E585" s="169"/>
      <c r="F585" s="176"/>
      <c r="H585" s="178"/>
      <c r="I585" s="179"/>
      <c r="J585" s="179"/>
      <c r="L585" s="179"/>
      <c r="Q585">
        <f t="shared" si="54"/>
        <v>0</v>
      </c>
      <c r="R585">
        <f t="shared" si="55"/>
        <v>583</v>
      </c>
      <c r="S585">
        <f>IFERROR(SEARCH(Crewlist!$P$5,V585)+ROW()/100000,"")</f>
        <v>1.0058499999999999</v>
      </c>
      <c r="T585">
        <f t="shared" si="56"/>
        <v>584</v>
      </c>
      <c r="U585">
        <f t="shared" si="57"/>
        <v>0</v>
      </c>
      <c r="V585" t="str">
        <f t="shared" si="59"/>
        <v xml:space="preserve"> </v>
      </c>
      <c r="Y585" s="162" t="e">
        <f>VLOOKUP(B585,Crewlist!AS:AU,3,FALSE)</f>
        <v>#N/A</v>
      </c>
      <c r="Z585" s="163">
        <f t="shared" si="58"/>
        <v>0</v>
      </c>
    </row>
    <row r="586" spans="2:26">
      <c r="B586" s="171">
        <v>585</v>
      </c>
      <c r="C586" s="169"/>
      <c r="D586" s="169"/>
      <c r="E586" s="169"/>
      <c r="F586" s="176"/>
      <c r="G586" s="177"/>
      <c r="H586" s="178"/>
      <c r="I586" s="179"/>
      <c r="J586" s="179"/>
      <c r="K586" s="179"/>
      <c r="L586" s="179"/>
      <c r="M586" s="180"/>
      <c r="Q586">
        <f t="shared" si="54"/>
        <v>0</v>
      </c>
      <c r="R586">
        <f t="shared" si="55"/>
        <v>584</v>
      </c>
      <c r="S586">
        <f>IFERROR(SEARCH(Crewlist!$P$5,V586)+ROW()/100000,"")</f>
        <v>1.00586</v>
      </c>
      <c r="T586">
        <f t="shared" si="56"/>
        <v>585</v>
      </c>
      <c r="U586">
        <f t="shared" si="57"/>
        <v>0</v>
      </c>
      <c r="V586" t="str">
        <f t="shared" si="59"/>
        <v xml:space="preserve"> </v>
      </c>
      <c r="Y586" s="162" t="e">
        <f>VLOOKUP(B586,Crewlist!AS:AU,3,FALSE)</f>
        <v>#N/A</v>
      </c>
      <c r="Z586" s="163">
        <f t="shared" si="58"/>
        <v>0</v>
      </c>
    </row>
    <row r="587" spans="2:26">
      <c r="B587" s="202">
        <v>586</v>
      </c>
      <c r="E587" s="169"/>
      <c r="F587" s="215"/>
      <c r="H587" s="178"/>
      <c r="I587" s="179"/>
      <c r="J587" s="179"/>
      <c r="L587" s="215"/>
      <c r="Q587">
        <f t="shared" si="54"/>
        <v>0</v>
      </c>
      <c r="R587">
        <f t="shared" si="55"/>
        <v>585</v>
      </c>
      <c r="S587">
        <f>IFERROR(SEARCH(Crewlist!$P$5,V587)+ROW()/100000,"")</f>
        <v>1.00587</v>
      </c>
      <c r="T587">
        <f t="shared" si="56"/>
        <v>586</v>
      </c>
      <c r="U587">
        <f t="shared" si="57"/>
        <v>0</v>
      </c>
      <c r="V587" t="str">
        <f t="shared" si="59"/>
        <v xml:space="preserve"> </v>
      </c>
      <c r="Y587" s="162" t="e">
        <f>VLOOKUP(B587,Crewlist!AS:AU,3,FALSE)</f>
        <v>#N/A</v>
      </c>
      <c r="Z587" s="163">
        <f t="shared" si="58"/>
        <v>0</v>
      </c>
    </row>
    <row r="588" spans="2:26">
      <c r="B588" s="171">
        <v>587</v>
      </c>
      <c r="H588" s="178"/>
      <c r="I588" s="179"/>
      <c r="J588" s="179"/>
      <c r="L588" s="179"/>
      <c r="Q588">
        <f t="shared" si="54"/>
        <v>0</v>
      </c>
      <c r="R588">
        <f t="shared" si="55"/>
        <v>586</v>
      </c>
      <c r="S588">
        <f>IFERROR(SEARCH(Crewlist!$P$5,V588)+ROW()/100000,"")</f>
        <v>1.0058800000000001</v>
      </c>
      <c r="T588">
        <f t="shared" si="56"/>
        <v>587</v>
      </c>
      <c r="U588">
        <f t="shared" si="57"/>
        <v>0</v>
      </c>
      <c r="V588" t="str">
        <f t="shared" si="59"/>
        <v xml:space="preserve"> </v>
      </c>
      <c r="Y588" s="162" t="e">
        <f>VLOOKUP(B588,Crewlist!AS:AU,3,FALSE)</f>
        <v>#N/A</v>
      </c>
      <c r="Z588" s="163">
        <f t="shared" si="58"/>
        <v>0</v>
      </c>
    </row>
    <row r="589" spans="2:26">
      <c r="B589" s="171">
        <v>588</v>
      </c>
      <c r="C589" s="169"/>
      <c r="D589" s="169"/>
      <c r="E589" s="169"/>
      <c r="F589" s="176"/>
      <c r="G589" s="177"/>
      <c r="H589" s="178"/>
      <c r="I589" s="179"/>
      <c r="J589" s="179"/>
      <c r="K589" s="179"/>
      <c r="L589" s="179"/>
      <c r="M589" s="180"/>
      <c r="Q589">
        <f t="shared" si="54"/>
        <v>0</v>
      </c>
      <c r="R589">
        <f t="shared" si="55"/>
        <v>587</v>
      </c>
      <c r="S589">
        <f>IFERROR(SEARCH(Crewlist!$P$5,V589)+ROW()/100000,"")</f>
        <v>1.00589</v>
      </c>
      <c r="T589">
        <f t="shared" si="56"/>
        <v>588</v>
      </c>
      <c r="U589">
        <f t="shared" si="57"/>
        <v>0</v>
      </c>
      <c r="V589" t="str">
        <f t="shared" si="59"/>
        <v xml:space="preserve"> </v>
      </c>
      <c r="Y589" s="162" t="e">
        <f>VLOOKUP(B589,Crewlist!AS:AU,3,FALSE)</f>
        <v>#N/A</v>
      </c>
      <c r="Z589" s="163">
        <f t="shared" si="58"/>
        <v>0</v>
      </c>
    </row>
    <row r="590" spans="2:26">
      <c r="B590" s="202">
        <v>589</v>
      </c>
      <c r="E590" s="169"/>
      <c r="F590" s="176"/>
      <c r="H590" s="173"/>
      <c r="I590" s="174"/>
      <c r="J590" s="179"/>
      <c r="L590" s="179"/>
      <c r="Q590">
        <f t="shared" si="54"/>
        <v>0</v>
      </c>
      <c r="R590">
        <f t="shared" si="55"/>
        <v>588</v>
      </c>
      <c r="S590">
        <f>IFERROR(SEARCH(Crewlist!$P$5,V590)+ROW()/100000,"")</f>
        <v>1.0059</v>
      </c>
      <c r="T590">
        <f t="shared" si="56"/>
        <v>589</v>
      </c>
      <c r="U590">
        <f t="shared" si="57"/>
        <v>0</v>
      </c>
      <c r="V590" t="str">
        <f t="shared" si="59"/>
        <v xml:space="preserve"> </v>
      </c>
      <c r="Y590" s="162" t="e">
        <f>VLOOKUP(B590,Crewlist!AS:AU,3,FALSE)</f>
        <v>#N/A</v>
      </c>
      <c r="Z590" s="163">
        <f t="shared" si="58"/>
        <v>0</v>
      </c>
    </row>
    <row r="591" spans="2:26">
      <c r="B591" s="171">
        <v>590</v>
      </c>
      <c r="E591" s="169"/>
      <c r="F591" s="176"/>
      <c r="H591" s="173"/>
      <c r="I591" s="179"/>
      <c r="J591" s="179"/>
      <c r="K591" s="181"/>
      <c r="L591" s="179"/>
      <c r="M591" s="182"/>
      <c r="Q591">
        <f t="shared" si="54"/>
        <v>0</v>
      </c>
      <c r="R591">
        <f t="shared" si="55"/>
        <v>589</v>
      </c>
      <c r="S591">
        <f>IFERROR(SEARCH(Crewlist!$P$5,V591)+ROW()/100000,"")</f>
        <v>1.0059100000000001</v>
      </c>
      <c r="T591">
        <f t="shared" si="56"/>
        <v>590</v>
      </c>
      <c r="U591">
        <f t="shared" si="57"/>
        <v>0</v>
      </c>
      <c r="V591" t="str">
        <f t="shared" si="59"/>
        <v xml:space="preserve"> </v>
      </c>
      <c r="Y591" s="162" t="e">
        <f>VLOOKUP(B591,Crewlist!AS:AU,3,FALSE)</f>
        <v>#N/A</v>
      </c>
      <c r="Z591" s="163">
        <f t="shared" si="58"/>
        <v>0</v>
      </c>
    </row>
    <row r="592" spans="2:26">
      <c r="B592" s="171">
        <v>591</v>
      </c>
      <c r="E592" s="169"/>
      <c r="F592" s="176"/>
      <c r="H592" s="173"/>
      <c r="I592" s="179"/>
      <c r="J592" s="179"/>
      <c r="L592" s="179"/>
      <c r="Q592">
        <f t="shared" si="54"/>
        <v>0</v>
      </c>
      <c r="R592">
        <f t="shared" si="55"/>
        <v>590</v>
      </c>
      <c r="S592">
        <f>IFERROR(SEARCH(Crewlist!$P$5,V592)+ROW()/100000,"")</f>
        <v>1.0059199999999999</v>
      </c>
      <c r="T592">
        <f t="shared" si="56"/>
        <v>591</v>
      </c>
      <c r="U592">
        <f t="shared" si="57"/>
        <v>0</v>
      </c>
      <c r="V592" t="str">
        <f t="shared" si="59"/>
        <v xml:space="preserve"> </v>
      </c>
      <c r="Y592" s="162" t="e">
        <f>VLOOKUP(B592,Crewlist!AS:AU,3,FALSE)</f>
        <v>#N/A</v>
      </c>
      <c r="Z592" s="163">
        <f t="shared" si="58"/>
        <v>0</v>
      </c>
    </row>
    <row r="593" spans="2:26">
      <c r="B593" s="202">
        <v>592</v>
      </c>
      <c r="E593" s="169"/>
      <c r="F593" s="176"/>
      <c r="H593" s="173"/>
      <c r="I593" s="179"/>
      <c r="J593" s="179"/>
      <c r="L593" s="179"/>
      <c r="Q593">
        <f t="shared" si="54"/>
        <v>0</v>
      </c>
      <c r="R593">
        <f t="shared" si="55"/>
        <v>591</v>
      </c>
      <c r="S593">
        <f>IFERROR(SEARCH(Crewlist!$P$5,V593)+ROW()/100000,"")</f>
        <v>1.00593</v>
      </c>
      <c r="T593">
        <f t="shared" si="56"/>
        <v>592</v>
      </c>
      <c r="U593">
        <f t="shared" si="57"/>
        <v>0</v>
      </c>
      <c r="V593" t="str">
        <f t="shared" si="59"/>
        <v xml:space="preserve"> </v>
      </c>
      <c r="Y593" s="162" t="e">
        <f>VLOOKUP(B593,Crewlist!AS:AU,3,FALSE)</f>
        <v>#N/A</v>
      </c>
      <c r="Z593" s="163">
        <f t="shared" si="58"/>
        <v>0</v>
      </c>
    </row>
    <row r="594" spans="2:26">
      <c r="B594" s="171">
        <v>593</v>
      </c>
      <c r="C594" s="169"/>
      <c r="D594" s="169"/>
      <c r="E594" s="169"/>
      <c r="F594" s="176"/>
      <c r="G594" s="177"/>
      <c r="H594" s="178"/>
      <c r="I594" s="179"/>
      <c r="J594" s="179"/>
      <c r="K594" s="179"/>
      <c r="L594" s="179"/>
      <c r="M594" s="180"/>
      <c r="Q594">
        <f t="shared" si="54"/>
        <v>0</v>
      </c>
      <c r="R594">
        <f t="shared" si="55"/>
        <v>592</v>
      </c>
      <c r="S594">
        <f>IFERROR(SEARCH(Crewlist!$P$5,V594)+ROW()/100000,"")</f>
        <v>1.0059400000000001</v>
      </c>
      <c r="T594">
        <f t="shared" si="56"/>
        <v>593</v>
      </c>
      <c r="U594">
        <f t="shared" si="57"/>
        <v>0</v>
      </c>
      <c r="V594" t="str">
        <f t="shared" si="59"/>
        <v xml:space="preserve"> </v>
      </c>
      <c r="Y594" s="162" t="e">
        <f>VLOOKUP(B594,Crewlist!AS:AU,3,FALSE)</f>
        <v>#N/A</v>
      </c>
      <c r="Z594" s="163">
        <f t="shared" si="58"/>
        <v>0</v>
      </c>
    </row>
    <row r="595" spans="2:26">
      <c r="B595" s="171">
        <v>594</v>
      </c>
      <c r="C595" s="169"/>
      <c r="D595" s="169"/>
      <c r="E595" s="169"/>
      <c r="F595" s="176"/>
      <c r="H595" s="178"/>
      <c r="I595" s="179"/>
      <c r="J595" s="179"/>
      <c r="K595" s="179"/>
      <c r="L595" s="179"/>
      <c r="Q595">
        <f t="shared" si="54"/>
        <v>0</v>
      </c>
      <c r="R595">
        <f t="shared" si="55"/>
        <v>593</v>
      </c>
      <c r="S595">
        <f>IFERROR(SEARCH(Crewlist!$P$5,V595)+ROW()/100000,"")</f>
        <v>1.0059499999999999</v>
      </c>
      <c r="T595">
        <f t="shared" si="56"/>
        <v>594</v>
      </c>
      <c r="U595">
        <f t="shared" si="57"/>
        <v>0</v>
      </c>
      <c r="V595" t="str">
        <f t="shared" si="59"/>
        <v xml:space="preserve"> </v>
      </c>
      <c r="Y595" s="162" t="e">
        <f>VLOOKUP(B595,Crewlist!AS:AU,3,FALSE)</f>
        <v>#N/A</v>
      </c>
      <c r="Z595" s="163">
        <f t="shared" si="58"/>
        <v>0</v>
      </c>
    </row>
    <row r="596" spans="2:26">
      <c r="B596" s="202">
        <v>595</v>
      </c>
      <c r="E596" s="169"/>
      <c r="F596" s="176"/>
      <c r="H596" s="178"/>
      <c r="I596" s="179"/>
      <c r="J596" s="179"/>
      <c r="L596" s="179"/>
      <c r="Q596">
        <f t="shared" si="54"/>
        <v>0</v>
      </c>
      <c r="R596">
        <f t="shared" si="55"/>
        <v>594</v>
      </c>
      <c r="S596">
        <f>IFERROR(SEARCH(Crewlist!$P$5,V596)+ROW()/100000,"")</f>
        <v>1.00596</v>
      </c>
      <c r="T596">
        <f t="shared" si="56"/>
        <v>595</v>
      </c>
      <c r="U596">
        <f t="shared" si="57"/>
        <v>0</v>
      </c>
      <c r="V596" t="str">
        <f t="shared" si="59"/>
        <v xml:space="preserve"> </v>
      </c>
      <c r="Y596" s="162" t="e">
        <f>VLOOKUP(B596,Crewlist!AS:AU,3,FALSE)</f>
        <v>#N/A</v>
      </c>
      <c r="Z596" s="163">
        <f t="shared" si="58"/>
        <v>0</v>
      </c>
    </row>
    <row r="597" spans="2:26">
      <c r="B597" s="171">
        <v>596</v>
      </c>
      <c r="E597" s="169"/>
      <c r="F597" s="176"/>
      <c r="H597" s="178"/>
      <c r="I597" s="179"/>
      <c r="J597" s="179"/>
      <c r="L597" s="179"/>
      <c r="Q597">
        <f t="shared" si="54"/>
        <v>0</v>
      </c>
      <c r="R597">
        <f t="shared" si="55"/>
        <v>595</v>
      </c>
      <c r="S597">
        <f>IFERROR(SEARCH(Crewlist!$P$5,V597)+ROW()/100000,"")</f>
        <v>1.00597</v>
      </c>
      <c r="T597">
        <f t="shared" si="56"/>
        <v>596</v>
      </c>
      <c r="U597">
        <f t="shared" si="57"/>
        <v>0</v>
      </c>
      <c r="V597" t="str">
        <f t="shared" si="59"/>
        <v xml:space="preserve"> </v>
      </c>
      <c r="Y597" s="162" t="e">
        <f>VLOOKUP(B597,Crewlist!AS:AU,3,FALSE)</f>
        <v>#N/A</v>
      </c>
      <c r="Z597" s="163">
        <f t="shared" si="58"/>
        <v>0</v>
      </c>
    </row>
    <row r="598" spans="2:26">
      <c r="B598" s="171">
        <v>597</v>
      </c>
      <c r="E598" s="169"/>
      <c r="F598" s="176"/>
      <c r="H598" s="178"/>
      <c r="I598" s="179"/>
      <c r="J598" s="179"/>
      <c r="K598" s="179"/>
      <c r="L598" s="179"/>
      <c r="M598" s="180"/>
      <c r="Q598">
        <f t="shared" si="54"/>
        <v>0</v>
      </c>
      <c r="R598">
        <f t="shared" si="55"/>
        <v>596</v>
      </c>
      <c r="S598">
        <f>IFERROR(SEARCH(Crewlist!$P$5,V598)+ROW()/100000,"")</f>
        <v>1.0059800000000001</v>
      </c>
      <c r="T598">
        <f t="shared" si="56"/>
        <v>597</v>
      </c>
      <c r="U598">
        <f t="shared" si="57"/>
        <v>0</v>
      </c>
      <c r="V598" t="str">
        <f t="shared" si="59"/>
        <v xml:space="preserve"> </v>
      </c>
      <c r="Y598" s="162" t="e">
        <f>VLOOKUP(B598,Crewlist!AS:AU,3,FALSE)</f>
        <v>#N/A</v>
      </c>
      <c r="Z598" s="163">
        <f t="shared" si="58"/>
        <v>0</v>
      </c>
    </row>
    <row r="599" spans="2:26">
      <c r="B599" s="202">
        <v>598</v>
      </c>
      <c r="E599" s="169"/>
      <c r="F599" s="176"/>
      <c r="H599" s="169"/>
      <c r="I599" s="176"/>
      <c r="J599" s="176"/>
      <c r="L599" s="179"/>
      <c r="Q599">
        <f t="shared" si="54"/>
        <v>0</v>
      </c>
      <c r="R599">
        <f t="shared" si="55"/>
        <v>597</v>
      </c>
      <c r="S599">
        <f>IFERROR(SEARCH(Crewlist!$P$5,V599)+ROW()/100000,"")</f>
        <v>1.0059899999999999</v>
      </c>
      <c r="T599">
        <f t="shared" si="56"/>
        <v>598</v>
      </c>
      <c r="U599">
        <f t="shared" si="57"/>
        <v>0</v>
      </c>
      <c r="V599" t="str">
        <f t="shared" si="59"/>
        <v xml:space="preserve"> </v>
      </c>
      <c r="Y599" s="162" t="e">
        <f>VLOOKUP(B599,Crewlist!AS:AU,3,FALSE)</f>
        <v>#N/A</v>
      </c>
      <c r="Z599" s="163">
        <f t="shared" si="58"/>
        <v>0</v>
      </c>
    </row>
    <row r="600" spans="2:26">
      <c r="B600" s="171">
        <v>599</v>
      </c>
      <c r="E600" s="169"/>
      <c r="F600" s="176"/>
      <c r="H600" s="178"/>
      <c r="I600" s="179"/>
      <c r="J600" s="179"/>
      <c r="K600" s="179"/>
      <c r="L600" s="179"/>
      <c r="M600" s="180"/>
      <c r="Q600">
        <f t="shared" si="54"/>
        <v>0</v>
      </c>
      <c r="R600">
        <f t="shared" si="55"/>
        <v>598</v>
      </c>
      <c r="S600">
        <f>IFERROR(SEARCH(Crewlist!$P$5,V600)+ROW()/100000,"")</f>
        <v>1.006</v>
      </c>
      <c r="T600">
        <f t="shared" si="56"/>
        <v>599</v>
      </c>
      <c r="U600">
        <f t="shared" si="57"/>
        <v>0</v>
      </c>
      <c r="V600" t="str">
        <f t="shared" si="59"/>
        <v xml:space="preserve"> </v>
      </c>
      <c r="Y600" s="162" t="e">
        <f>VLOOKUP(B600,Crewlist!AS:AU,3,FALSE)</f>
        <v>#N/A</v>
      </c>
      <c r="Z600" s="163">
        <f t="shared" si="58"/>
        <v>0</v>
      </c>
    </row>
    <row r="601" spans="2:26">
      <c r="B601" s="171">
        <v>600</v>
      </c>
      <c r="F601" s="176"/>
      <c r="H601" s="173"/>
      <c r="I601" s="179"/>
      <c r="J601" s="179"/>
      <c r="Q601">
        <f t="shared" si="54"/>
        <v>0</v>
      </c>
      <c r="R601">
        <f t="shared" si="55"/>
        <v>599</v>
      </c>
      <c r="S601">
        <f>IFERROR(SEARCH(Crewlist!$P$5,V601)+ROW()/100000,"")</f>
        <v>1.0060100000000001</v>
      </c>
      <c r="T601">
        <f t="shared" si="56"/>
        <v>600</v>
      </c>
      <c r="U601">
        <f t="shared" si="57"/>
        <v>0</v>
      </c>
      <c r="V601" t="str">
        <f t="shared" si="59"/>
        <v xml:space="preserve"> </v>
      </c>
      <c r="Y601" s="162" t="e">
        <f>VLOOKUP(B601,Crewlist!AS:AU,3,FALSE)</f>
        <v>#N/A</v>
      </c>
      <c r="Z601" s="163">
        <f t="shared" si="58"/>
        <v>0</v>
      </c>
    </row>
    <row r="602" spans="2:26">
      <c r="B602" s="202">
        <v>601</v>
      </c>
      <c r="F602" s="176"/>
      <c r="H602" s="173"/>
      <c r="I602" s="179"/>
      <c r="J602" s="179"/>
      <c r="Q602">
        <f t="shared" si="54"/>
        <v>0</v>
      </c>
      <c r="R602">
        <f t="shared" si="55"/>
        <v>600</v>
      </c>
      <c r="S602">
        <f>IFERROR(SEARCH(Crewlist!$P$5,V602)+ROW()/100000,"")</f>
        <v>1.0060199999999999</v>
      </c>
      <c r="T602">
        <f t="shared" si="56"/>
        <v>601</v>
      </c>
      <c r="U602">
        <f t="shared" si="57"/>
        <v>0</v>
      </c>
      <c r="V602" t="str">
        <f t="shared" si="59"/>
        <v xml:space="preserve"> </v>
      </c>
      <c r="Y602" s="162" t="e">
        <f>VLOOKUP(B602,Crewlist!AS:AU,3,FALSE)</f>
        <v>#N/A</v>
      </c>
      <c r="Z602" s="163">
        <f t="shared" si="58"/>
        <v>0</v>
      </c>
    </row>
    <row r="603" spans="2:26">
      <c r="B603" s="171">
        <v>602</v>
      </c>
      <c r="E603" s="169"/>
      <c r="F603" s="176"/>
      <c r="H603" s="173"/>
      <c r="I603" s="179"/>
      <c r="J603" s="179"/>
      <c r="K603" s="179"/>
      <c r="Q603">
        <f t="shared" si="54"/>
        <v>0</v>
      </c>
      <c r="R603">
        <f t="shared" si="55"/>
        <v>601</v>
      </c>
      <c r="S603">
        <f>IFERROR(SEARCH(Crewlist!$P$5,V603)+ROW()/100000,"")</f>
        <v>1.00603</v>
      </c>
      <c r="T603">
        <f t="shared" si="56"/>
        <v>602</v>
      </c>
      <c r="U603">
        <f t="shared" si="57"/>
        <v>0</v>
      </c>
      <c r="V603" t="str">
        <f t="shared" si="59"/>
        <v xml:space="preserve"> </v>
      </c>
      <c r="Y603" s="162" t="e">
        <f>VLOOKUP(B603,Crewlist!AS:AU,3,FALSE)</f>
        <v>#N/A</v>
      </c>
      <c r="Z603" s="163">
        <f t="shared" si="58"/>
        <v>0</v>
      </c>
    </row>
    <row r="604" spans="2:26">
      <c r="B604" s="171">
        <v>603</v>
      </c>
      <c r="E604" s="169"/>
      <c r="F604" s="176"/>
      <c r="H604" s="173"/>
      <c r="I604" s="179"/>
      <c r="J604" s="179"/>
      <c r="Q604">
        <f t="shared" si="54"/>
        <v>0</v>
      </c>
      <c r="R604">
        <f t="shared" si="55"/>
        <v>602</v>
      </c>
      <c r="S604">
        <f>IFERROR(SEARCH(Crewlist!$P$5,V604)+ROW()/100000,"")</f>
        <v>1.00604</v>
      </c>
      <c r="T604">
        <f t="shared" si="56"/>
        <v>603</v>
      </c>
      <c r="U604">
        <f t="shared" si="57"/>
        <v>0</v>
      </c>
      <c r="V604" t="str">
        <f t="shared" si="59"/>
        <v xml:space="preserve"> </v>
      </c>
      <c r="Y604" s="162" t="e">
        <f>VLOOKUP(B604,Crewlist!AS:AU,3,FALSE)</f>
        <v>#N/A</v>
      </c>
      <c r="Z604" s="163">
        <f t="shared" si="58"/>
        <v>0</v>
      </c>
    </row>
    <row r="605" spans="2:26">
      <c r="B605" s="202">
        <v>604</v>
      </c>
      <c r="E605" s="169"/>
      <c r="F605" s="176"/>
      <c r="H605" s="173"/>
      <c r="I605" s="179"/>
      <c r="J605" s="179"/>
      <c r="Q605">
        <f t="shared" si="54"/>
        <v>0</v>
      </c>
      <c r="R605">
        <f t="shared" si="55"/>
        <v>603</v>
      </c>
      <c r="S605">
        <f>IFERROR(SEARCH(Crewlist!$P$5,V605)+ROW()/100000,"")</f>
        <v>1.0060500000000001</v>
      </c>
      <c r="T605">
        <f t="shared" si="56"/>
        <v>604</v>
      </c>
      <c r="U605">
        <f t="shared" si="57"/>
        <v>0</v>
      </c>
      <c r="V605" t="str">
        <f t="shared" si="59"/>
        <v xml:space="preserve"> </v>
      </c>
      <c r="Y605" s="162" t="e">
        <f>VLOOKUP(B605,Crewlist!AS:AU,3,FALSE)</f>
        <v>#N/A</v>
      </c>
      <c r="Z605" s="163">
        <f t="shared" si="58"/>
        <v>0</v>
      </c>
    </row>
    <row r="606" spans="2:26">
      <c r="B606" s="171">
        <v>605</v>
      </c>
      <c r="E606" s="169"/>
      <c r="F606" s="176"/>
      <c r="I606" s="176"/>
      <c r="J606" s="176"/>
      <c r="Q606">
        <f t="shared" si="54"/>
        <v>0</v>
      </c>
      <c r="R606">
        <f t="shared" si="55"/>
        <v>604</v>
      </c>
      <c r="S606">
        <f>IFERROR(SEARCH(Crewlist!$P$5,V606)+ROW()/100000,"")</f>
        <v>1.00606</v>
      </c>
      <c r="T606">
        <f t="shared" si="56"/>
        <v>605</v>
      </c>
      <c r="U606">
        <f t="shared" si="57"/>
        <v>0</v>
      </c>
      <c r="V606" t="str">
        <f t="shared" si="59"/>
        <v xml:space="preserve"> </v>
      </c>
      <c r="Y606" s="162" t="e">
        <f>VLOOKUP(B606,Crewlist!AS:AU,3,FALSE)</f>
        <v>#N/A</v>
      </c>
      <c r="Z606" s="163">
        <f t="shared" si="58"/>
        <v>0</v>
      </c>
    </row>
    <row r="607" spans="2:26">
      <c r="B607" s="171">
        <v>606</v>
      </c>
      <c r="C607" s="169"/>
      <c r="D607" s="169"/>
      <c r="E607" s="169"/>
      <c r="F607" s="215"/>
      <c r="H607" s="178"/>
      <c r="I607" s="179"/>
      <c r="J607" s="179"/>
      <c r="L607" s="215"/>
      <c r="Q607">
        <f t="shared" si="54"/>
        <v>0</v>
      </c>
      <c r="R607">
        <f t="shared" si="55"/>
        <v>605</v>
      </c>
      <c r="S607">
        <f>IFERROR(SEARCH(Crewlist!$P$5,V607)+ROW()/100000,"")</f>
        <v>1.00607</v>
      </c>
      <c r="T607">
        <f t="shared" si="56"/>
        <v>606</v>
      </c>
      <c r="U607">
        <f t="shared" si="57"/>
        <v>0</v>
      </c>
      <c r="V607" t="str">
        <f t="shared" si="59"/>
        <v xml:space="preserve"> </v>
      </c>
      <c r="Y607" s="162" t="e">
        <f>VLOOKUP(B607,Crewlist!AS:AU,3,FALSE)</f>
        <v>#N/A</v>
      </c>
      <c r="Z607" s="163">
        <f t="shared" si="58"/>
        <v>0</v>
      </c>
    </row>
    <row r="608" spans="2:26">
      <c r="B608" s="202">
        <v>607</v>
      </c>
      <c r="D608" s="169"/>
      <c r="E608" s="169"/>
      <c r="F608" s="176"/>
      <c r="H608" s="178"/>
      <c r="I608" s="179"/>
      <c r="J608" s="179"/>
      <c r="L608" s="179"/>
      <c r="Q608">
        <f t="shared" si="54"/>
        <v>0</v>
      </c>
      <c r="R608">
        <f t="shared" si="55"/>
        <v>606</v>
      </c>
      <c r="S608">
        <f>IFERROR(SEARCH(Crewlist!$P$5,V608)+ROW()/100000,"")</f>
        <v>1.0060800000000001</v>
      </c>
      <c r="T608">
        <f t="shared" si="56"/>
        <v>607</v>
      </c>
      <c r="U608">
        <f t="shared" si="57"/>
        <v>0</v>
      </c>
      <c r="V608" t="str">
        <f t="shared" si="59"/>
        <v xml:space="preserve"> </v>
      </c>
      <c r="Y608" s="162" t="e">
        <f>VLOOKUP(B608,Crewlist!AS:AU,3,FALSE)</f>
        <v>#N/A</v>
      </c>
      <c r="Z608" s="163">
        <f t="shared" si="58"/>
        <v>0</v>
      </c>
    </row>
    <row r="609" spans="2:26">
      <c r="B609" s="171">
        <v>608</v>
      </c>
      <c r="E609" s="169"/>
      <c r="F609" s="176"/>
      <c r="H609" s="178"/>
      <c r="I609" s="179"/>
      <c r="J609" s="179"/>
      <c r="L609" s="179"/>
      <c r="Q609">
        <f t="shared" si="54"/>
        <v>0</v>
      </c>
      <c r="R609">
        <f t="shared" si="55"/>
        <v>607</v>
      </c>
      <c r="S609">
        <f>IFERROR(SEARCH(Crewlist!$P$5,V609)+ROW()/100000,"")</f>
        <v>1.0060899999999999</v>
      </c>
      <c r="T609">
        <f t="shared" si="56"/>
        <v>608</v>
      </c>
      <c r="U609">
        <f t="shared" si="57"/>
        <v>0</v>
      </c>
      <c r="V609" t="str">
        <f t="shared" si="59"/>
        <v xml:space="preserve"> </v>
      </c>
      <c r="Y609" s="162" t="e">
        <f>VLOOKUP(B609,Crewlist!AS:AU,3,FALSE)</f>
        <v>#N/A</v>
      </c>
      <c r="Z609" s="163">
        <f t="shared" si="58"/>
        <v>0</v>
      </c>
    </row>
    <row r="610" spans="2:26">
      <c r="B610" s="171">
        <v>609</v>
      </c>
      <c r="C610" s="169"/>
      <c r="D610" s="169"/>
      <c r="E610" s="169"/>
      <c r="F610" s="215"/>
      <c r="H610" s="178"/>
      <c r="I610" s="179"/>
      <c r="J610" s="179"/>
      <c r="L610" s="215"/>
      <c r="Q610">
        <f t="shared" si="54"/>
        <v>0</v>
      </c>
      <c r="R610">
        <f t="shared" si="55"/>
        <v>608</v>
      </c>
      <c r="S610">
        <f>IFERROR(SEARCH(Crewlist!$P$5,V610)+ROW()/100000,"")</f>
        <v>1.0061</v>
      </c>
      <c r="T610">
        <f t="shared" si="56"/>
        <v>609</v>
      </c>
      <c r="U610">
        <f t="shared" si="57"/>
        <v>0</v>
      </c>
      <c r="V610" t="str">
        <f t="shared" si="59"/>
        <v xml:space="preserve"> </v>
      </c>
      <c r="Y610" s="162" t="e">
        <f>VLOOKUP(B610,Crewlist!AS:AU,3,FALSE)</f>
        <v>#N/A</v>
      </c>
      <c r="Z610" s="163">
        <f t="shared" si="58"/>
        <v>0</v>
      </c>
    </row>
    <row r="611" spans="2:26">
      <c r="B611" s="202">
        <v>610</v>
      </c>
      <c r="E611" s="169"/>
      <c r="F611" s="215"/>
      <c r="H611" s="173"/>
      <c r="I611" s="179"/>
      <c r="J611" s="179"/>
      <c r="L611" s="215"/>
      <c r="Q611">
        <f t="shared" si="54"/>
        <v>0</v>
      </c>
      <c r="R611">
        <f t="shared" si="55"/>
        <v>609</v>
      </c>
      <c r="S611">
        <f>IFERROR(SEARCH(Crewlist!$P$5,V611)+ROW()/100000,"")</f>
        <v>1.0061100000000001</v>
      </c>
      <c r="T611">
        <f t="shared" si="56"/>
        <v>610</v>
      </c>
      <c r="U611">
        <f t="shared" si="57"/>
        <v>0</v>
      </c>
      <c r="V611" t="str">
        <f t="shared" si="59"/>
        <v xml:space="preserve"> </v>
      </c>
      <c r="Y611" s="162" t="e">
        <f>VLOOKUP(B611,Crewlist!AS:AU,3,FALSE)</f>
        <v>#N/A</v>
      </c>
      <c r="Z611" s="163">
        <f t="shared" si="58"/>
        <v>0</v>
      </c>
    </row>
    <row r="612" spans="2:26">
      <c r="B612" s="171">
        <v>611</v>
      </c>
      <c r="E612" s="169"/>
      <c r="F612" s="215"/>
      <c r="H612" s="173"/>
      <c r="I612" s="179"/>
      <c r="J612" s="179"/>
      <c r="L612" s="183"/>
      <c r="Q612">
        <f t="shared" si="54"/>
        <v>0</v>
      </c>
      <c r="R612">
        <f t="shared" si="55"/>
        <v>610</v>
      </c>
      <c r="S612">
        <f>IFERROR(SEARCH(Crewlist!$P$5,V612)+ROW()/100000,"")</f>
        <v>1.0061199999999999</v>
      </c>
      <c r="T612">
        <f t="shared" si="56"/>
        <v>611</v>
      </c>
      <c r="U612">
        <f t="shared" si="57"/>
        <v>0</v>
      </c>
      <c r="V612" t="str">
        <f t="shared" si="59"/>
        <v xml:space="preserve"> </v>
      </c>
      <c r="Y612" s="162" t="e">
        <f>VLOOKUP(B612,Crewlist!AS:AU,3,FALSE)</f>
        <v>#N/A</v>
      </c>
      <c r="Z612" s="163">
        <f t="shared" si="58"/>
        <v>0</v>
      </c>
    </row>
    <row r="613" spans="2:26">
      <c r="B613" s="171">
        <v>612</v>
      </c>
      <c r="E613" s="169"/>
      <c r="F613" s="176"/>
      <c r="H613" s="173"/>
      <c r="I613" s="179"/>
      <c r="J613" s="179"/>
      <c r="Q613">
        <f t="shared" si="54"/>
        <v>0</v>
      </c>
      <c r="R613">
        <f t="shared" si="55"/>
        <v>611</v>
      </c>
      <c r="S613">
        <f>IFERROR(SEARCH(Crewlist!$P$5,V613)+ROW()/100000,"")</f>
        <v>1.00613</v>
      </c>
      <c r="T613">
        <f t="shared" si="56"/>
        <v>612</v>
      </c>
      <c r="U613">
        <f t="shared" si="57"/>
        <v>0</v>
      </c>
      <c r="V613" t="str">
        <f t="shared" si="59"/>
        <v xml:space="preserve"> </v>
      </c>
      <c r="Y613" s="162" t="e">
        <f>VLOOKUP(B613,Crewlist!AS:AU,3,FALSE)</f>
        <v>#N/A</v>
      </c>
      <c r="Z613" s="163">
        <f t="shared" si="58"/>
        <v>0</v>
      </c>
    </row>
    <row r="614" spans="2:26">
      <c r="B614" s="202">
        <v>613</v>
      </c>
      <c r="E614" s="169"/>
      <c r="F614" s="176"/>
      <c r="I614" s="176"/>
      <c r="J614" s="179"/>
      <c r="L614" s="179"/>
      <c r="Q614">
        <f t="shared" si="54"/>
        <v>0</v>
      </c>
      <c r="R614">
        <f t="shared" si="55"/>
        <v>612</v>
      </c>
      <c r="S614">
        <f>IFERROR(SEARCH(Crewlist!$P$5,V614)+ROW()/100000,"")</f>
        <v>1.00614</v>
      </c>
      <c r="T614">
        <f t="shared" si="56"/>
        <v>613</v>
      </c>
      <c r="U614">
        <f t="shared" si="57"/>
        <v>0</v>
      </c>
      <c r="V614" t="str">
        <f t="shared" si="59"/>
        <v xml:space="preserve"> </v>
      </c>
      <c r="Y614" s="162" t="e">
        <f>VLOOKUP(B614,Crewlist!AS:AU,3,FALSE)</f>
        <v>#N/A</v>
      </c>
      <c r="Z614" s="163">
        <f t="shared" si="58"/>
        <v>0</v>
      </c>
    </row>
    <row r="615" spans="2:26">
      <c r="B615" s="171">
        <v>614</v>
      </c>
      <c r="E615" s="169"/>
      <c r="F615" s="176"/>
      <c r="H615" s="173"/>
      <c r="I615" s="179"/>
      <c r="J615" s="179"/>
      <c r="Q615">
        <f t="shared" si="54"/>
        <v>0</v>
      </c>
      <c r="R615">
        <f t="shared" si="55"/>
        <v>613</v>
      </c>
      <c r="S615">
        <f>IFERROR(SEARCH(Crewlist!$P$5,V615)+ROW()/100000,"")</f>
        <v>1.0061500000000001</v>
      </c>
      <c r="T615">
        <f t="shared" si="56"/>
        <v>614</v>
      </c>
      <c r="U615">
        <f t="shared" si="57"/>
        <v>0</v>
      </c>
      <c r="V615" t="str">
        <f t="shared" si="59"/>
        <v xml:space="preserve"> </v>
      </c>
      <c r="Y615" s="162" t="e">
        <f>VLOOKUP(B615,Crewlist!AS:AU,3,FALSE)</f>
        <v>#N/A</v>
      </c>
      <c r="Z615" s="163">
        <f t="shared" si="58"/>
        <v>0</v>
      </c>
    </row>
    <row r="616" spans="2:26">
      <c r="B616" s="171">
        <v>615</v>
      </c>
      <c r="C616" s="169"/>
      <c r="D616" s="169"/>
      <c r="E616" s="169"/>
      <c r="F616" s="215"/>
      <c r="H616" s="173"/>
      <c r="I616" s="179"/>
      <c r="J616" s="179"/>
      <c r="L616" s="179"/>
      <c r="Q616">
        <f t="shared" si="54"/>
        <v>0</v>
      </c>
      <c r="R616">
        <f t="shared" si="55"/>
        <v>614</v>
      </c>
      <c r="S616">
        <f>IFERROR(SEARCH(Crewlist!$P$5,V616)+ROW()/100000,"")</f>
        <v>1.0061599999999999</v>
      </c>
      <c r="T616">
        <f t="shared" si="56"/>
        <v>615</v>
      </c>
      <c r="U616">
        <f t="shared" si="57"/>
        <v>0</v>
      </c>
      <c r="V616" t="str">
        <f t="shared" si="59"/>
        <v xml:space="preserve"> </v>
      </c>
      <c r="Y616" s="162" t="e">
        <f>VLOOKUP(B616,Crewlist!AS:AU,3,FALSE)</f>
        <v>#N/A</v>
      </c>
      <c r="Z616" s="163">
        <f t="shared" si="58"/>
        <v>0</v>
      </c>
    </row>
    <row r="617" spans="2:26">
      <c r="B617" s="202">
        <v>616</v>
      </c>
      <c r="E617" s="169"/>
      <c r="F617" s="176"/>
      <c r="H617" s="173"/>
      <c r="I617" s="179"/>
      <c r="J617" s="179"/>
      <c r="L617" s="179"/>
      <c r="Q617">
        <f t="shared" si="54"/>
        <v>0</v>
      </c>
      <c r="R617">
        <f t="shared" si="55"/>
        <v>615</v>
      </c>
      <c r="S617">
        <f>IFERROR(SEARCH(Crewlist!$P$5,V617)+ROW()/100000,"")</f>
        <v>1.00617</v>
      </c>
      <c r="T617">
        <f t="shared" si="56"/>
        <v>616</v>
      </c>
      <c r="U617">
        <f t="shared" si="57"/>
        <v>0</v>
      </c>
      <c r="V617" t="str">
        <f t="shared" si="59"/>
        <v xml:space="preserve"> </v>
      </c>
      <c r="Y617" s="162" t="e">
        <f>VLOOKUP(B617,Crewlist!AS:AU,3,FALSE)</f>
        <v>#N/A</v>
      </c>
      <c r="Z617" s="163">
        <f t="shared" si="58"/>
        <v>0</v>
      </c>
    </row>
    <row r="618" spans="2:26">
      <c r="B618" s="171">
        <v>617</v>
      </c>
      <c r="C618" s="169"/>
      <c r="D618" s="169"/>
      <c r="E618" s="169"/>
      <c r="F618" s="176"/>
      <c r="H618" s="178"/>
      <c r="I618" s="179"/>
      <c r="J618" s="179"/>
      <c r="K618" s="179"/>
      <c r="L618" s="179"/>
      <c r="Q618">
        <f t="shared" si="54"/>
        <v>0</v>
      </c>
      <c r="R618">
        <f t="shared" si="55"/>
        <v>616</v>
      </c>
      <c r="S618">
        <f>IFERROR(SEARCH(Crewlist!$P$5,V618)+ROW()/100000,"")</f>
        <v>1.0061800000000001</v>
      </c>
      <c r="T618">
        <f t="shared" si="56"/>
        <v>617</v>
      </c>
      <c r="U618">
        <f t="shared" si="57"/>
        <v>0</v>
      </c>
      <c r="V618" t="str">
        <f t="shared" si="59"/>
        <v xml:space="preserve"> </v>
      </c>
      <c r="Y618" s="162" t="e">
        <f>VLOOKUP(B618,Crewlist!AS:AU,3,FALSE)</f>
        <v>#N/A</v>
      </c>
      <c r="Z618" s="163">
        <f t="shared" si="58"/>
        <v>0</v>
      </c>
    </row>
    <row r="619" spans="2:26">
      <c r="B619" s="171">
        <v>618</v>
      </c>
      <c r="C619" s="169"/>
      <c r="D619" s="169"/>
      <c r="E619" s="169"/>
      <c r="F619" s="176"/>
      <c r="H619" s="178"/>
      <c r="I619" s="179"/>
      <c r="J619" s="179"/>
      <c r="K619" s="179"/>
      <c r="L619" s="179"/>
      <c r="Q619">
        <f t="shared" si="54"/>
        <v>0</v>
      </c>
      <c r="R619">
        <f t="shared" si="55"/>
        <v>617</v>
      </c>
      <c r="S619">
        <f>IFERROR(SEARCH(Crewlist!$P$5,V619)+ROW()/100000,"")</f>
        <v>1.0061899999999999</v>
      </c>
      <c r="T619">
        <f t="shared" si="56"/>
        <v>618</v>
      </c>
      <c r="U619">
        <f t="shared" si="57"/>
        <v>0</v>
      </c>
      <c r="V619" t="str">
        <f t="shared" si="59"/>
        <v xml:space="preserve"> </v>
      </c>
      <c r="Y619" s="162" t="e">
        <f>VLOOKUP(B619,Crewlist!AS:AU,3,FALSE)</f>
        <v>#N/A</v>
      </c>
      <c r="Z619" s="163">
        <f t="shared" si="58"/>
        <v>0</v>
      </c>
    </row>
    <row r="620" spans="2:26">
      <c r="B620" s="202">
        <v>619</v>
      </c>
      <c r="C620" s="169"/>
      <c r="D620" s="169"/>
      <c r="E620" s="169"/>
      <c r="F620" s="176"/>
      <c r="G620" s="177"/>
      <c r="H620" s="178"/>
      <c r="I620" s="179"/>
      <c r="J620" s="179"/>
      <c r="K620" s="179"/>
      <c r="L620" s="179"/>
      <c r="M620" s="180"/>
      <c r="Q620">
        <f t="shared" si="54"/>
        <v>0</v>
      </c>
      <c r="R620">
        <f t="shared" si="55"/>
        <v>618</v>
      </c>
      <c r="S620">
        <f>IFERROR(SEARCH(Crewlist!$P$5,V620)+ROW()/100000,"")</f>
        <v>1.0062</v>
      </c>
      <c r="T620">
        <f t="shared" si="56"/>
        <v>619</v>
      </c>
      <c r="U620">
        <f t="shared" si="57"/>
        <v>0</v>
      </c>
      <c r="V620" t="str">
        <f t="shared" si="59"/>
        <v xml:space="preserve"> </v>
      </c>
      <c r="Y620" s="162" t="e">
        <f>VLOOKUP(B620,Crewlist!AS:AU,3,FALSE)</f>
        <v>#N/A</v>
      </c>
      <c r="Z620" s="163">
        <f t="shared" si="58"/>
        <v>0</v>
      </c>
    </row>
    <row r="621" spans="2:26">
      <c r="B621" s="171">
        <v>620</v>
      </c>
      <c r="E621" s="169"/>
      <c r="F621" s="176"/>
      <c r="H621" s="173"/>
      <c r="I621" s="179"/>
      <c r="J621" s="179"/>
      <c r="L621" s="179"/>
      <c r="Q621">
        <f t="shared" si="54"/>
        <v>0</v>
      </c>
      <c r="R621">
        <f t="shared" si="55"/>
        <v>619</v>
      </c>
      <c r="S621">
        <f>IFERROR(SEARCH(Crewlist!$P$5,V621)+ROW()/100000,"")</f>
        <v>1.00621</v>
      </c>
      <c r="T621">
        <f t="shared" si="56"/>
        <v>620</v>
      </c>
      <c r="U621">
        <f t="shared" si="57"/>
        <v>0</v>
      </c>
      <c r="V621" t="str">
        <f t="shared" si="59"/>
        <v xml:space="preserve"> </v>
      </c>
      <c r="Y621" s="162" t="e">
        <f>VLOOKUP(B621,Crewlist!AS:AU,3,FALSE)</f>
        <v>#N/A</v>
      </c>
      <c r="Z621" s="163">
        <f t="shared" si="58"/>
        <v>0</v>
      </c>
    </row>
    <row r="622" spans="2:26">
      <c r="B622" s="171">
        <v>621</v>
      </c>
      <c r="E622" s="169"/>
      <c r="F622" s="176"/>
      <c r="H622" s="173"/>
      <c r="I622" s="179"/>
      <c r="J622" s="179"/>
      <c r="L622" s="179"/>
      <c r="Q622">
        <f t="shared" si="54"/>
        <v>0</v>
      </c>
      <c r="R622">
        <f t="shared" si="55"/>
        <v>620</v>
      </c>
      <c r="S622">
        <f>IFERROR(SEARCH(Crewlist!$P$5,V622)+ROW()/100000,"")</f>
        <v>1.0062199999999999</v>
      </c>
      <c r="T622">
        <f t="shared" si="56"/>
        <v>621</v>
      </c>
      <c r="U622">
        <f t="shared" si="57"/>
        <v>0</v>
      </c>
      <c r="V622" t="str">
        <f t="shared" si="59"/>
        <v xml:space="preserve"> </v>
      </c>
      <c r="Y622" s="162" t="e">
        <f>VLOOKUP(B622,Crewlist!AS:AU,3,FALSE)</f>
        <v>#N/A</v>
      </c>
      <c r="Z622" s="163">
        <f t="shared" si="58"/>
        <v>0</v>
      </c>
    </row>
    <row r="623" spans="2:26">
      <c r="B623" s="202">
        <v>622</v>
      </c>
      <c r="C623" s="169"/>
      <c r="D623" s="169"/>
      <c r="E623" s="169"/>
      <c r="F623" s="176"/>
      <c r="H623" s="173"/>
      <c r="I623" s="179"/>
      <c r="J623" s="179"/>
      <c r="L623" s="179"/>
      <c r="Q623">
        <f t="shared" si="54"/>
        <v>0</v>
      </c>
      <c r="R623">
        <f t="shared" si="55"/>
        <v>621</v>
      </c>
      <c r="S623">
        <f>IFERROR(SEARCH(Crewlist!$P$5,V623)+ROW()/100000,"")</f>
        <v>1.00623</v>
      </c>
      <c r="T623">
        <f t="shared" si="56"/>
        <v>622</v>
      </c>
      <c r="U623">
        <f t="shared" si="57"/>
        <v>0</v>
      </c>
      <c r="V623" t="str">
        <f t="shared" si="59"/>
        <v xml:space="preserve"> </v>
      </c>
      <c r="Y623" s="162" t="e">
        <f>VLOOKUP(B623,Crewlist!AS:AU,3,FALSE)</f>
        <v>#N/A</v>
      </c>
      <c r="Z623" s="163">
        <f t="shared" si="58"/>
        <v>0</v>
      </c>
    </row>
    <row r="624" spans="2:26">
      <c r="B624" s="171">
        <v>623</v>
      </c>
      <c r="E624" s="169"/>
      <c r="F624" s="215"/>
      <c r="H624" s="173"/>
      <c r="I624" s="179"/>
      <c r="J624" s="179"/>
      <c r="L624" s="215"/>
      <c r="Q624">
        <f t="shared" si="54"/>
        <v>0</v>
      </c>
      <c r="R624">
        <f t="shared" si="55"/>
        <v>622</v>
      </c>
      <c r="S624">
        <f>IFERROR(SEARCH(Crewlist!$P$5,V624)+ROW()/100000,"")</f>
        <v>1.00624</v>
      </c>
      <c r="T624">
        <f t="shared" si="56"/>
        <v>623</v>
      </c>
      <c r="U624">
        <f t="shared" si="57"/>
        <v>0</v>
      </c>
      <c r="V624" t="str">
        <f t="shared" si="59"/>
        <v xml:space="preserve"> </v>
      </c>
      <c r="Y624" s="162" t="e">
        <f>VLOOKUP(B624,Crewlist!AS:AU,3,FALSE)</f>
        <v>#N/A</v>
      </c>
      <c r="Z624" s="163">
        <f t="shared" si="58"/>
        <v>0</v>
      </c>
    </row>
    <row r="625" spans="2:26">
      <c r="B625" s="171">
        <v>624</v>
      </c>
      <c r="E625" s="169"/>
      <c r="F625" s="176"/>
      <c r="H625" s="173"/>
      <c r="I625" s="179"/>
      <c r="J625" s="179"/>
      <c r="Q625">
        <f t="shared" si="54"/>
        <v>0</v>
      </c>
      <c r="R625">
        <f t="shared" si="55"/>
        <v>623</v>
      </c>
      <c r="S625">
        <f>IFERROR(SEARCH(Crewlist!$P$5,V625)+ROW()/100000,"")</f>
        <v>1.0062500000000001</v>
      </c>
      <c r="T625">
        <f t="shared" si="56"/>
        <v>624</v>
      </c>
      <c r="U625">
        <f t="shared" si="57"/>
        <v>0</v>
      </c>
      <c r="V625" t="str">
        <f t="shared" si="59"/>
        <v xml:space="preserve"> </v>
      </c>
      <c r="Y625" s="162" t="e">
        <f>VLOOKUP(B625,Crewlist!AS:AU,3,FALSE)</f>
        <v>#N/A</v>
      </c>
      <c r="Z625" s="163">
        <f t="shared" si="58"/>
        <v>0</v>
      </c>
    </row>
    <row r="626" spans="2:26">
      <c r="B626" s="202">
        <v>625</v>
      </c>
      <c r="E626" s="169"/>
      <c r="F626" s="176"/>
      <c r="I626" s="179"/>
      <c r="J626" s="179"/>
      <c r="Q626">
        <f t="shared" si="54"/>
        <v>0</v>
      </c>
      <c r="R626">
        <f t="shared" si="55"/>
        <v>624</v>
      </c>
      <c r="S626">
        <f>IFERROR(SEARCH(Crewlist!$P$5,V626)+ROW()/100000,"")</f>
        <v>1.0062599999999999</v>
      </c>
      <c r="T626">
        <f t="shared" si="56"/>
        <v>625</v>
      </c>
      <c r="U626">
        <f t="shared" si="57"/>
        <v>0</v>
      </c>
      <c r="V626" t="str">
        <f t="shared" si="59"/>
        <v xml:space="preserve"> </v>
      </c>
      <c r="Y626" s="162" t="e">
        <f>VLOOKUP(B626,Crewlist!AS:AU,3,FALSE)</f>
        <v>#N/A</v>
      </c>
      <c r="Z626" s="163">
        <f t="shared" si="58"/>
        <v>0</v>
      </c>
    </row>
    <row r="627" spans="2:26">
      <c r="B627" s="171">
        <v>626</v>
      </c>
      <c r="E627" s="169"/>
      <c r="F627" s="176"/>
      <c r="H627" s="173"/>
      <c r="I627" s="179"/>
      <c r="J627" s="179"/>
      <c r="Q627">
        <f t="shared" si="54"/>
        <v>0</v>
      </c>
      <c r="R627">
        <f t="shared" si="55"/>
        <v>625</v>
      </c>
      <c r="S627">
        <f>IFERROR(SEARCH(Crewlist!$P$5,V627)+ROW()/100000,"")</f>
        <v>1.00627</v>
      </c>
      <c r="T627">
        <f t="shared" si="56"/>
        <v>626</v>
      </c>
      <c r="U627">
        <f t="shared" si="57"/>
        <v>0</v>
      </c>
      <c r="V627" t="str">
        <f t="shared" si="59"/>
        <v xml:space="preserve"> </v>
      </c>
      <c r="Y627" s="162" t="e">
        <f>VLOOKUP(B627,Crewlist!AS:AU,3,FALSE)</f>
        <v>#N/A</v>
      </c>
      <c r="Z627" s="163">
        <f t="shared" si="58"/>
        <v>0</v>
      </c>
    </row>
    <row r="628" spans="2:26">
      <c r="B628" s="171">
        <v>627</v>
      </c>
      <c r="E628" s="169"/>
      <c r="F628" s="215"/>
      <c r="H628" s="173"/>
      <c r="I628" s="179"/>
      <c r="J628" s="179"/>
      <c r="L628" s="183"/>
      <c r="Q628">
        <f t="shared" si="54"/>
        <v>0</v>
      </c>
      <c r="R628">
        <f t="shared" si="55"/>
        <v>626</v>
      </c>
      <c r="S628">
        <f>IFERROR(SEARCH(Crewlist!$P$5,V628)+ROW()/100000,"")</f>
        <v>1.0062800000000001</v>
      </c>
      <c r="T628">
        <f t="shared" si="56"/>
        <v>627</v>
      </c>
      <c r="U628">
        <f t="shared" si="57"/>
        <v>0</v>
      </c>
      <c r="V628" t="str">
        <f t="shared" si="59"/>
        <v xml:space="preserve"> </v>
      </c>
      <c r="Y628" s="162" t="e">
        <f>VLOOKUP(B628,Crewlist!AS:AU,3,FALSE)</f>
        <v>#N/A</v>
      </c>
      <c r="Z628" s="163">
        <f t="shared" si="58"/>
        <v>0</v>
      </c>
    </row>
    <row r="629" spans="2:26">
      <c r="B629" s="202">
        <v>628</v>
      </c>
      <c r="E629" s="169"/>
      <c r="F629" s="176"/>
      <c r="H629" s="173"/>
      <c r="I629" s="179"/>
      <c r="J629" s="179"/>
      <c r="Q629">
        <f t="shared" si="54"/>
        <v>0</v>
      </c>
      <c r="R629">
        <f t="shared" si="55"/>
        <v>627</v>
      </c>
      <c r="S629">
        <f>IFERROR(SEARCH(Crewlist!$P$5,V629)+ROW()/100000,"")</f>
        <v>1.0062899999999999</v>
      </c>
      <c r="T629">
        <f t="shared" si="56"/>
        <v>628</v>
      </c>
      <c r="U629">
        <f t="shared" si="57"/>
        <v>0</v>
      </c>
      <c r="V629" t="str">
        <f t="shared" si="59"/>
        <v xml:space="preserve"> </v>
      </c>
      <c r="Y629" s="162" t="e">
        <f>VLOOKUP(B629,Crewlist!AS:AU,3,FALSE)</f>
        <v>#N/A</v>
      </c>
      <c r="Z629" s="163">
        <f t="shared" si="58"/>
        <v>0</v>
      </c>
    </row>
    <row r="630" spans="2:26">
      <c r="B630" s="171">
        <v>629</v>
      </c>
      <c r="E630" s="169"/>
      <c r="F630" s="176"/>
      <c r="H630" s="173"/>
      <c r="I630" s="179"/>
      <c r="J630" s="179"/>
      <c r="K630" s="181"/>
      <c r="M630" s="182"/>
      <c r="Q630">
        <f t="shared" si="54"/>
        <v>0</v>
      </c>
      <c r="R630">
        <f t="shared" si="55"/>
        <v>628</v>
      </c>
      <c r="S630">
        <f>IFERROR(SEARCH(Crewlist!$P$5,V630)+ROW()/100000,"")</f>
        <v>1.0063</v>
      </c>
      <c r="T630">
        <f t="shared" si="56"/>
        <v>629</v>
      </c>
      <c r="U630">
        <f t="shared" si="57"/>
        <v>0</v>
      </c>
      <c r="V630" t="str">
        <f t="shared" si="59"/>
        <v xml:space="preserve"> </v>
      </c>
      <c r="Y630" s="162" t="e">
        <f>VLOOKUP(B630,Crewlist!AS:AU,3,FALSE)</f>
        <v>#N/A</v>
      </c>
      <c r="Z630" s="163">
        <f t="shared" si="58"/>
        <v>0</v>
      </c>
    </row>
    <row r="631" spans="2:26">
      <c r="B631" s="171">
        <v>630</v>
      </c>
      <c r="E631" s="169"/>
      <c r="F631" s="176"/>
      <c r="I631" s="179"/>
      <c r="J631" s="179"/>
      <c r="Q631">
        <f t="shared" si="54"/>
        <v>0</v>
      </c>
      <c r="R631">
        <f t="shared" si="55"/>
        <v>629</v>
      </c>
      <c r="S631">
        <f>IFERROR(SEARCH(Crewlist!$P$5,V631)+ROW()/100000,"")</f>
        <v>1.00631</v>
      </c>
      <c r="T631">
        <f t="shared" si="56"/>
        <v>630</v>
      </c>
      <c r="U631">
        <f t="shared" si="57"/>
        <v>0</v>
      </c>
      <c r="V631" t="str">
        <f t="shared" si="59"/>
        <v xml:space="preserve"> </v>
      </c>
      <c r="Y631" s="162" t="e">
        <f>VLOOKUP(B631,Crewlist!AS:AU,3,FALSE)</f>
        <v>#N/A</v>
      </c>
      <c r="Z631" s="163">
        <f t="shared" si="58"/>
        <v>0</v>
      </c>
    </row>
    <row r="632" spans="2:26">
      <c r="B632" s="202">
        <v>631</v>
      </c>
      <c r="E632" s="169"/>
      <c r="F632" s="176"/>
      <c r="H632" s="173"/>
      <c r="I632" s="179"/>
      <c r="J632" s="179"/>
      <c r="Q632">
        <f t="shared" si="54"/>
        <v>0</v>
      </c>
      <c r="R632">
        <f t="shared" si="55"/>
        <v>630</v>
      </c>
      <c r="S632">
        <f>IFERROR(SEARCH(Crewlist!$P$5,V632)+ROW()/100000,"")</f>
        <v>1.0063200000000001</v>
      </c>
      <c r="T632">
        <f t="shared" si="56"/>
        <v>631</v>
      </c>
      <c r="U632">
        <f t="shared" si="57"/>
        <v>0</v>
      </c>
      <c r="V632" t="str">
        <f t="shared" si="59"/>
        <v xml:space="preserve"> </v>
      </c>
      <c r="Y632" s="162" t="e">
        <f>VLOOKUP(B632,Crewlist!AS:AU,3,FALSE)</f>
        <v>#N/A</v>
      </c>
      <c r="Z632" s="163">
        <f t="shared" si="58"/>
        <v>0</v>
      </c>
    </row>
    <row r="633" spans="2:26">
      <c r="B633" s="171">
        <v>632</v>
      </c>
      <c r="C633" s="169"/>
      <c r="D633" s="169"/>
      <c r="E633" s="169"/>
      <c r="F633" s="176"/>
      <c r="H633" s="178"/>
      <c r="I633" s="179"/>
      <c r="J633" s="179"/>
      <c r="L633" s="179"/>
      <c r="Q633">
        <f t="shared" si="54"/>
        <v>0</v>
      </c>
      <c r="R633">
        <f t="shared" si="55"/>
        <v>631</v>
      </c>
      <c r="S633">
        <f>IFERROR(SEARCH(Crewlist!$P$5,V633)+ROW()/100000,"")</f>
        <v>1.0063299999999999</v>
      </c>
      <c r="T633">
        <f t="shared" si="56"/>
        <v>632</v>
      </c>
      <c r="U633">
        <f t="shared" si="57"/>
        <v>0</v>
      </c>
      <c r="V633" t="str">
        <f t="shared" si="59"/>
        <v xml:space="preserve"> </v>
      </c>
      <c r="Y633" s="162" t="e">
        <f>VLOOKUP(B633,Crewlist!AS:AU,3,FALSE)</f>
        <v>#N/A</v>
      </c>
      <c r="Z633" s="163">
        <f t="shared" si="58"/>
        <v>0</v>
      </c>
    </row>
    <row r="634" spans="2:26">
      <c r="B634" s="171">
        <v>633</v>
      </c>
      <c r="E634" s="169"/>
      <c r="F634" s="176"/>
      <c r="H634" s="173"/>
      <c r="I634" s="179"/>
      <c r="J634" s="179"/>
      <c r="Q634">
        <f t="shared" si="54"/>
        <v>0</v>
      </c>
      <c r="R634">
        <f t="shared" si="55"/>
        <v>632</v>
      </c>
      <c r="S634">
        <f>IFERROR(SEARCH(Crewlist!$P$5,V634)+ROW()/100000,"")</f>
        <v>1.00634</v>
      </c>
      <c r="T634">
        <f t="shared" si="56"/>
        <v>633</v>
      </c>
      <c r="U634">
        <f t="shared" si="57"/>
        <v>0</v>
      </c>
      <c r="V634" t="str">
        <f t="shared" si="59"/>
        <v xml:space="preserve"> </v>
      </c>
      <c r="Y634" s="162" t="e">
        <f>VLOOKUP(B634,Crewlist!AS:AU,3,FALSE)</f>
        <v>#N/A</v>
      </c>
      <c r="Z634" s="163">
        <f t="shared" si="58"/>
        <v>0</v>
      </c>
    </row>
    <row r="635" spans="2:26">
      <c r="B635" s="202">
        <v>634</v>
      </c>
      <c r="E635" s="169"/>
      <c r="F635" s="176"/>
      <c r="H635" s="173"/>
      <c r="I635" s="179"/>
      <c r="J635" s="179"/>
      <c r="Q635">
        <f t="shared" si="54"/>
        <v>0</v>
      </c>
      <c r="R635">
        <f t="shared" si="55"/>
        <v>633</v>
      </c>
      <c r="S635">
        <f>IFERROR(SEARCH(Crewlist!$P$5,V635)+ROW()/100000,"")</f>
        <v>1.0063500000000001</v>
      </c>
      <c r="T635">
        <f t="shared" si="56"/>
        <v>634</v>
      </c>
      <c r="U635">
        <f t="shared" si="57"/>
        <v>0</v>
      </c>
      <c r="V635" t="str">
        <f t="shared" si="59"/>
        <v xml:space="preserve"> </v>
      </c>
      <c r="Y635" s="162" t="e">
        <f>VLOOKUP(B635,Crewlist!AS:AU,3,FALSE)</f>
        <v>#N/A</v>
      </c>
      <c r="Z635" s="163">
        <f t="shared" si="58"/>
        <v>0</v>
      </c>
    </row>
    <row r="636" spans="2:26">
      <c r="B636" s="171">
        <v>635</v>
      </c>
      <c r="E636" s="169"/>
      <c r="F636" s="176"/>
      <c r="H636" s="173"/>
      <c r="I636" s="179"/>
      <c r="J636" s="179"/>
      <c r="Q636">
        <f t="shared" si="54"/>
        <v>0</v>
      </c>
      <c r="R636">
        <f t="shared" si="55"/>
        <v>634</v>
      </c>
      <c r="S636">
        <f>IFERROR(SEARCH(Crewlist!$P$5,V636)+ROW()/100000,"")</f>
        <v>1.0063599999999999</v>
      </c>
      <c r="T636">
        <f t="shared" si="56"/>
        <v>635</v>
      </c>
      <c r="U636">
        <f t="shared" si="57"/>
        <v>0</v>
      </c>
      <c r="V636" t="str">
        <f t="shared" si="59"/>
        <v xml:space="preserve"> </v>
      </c>
      <c r="Y636" s="162" t="e">
        <f>VLOOKUP(B636,Crewlist!AS:AU,3,FALSE)</f>
        <v>#N/A</v>
      </c>
      <c r="Z636" s="163">
        <f t="shared" si="58"/>
        <v>0</v>
      </c>
    </row>
    <row r="637" spans="2:26">
      <c r="B637" s="171">
        <v>636</v>
      </c>
      <c r="E637" s="169"/>
      <c r="F637" s="176"/>
      <c r="H637" s="173"/>
      <c r="I637" s="179"/>
      <c r="J637" s="179"/>
      <c r="Q637">
        <f t="shared" si="54"/>
        <v>0</v>
      </c>
      <c r="R637">
        <f t="shared" si="55"/>
        <v>635</v>
      </c>
      <c r="S637">
        <f>IFERROR(SEARCH(Crewlist!$P$5,V637)+ROW()/100000,"")</f>
        <v>1.00637</v>
      </c>
      <c r="T637">
        <f t="shared" si="56"/>
        <v>636</v>
      </c>
      <c r="U637">
        <f t="shared" si="57"/>
        <v>0</v>
      </c>
      <c r="V637" t="str">
        <f t="shared" si="59"/>
        <v xml:space="preserve"> </v>
      </c>
      <c r="Y637" s="162" t="e">
        <f>VLOOKUP(B637,Crewlist!AS:AU,3,FALSE)</f>
        <v>#N/A</v>
      </c>
      <c r="Z637" s="163">
        <f t="shared" si="58"/>
        <v>0</v>
      </c>
    </row>
    <row r="638" spans="2:26">
      <c r="B638" s="202">
        <v>637</v>
      </c>
      <c r="E638" s="169"/>
      <c r="F638" s="176"/>
      <c r="H638" s="173"/>
      <c r="I638" s="179"/>
      <c r="J638" s="179"/>
      <c r="Q638">
        <f t="shared" si="54"/>
        <v>0</v>
      </c>
      <c r="R638">
        <f t="shared" si="55"/>
        <v>636</v>
      </c>
      <c r="S638">
        <f>IFERROR(SEARCH(Crewlist!$P$5,V638)+ROW()/100000,"")</f>
        <v>1.0063800000000001</v>
      </c>
      <c r="T638">
        <f t="shared" si="56"/>
        <v>637</v>
      </c>
      <c r="U638">
        <f t="shared" si="57"/>
        <v>0</v>
      </c>
      <c r="V638" t="str">
        <f t="shared" si="59"/>
        <v xml:space="preserve"> </v>
      </c>
      <c r="Y638" s="162" t="e">
        <f>VLOOKUP(B638,Crewlist!AS:AU,3,FALSE)</f>
        <v>#N/A</v>
      </c>
      <c r="Z638" s="163">
        <f t="shared" si="58"/>
        <v>0</v>
      </c>
    </row>
    <row r="639" spans="2:26">
      <c r="B639" s="171">
        <v>638</v>
      </c>
      <c r="E639" s="169"/>
      <c r="F639" s="176"/>
      <c r="H639" s="173"/>
      <c r="I639" s="179"/>
      <c r="J639" s="179"/>
      <c r="Q639">
        <f t="shared" si="54"/>
        <v>0</v>
      </c>
      <c r="R639">
        <f t="shared" si="55"/>
        <v>637</v>
      </c>
      <c r="S639">
        <f>IFERROR(SEARCH(Crewlist!$P$5,V639)+ROW()/100000,"")</f>
        <v>1.0063899999999999</v>
      </c>
      <c r="T639">
        <f t="shared" si="56"/>
        <v>638</v>
      </c>
      <c r="U639">
        <f t="shared" si="57"/>
        <v>0</v>
      </c>
      <c r="V639" t="str">
        <f t="shared" si="59"/>
        <v xml:space="preserve"> </v>
      </c>
      <c r="Y639" s="162" t="e">
        <f>VLOOKUP(B639,Crewlist!AS:AU,3,FALSE)</f>
        <v>#N/A</v>
      </c>
      <c r="Z639" s="163">
        <f t="shared" si="58"/>
        <v>0</v>
      </c>
    </row>
    <row r="640" spans="2:26">
      <c r="B640" s="171">
        <v>639</v>
      </c>
      <c r="E640" s="169"/>
      <c r="F640" s="215"/>
      <c r="H640" s="173"/>
      <c r="I640" s="179"/>
      <c r="J640" s="179"/>
      <c r="L640" s="183"/>
      <c r="Q640">
        <f t="shared" si="54"/>
        <v>0</v>
      </c>
      <c r="R640">
        <f t="shared" si="55"/>
        <v>638</v>
      </c>
      <c r="S640">
        <f>IFERROR(SEARCH(Crewlist!$P$5,V640)+ROW()/100000,"")</f>
        <v>1.0064</v>
      </c>
      <c r="T640">
        <f t="shared" si="56"/>
        <v>639</v>
      </c>
      <c r="U640">
        <f t="shared" si="57"/>
        <v>0</v>
      </c>
      <c r="V640" t="str">
        <f t="shared" si="59"/>
        <v xml:space="preserve"> </v>
      </c>
      <c r="Y640" s="162" t="e">
        <f>VLOOKUP(B640,Crewlist!AS:AU,3,FALSE)</f>
        <v>#N/A</v>
      </c>
      <c r="Z640" s="163">
        <f t="shared" si="58"/>
        <v>0</v>
      </c>
    </row>
    <row r="641" spans="2:26">
      <c r="B641" s="202">
        <v>640</v>
      </c>
      <c r="C641" s="169"/>
      <c r="D641" s="169"/>
      <c r="E641" s="169"/>
      <c r="F641" s="215"/>
      <c r="H641" s="178"/>
      <c r="I641" s="179"/>
      <c r="J641" s="179"/>
      <c r="L641" s="215"/>
      <c r="Q641">
        <f t="shared" ref="Q641:Q704" si="60">IF(C641&lt;&gt; "",B641,0)</f>
        <v>0</v>
      </c>
      <c r="R641">
        <f t="shared" si="55"/>
        <v>639</v>
      </c>
      <c r="S641">
        <f>IFERROR(SEARCH(Crewlist!$P$5,V641)+ROW()/100000,"")</f>
        <v>1.00641</v>
      </c>
      <c r="T641">
        <f t="shared" si="56"/>
        <v>640</v>
      </c>
      <c r="U641">
        <f t="shared" si="57"/>
        <v>0</v>
      </c>
      <c r="V641" t="str">
        <f t="shared" si="59"/>
        <v xml:space="preserve"> </v>
      </c>
      <c r="Y641" s="162" t="e">
        <f>VLOOKUP(B641,Crewlist!AS:AU,3,FALSE)</f>
        <v>#N/A</v>
      </c>
      <c r="Z641" s="163">
        <f t="shared" si="58"/>
        <v>0</v>
      </c>
    </row>
    <row r="642" spans="2:26">
      <c r="B642" s="171">
        <v>641</v>
      </c>
      <c r="E642" s="169"/>
      <c r="F642" s="176"/>
      <c r="H642" s="178"/>
      <c r="I642" s="179"/>
      <c r="J642" s="179"/>
      <c r="L642" s="179"/>
      <c r="Q642">
        <f t="shared" si="60"/>
        <v>0</v>
      </c>
      <c r="R642">
        <f t="shared" ref="R642:R705" si="61">IFERROR(RANK(S642,$S$2:$S$1998,1),"")</f>
        <v>640</v>
      </c>
      <c r="S642">
        <f>IFERROR(SEARCH(Crewlist!$P$5,V642)+ROW()/100000,"")</f>
        <v>1.0064200000000001</v>
      </c>
      <c r="T642">
        <f t="shared" ref="T642:T704" si="62">B642</f>
        <v>641</v>
      </c>
      <c r="U642">
        <f t="shared" ref="U642:U704" si="63">C642</f>
        <v>0</v>
      </c>
      <c r="V642" t="str">
        <f t="shared" si="59"/>
        <v xml:space="preserve"> </v>
      </c>
      <c r="Y642" s="162" t="e">
        <f>VLOOKUP(B642,Crewlist!AS:AU,3,FALSE)</f>
        <v>#N/A</v>
      </c>
      <c r="Z642" s="163">
        <f t="shared" ref="Z642:Z705" si="64">IF(ISNUMBER(SEARCH("",Y642)),Y642,N642)</f>
        <v>0</v>
      </c>
    </row>
    <row r="643" spans="2:26">
      <c r="B643" s="171">
        <v>642</v>
      </c>
      <c r="E643" s="169"/>
      <c r="F643" s="215"/>
      <c r="H643" s="173"/>
      <c r="I643" s="179"/>
      <c r="J643" s="179"/>
      <c r="L643" s="215"/>
      <c r="Q643">
        <f t="shared" si="60"/>
        <v>0</v>
      </c>
      <c r="R643">
        <f t="shared" si="61"/>
        <v>641</v>
      </c>
      <c r="S643">
        <f>IFERROR(SEARCH(Crewlist!$P$5,V643)+ROW()/100000,"")</f>
        <v>1.0064299999999999</v>
      </c>
      <c r="T643">
        <f t="shared" si="62"/>
        <v>642</v>
      </c>
      <c r="U643">
        <f t="shared" si="63"/>
        <v>0</v>
      </c>
      <c r="V643" t="str">
        <f t="shared" ref="V643:V706" si="65">CONCATENATE(C643," ",D643)</f>
        <v xml:space="preserve"> </v>
      </c>
      <c r="Y643" s="162" t="e">
        <f>VLOOKUP(B643,Crewlist!AS:AU,3,FALSE)</f>
        <v>#N/A</v>
      </c>
      <c r="Z643" s="163">
        <f t="shared" si="64"/>
        <v>0</v>
      </c>
    </row>
    <row r="644" spans="2:26">
      <c r="B644" s="202">
        <v>643</v>
      </c>
      <c r="C644" s="169"/>
      <c r="D644" s="169"/>
      <c r="E644" s="169"/>
      <c r="F644" s="176"/>
      <c r="G644" s="177"/>
      <c r="H644" s="178"/>
      <c r="I644" s="179"/>
      <c r="J644" s="179"/>
      <c r="K644" s="179"/>
      <c r="L644" s="179"/>
      <c r="M644" s="180"/>
      <c r="Q644">
        <f t="shared" si="60"/>
        <v>0</v>
      </c>
      <c r="R644">
        <f t="shared" si="61"/>
        <v>642</v>
      </c>
      <c r="S644">
        <f>IFERROR(SEARCH(Crewlist!$P$5,V644)+ROW()/100000,"")</f>
        <v>1.00644</v>
      </c>
      <c r="T644">
        <f t="shared" si="62"/>
        <v>643</v>
      </c>
      <c r="U644">
        <f t="shared" si="63"/>
        <v>0</v>
      </c>
      <c r="V644" t="str">
        <f t="shared" si="65"/>
        <v xml:space="preserve"> </v>
      </c>
      <c r="Y644" s="162" t="e">
        <f>VLOOKUP(B644,Crewlist!AS:AU,3,FALSE)</f>
        <v>#N/A</v>
      </c>
      <c r="Z644" s="163">
        <f t="shared" si="64"/>
        <v>0</v>
      </c>
    </row>
    <row r="645" spans="2:26">
      <c r="B645" s="171">
        <v>644</v>
      </c>
      <c r="E645" s="169"/>
      <c r="F645" s="176"/>
      <c r="H645" s="173"/>
      <c r="I645" s="179"/>
      <c r="J645" s="179"/>
      <c r="L645" s="179"/>
      <c r="Q645">
        <f t="shared" si="60"/>
        <v>0</v>
      </c>
      <c r="R645">
        <f t="shared" si="61"/>
        <v>643</v>
      </c>
      <c r="S645">
        <f>IFERROR(SEARCH(Crewlist!$P$5,V645)+ROW()/100000,"")</f>
        <v>1.0064500000000001</v>
      </c>
      <c r="T645">
        <f t="shared" si="62"/>
        <v>644</v>
      </c>
      <c r="U645">
        <f t="shared" si="63"/>
        <v>0</v>
      </c>
      <c r="V645" t="str">
        <f t="shared" si="65"/>
        <v xml:space="preserve"> </v>
      </c>
      <c r="Y645" s="162" t="e">
        <f>VLOOKUP(B645,Crewlist!AS:AU,3,FALSE)</f>
        <v>#N/A</v>
      </c>
      <c r="Z645" s="163">
        <f t="shared" si="64"/>
        <v>0</v>
      </c>
    </row>
    <row r="646" spans="2:26">
      <c r="B646" s="171">
        <v>645</v>
      </c>
      <c r="E646" s="169"/>
      <c r="F646" s="176"/>
      <c r="H646" s="173"/>
      <c r="I646" s="179"/>
      <c r="J646" s="179"/>
      <c r="L646" s="179"/>
      <c r="Q646">
        <f t="shared" si="60"/>
        <v>0</v>
      </c>
      <c r="R646">
        <f t="shared" si="61"/>
        <v>644</v>
      </c>
      <c r="S646">
        <f>IFERROR(SEARCH(Crewlist!$P$5,V646)+ROW()/100000,"")</f>
        <v>1.0064599999999999</v>
      </c>
      <c r="T646">
        <f t="shared" si="62"/>
        <v>645</v>
      </c>
      <c r="U646">
        <f t="shared" si="63"/>
        <v>0</v>
      </c>
      <c r="V646" t="str">
        <f t="shared" si="65"/>
        <v xml:space="preserve"> </v>
      </c>
      <c r="Y646" s="162" t="e">
        <f>VLOOKUP(B646,Crewlist!AS:AU,3,FALSE)</f>
        <v>#N/A</v>
      </c>
      <c r="Z646" s="163">
        <f t="shared" si="64"/>
        <v>0</v>
      </c>
    </row>
    <row r="647" spans="2:26">
      <c r="B647" s="202">
        <v>646</v>
      </c>
      <c r="C647" s="169"/>
      <c r="D647" s="169"/>
      <c r="E647" s="169"/>
      <c r="F647" s="176"/>
      <c r="H647" s="178"/>
      <c r="I647" s="179"/>
      <c r="J647" s="179"/>
      <c r="L647" s="179"/>
      <c r="Q647">
        <f t="shared" si="60"/>
        <v>0</v>
      </c>
      <c r="R647">
        <f t="shared" si="61"/>
        <v>645</v>
      </c>
      <c r="S647">
        <f>IFERROR(SEARCH(Crewlist!$P$5,V647)+ROW()/100000,"")</f>
        <v>1.00647</v>
      </c>
      <c r="T647">
        <f t="shared" si="62"/>
        <v>646</v>
      </c>
      <c r="U647">
        <f t="shared" si="63"/>
        <v>0</v>
      </c>
      <c r="V647" t="str">
        <f t="shared" si="65"/>
        <v xml:space="preserve"> </v>
      </c>
      <c r="Y647" s="162" t="e">
        <f>VLOOKUP(B647,Crewlist!AS:AU,3,FALSE)</f>
        <v>#N/A</v>
      </c>
      <c r="Z647" s="163">
        <f t="shared" si="64"/>
        <v>0</v>
      </c>
    </row>
    <row r="648" spans="2:26">
      <c r="B648" s="171">
        <v>647</v>
      </c>
      <c r="C648" s="169"/>
      <c r="D648" s="169"/>
      <c r="E648" s="169"/>
      <c r="F648" s="176"/>
      <c r="H648" s="178"/>
      <c r="I648" s="179"/>
      <c r="J648" s="179"/>
      <c r="L648" s="179"/>
      <c r="Q648">
        <f t="shared" si="60"/>
        <v>0</v>
      </c>
      <c r="R648">
        <f t="shared" si="61"/>
        <v>646</v>
      </c>
      <c r="S648">
        <f>IFERROR(SEARCH(Crewlist!$P$5,V648)+ROW()/100000,"")</f>
        <v>1.00648</v>
      </c>
      <c r="T648">
        <f t="shared" si="62"/>
        <v>647</v>
      </c>
      <c r="U648">
        <f t="shared" si="63"/>
        <v>0</v>
      </c>
      <c r="V648" t="str">
        <f t="shared" si="65"/>
        <v xml:space="preserve"> </v>
      </c>
      <c r="Y648" s="162" t="e">
        <f>VLOOKUP(B648,Crewlist!AS:AU,3,FALSE)</f>
        <v>#N/A</v>
      </c>
      <c r="Z648" s="163">
        <f t="shared" si="64"/>
        <v>0</v>
      </c>
    </row>
    <row r="649" spans="2:26">
      <c r="B649" s="171">
        <v>648</v>
      </c>
      <c r="C649" s="169"/>
      <c r="D649" s="169"/>
      <c r="E649" s="169"/>
      <c r="F649" s="176"/>
      <c r="H649" s="178"/>
      <c r="I649" s="179"/>
      <c r="J649" s="179"/>
      <c r="K649" s="179"/>
      <c r="L649" s="179"/>
      <c r="Q649">
        <f t="shared" si="60"/>
        <v>0</v>
      </c>
      <c r="R649">
        <f t="shared" si="61"/>
        <v>647</v>
      </c>
      <c r="S649">
        <f>IFERROR(SEARCH(Crewlist!$P$5,V649)+ROW()/100000,"")</f>
        <v>1.0064900000000001</v>
      </c>
      <c r="T649">
        <f t="shared" si="62"/>
        <v>648</v>
      </c>
      <c r="U649">
        <f t="shared" si="63"/>
        <v>0</v>
      </c>
      <c r="V649" t="str">
        <f t="shared" si="65"/>
        <v xml:space="preserve"> </v>
      </c>
      <c r="Y649" s="162" t="e">
        <f>VLOOKUP(B649,Crewlist!AS:AU,3,FALSE)</f>
        <v>#N/A</v>
      </c>
      <c r="Z649" s="163">
        <f t="shared" si="64"/>
        <v>0</v>
      </c>
    </row>
    <row r="650" spans="2:26">
      <c r="B650" s="202">
        <v>649</v>
      </c>
      <c r="C650" s="169"/>
      <c r="D650" s="169"/>
      <c r="E650" s="169"/>
      <c r="F650" s="176"/>
      <c r="G650" s="177"/>
      <c r="H650" s="178"/>
      <c r="I650" s="179"/>
      <c r="J650" s="179"/>
      <c r="K650" s="179"/>
      <c r="L650" s="179"/>
      <c r="M650" s="180"/>
      <c r="Q650">
        <f t="shared" si="60"/>
        <v>0</v>
      </c>
      <c r="R650">
        <f t="shared" si="61"/>
        <v>648</v>
      </c>
      <c r="S650">
        <f>IFERROR(SEARCH(Crewlist!$P$5,V650)+ROW()/100000,"")</f>
        <v>1.0065</v>
      </c>
      <c r="T650">
        <f t="shared" si="62"/>
        <v>649</v>
      </c>
      <c r="U650">
        <f t="shared" si="63"/>
        <v>0</v>
      </c>
      <c r="V650" t="str">
        <f t="shared" si="65"/>
        <v xml:space="preserve"> </v>
      </c>
      <c r="Y650" s="162" t="e">
        <f>VLOOKUP(B650,Crewlist!AS:AU,3,FALSE)</f>
        <v>#N/A</v>
      </c>
      <c r="Z650" s="163">
        <f t="shared" si="64"/>
        <v>0</v>
      </c>
    </row>
    <row r="651" spans="2:26">
      <c r="B651" s="171">
        <v>650</v>
      </c>
      <c r="E651" s="169"/>
      <c r="F651" s="215"/>
      <c r="H651" s="173"/>
      <c r="I651" s="179"/>
      <c r="J651" s="179"/>
      <c r="L651" s="215"/>
      <c r="Q651">
        <f t="shared" si="60"/>
        <v>0</v>
      </c>
      <c r="R651">
        <f t="shared" si="61"/>
        <v>649</v>
      </c>
      <c r="S651">
        <f>IFERROR(SEARCH(Crewlist!$P$5,V651)+ROW()/100000,"")</f>
        <v>1.00651</v>
      </c>
      <c r="T651">
        <f t="shared" si="62"/>
        <v>650</v>
      </c>
      <c r="U651">
        <f t="shared" si="63"/>
        <v>0</v>
      </c>
      <c r="V651" t="str">
        <f t="shared" si="65"/>
        <v xml:space="preserve"> </v>
      </c>
      <c r="Y651" s="162" t="e">
        <f>VLOOKUP(B651,Crewlist!AS:AU,3,FALSE)</f>
        <v>#N/A</v>
      </c>
      <c r="Z651" s="163">
        <f t="shared" si="64"/>
        <v>0</v>
      </c>
    </row>
    <row r="652" spans="2:26">
      <c r="B652" s="171">
        <v>651</v>
      </c>
      <c r="E652" s="169"/>
      <c r="F652" s="176"/>
      <c r="H652" s="173"/>
      <c r="I652" s="179"/>
      <c r="J652" s="179"/>
      <c r="K652" s="181"/>
      <c r="L652" s="179"/>
      <c r="M652" s="182"/>
      <c r="Q652">
        <f t="shared" si="60"/>
        <v>0</v>
      </c>
      <c r="R652">
        <f t="shared" si="61"/>
        <v>650</v>
      </c>
      <c r="S652">
        <f>IFERROR(SEARCH(Crewlist!$P$5,V652)+ROW()/100000,"")</f>
        <v>1.0065200000000001</v>
      </c>
      <c r="T652">
        <f t="shared" si="62"/>
        <v>651</v>
      </c>
      <c r="U652">
        <f t="shared" si="63"/>
        <v>0</v>
      </c>
      <c r="V652" t="str">
        <f t="shared" si="65"/>
        <v xml:space="preserve"> </v>
      </c>
      <c r="Y652" s="162" t="e">
        <f>VLOOKUP(B652,Crewlist!AS:AU,3,FALSE)</f>
        <v>#N/A</v>
      </c>
      <c r="Z652" s="163">
        <f t="shared" si="64"/>
        <v>0</v>
      </c>
    </row>
    <row r="653" spans="2:26">
      <c r="B653" s="202">
        <v>652</v>
      </c>
      <c r="C653" s="169"/>
      <c r="D653" s="169"/>
      <c r="E653" s="169"/>
      <c r="F653" s="176"/>
      <c r="G653" s="177"/>
      <c r="H653" s="178"/>
      <c r="I653" s="179"/>
      <c r="J653" s="179"/>
      <c r="K653" s="179"/>
      <c r="L653" s="179"/>
      <c r="Q653">
        <f t="shared" si="60"/>
        <v>0</v>
      </c>
      <c r="R653">
        <f t="shared" si="61"/>
        <v>651</v>
      </c>
      <c r="S653">
        <f>IFERROR(SEARCH(Crewlist!$P$5,V653)+ROW()/100000,"")</f>
        <v>1.0065299999999999</v>
      </c>
      <c r="T653">
        <f t="shared" si="62"/>
        <v>652</v>
      </c>
      <c r="U653">
        <f t="shared" si="63"/>
        <v>0</v>
      </c>
      <c r="V653" t="str">
        <f t="shared" si="65"/>
        <v xml:space="preserve"> </v>
      </c>
      <c r="Y653" s="162" t="e">
        <f>VLOOKUP(B653,Crewlist!AS:AU,3,FALSE)</f>
        <v>#N/A</v>
      </c>
      <c r="Z653" s="163">
        <f t="shared" si="64"/>
        <v>0</v>
      </c>
    </row>
    <row r="654" spans="2:26">
      <c r="B654" s="171">
        <v>653</v>
      </c>
      <c r="C654" s="169"/>
      <c r="D654" s="169"/>
      <c r="E654" s="169"/>
      <c r="F654" s="176"/>
      <c r="H654" s="178"/>
      <c r="I654" s="179"/>
      <c r="J654" s="179"/>
      <c r="K654" s="179"/>
      <c r="L654" s="179"/>
      <c r="Q654">
        <f t="shared" si="60"/>
        <v>0</v>
      </c>
      <c r="R654">
        <f t="shared" si="61"/>
        <v>652</v>
      </c>
      <c r="S654">
        <f>IFERROR(SEARCH(Crewlist!$P$5,V654)+ROW()/100000,"")</f>
        <v>1.00654</v>
      </c>
      <c r="T654">
        <f t="shared" si="62"/>
        <v>653</v>
      </c>
      <c r="U654">
        <f t="shared" si="63"/>
        <v>0</v>
      </c>
      <c r="V654" t="str">
        <f t="shared" si="65"/>
        <v xml:space="preserve"> </v>
      </c>
      <c r="Y654" s="162" t="e">
        <f>VLOOKUP(B654,Crewlist!AS:AU,3,FALSE)</f>
        <v>#N/A</v>
      </c>
      <c r="Z654" s="163">
        <f t="shared" si="64"/>
        <v>0</v>
      </c>
    </row>
    <row r="655" spans="2:26">
      <c r="B655" s="171">
        <v>654</v>
      </c>
      <c r="E655" s="169"/>
      <c r="F655" s="176"/>
      <c r="H655" s="173"/>
      <c r="I655" s="179"/>
      <c r="J655" s="179"/>
      <c r="L655" s="179"/>
      <c r="Q655">
        <f t="shared" si="60"/>
        <v>0</v>
      </c>
      <c r="R655">
        <f t="shared" si="61"/>
        <v>653</v>
      </c>
      <c r="S655">
        <f>IFERROR(SEARCH(Crewlist!$P$5,V655)+ROW()/100000,"")</f>
        <v>1.0065500000000001</v>
      </c>
      <c r="T655">
        <f t="shared" si="62"/>
        <v>654</v>
      </c>
      <c r="U655">
        <f t="shared" si="63"/>
        <v>0</v>
      </c>
      <c r="V655" t="str">
        <f t="shared" si="65"/>
        <v xml:space="preserve"> </v>
      </c>
      <c r="Y655" s="162" t="e">
        <f>VLOOKUP(B655,Crewlist!AS:AU,3,FALSE)</f>
        <v>#N/A</v>
      </c>
      <c r="Z655" s="163">
        <f t="shared" si="64"/>
        <v>0</v>
      </c>
    </row>
    <row r="656" spans="2:26">
      <c r="B656" s="202">
        <v>655</v>
      </c>
      <c r="E656" s="169"/>
      <c r="F656" s="176"/>
      <c r="H656" s="173"/>
      <c r="I656" s="174"/>
      <c r="J656" s="174"/>
      <c r="L656" s="179"/>
      <c r="Q656">
        <f t="shared" si="60"/>
        <v>0</v>
      </c>
      <c r="R656">
        <f t="shared" si="61"/>
        <v>654</v>
      </c>
      <c r="S656">
        <f>IFERROR(SEARCH(Crewlist!$P$5,V656)+ROW()/100000,"")</f>
        <v>1.0065599999999999</v>
      </c>
      <c r="T656">
        <f t="shared" si="62"/>
        <v>655</v>
      </c>
      <c r="U656">
        <f t="shared" si="63"/>
        <v>0</v>
      </c>
      <c r="V656" t="str">
        <f t="shared" si="65"/>
        <v xml:space="preserve"> </v>
      </c>
      <c r="Y656" s="162" t="e">
        <f>VLOOKUP(B656,Crewlist!AS:AU,3,FALSE)</f>
        <v>#N/A</v>
      </c>
      <c r="Z656" s="163">
        <f t="shared" si="64"/>
        <v>0</v>
      </c>
    </row>
    <row r="657" spans="2:26">
      <c r="B657" s="171">
        <v>656</v>
      </c>
      <c r="E657" s="169"/>
      <c r="F657" s="176"/>
      <c r="H657" s="173"/>
      <c r="I657" s="174"/>
      <c r="J657" s="174"/>
      <c r="L657" s="179"/>
      <c r="Q657">
        <f t="shared" si="60"/>
        <v>0</v>
      </c>
      <c r="R657">
        <f t="shared" si="61"/>
        <v>655</v>
      </c>
      <c r="S657">
        <f>IFERROR(SEARCH(Crewlist!$P$5,V657)+ROW()/100000,"")</f>
        <v>1.00657</v>
      </c>
      <c r="T657">
        <f t="shared" si="62"/>
        <v>656</v>
      </c>
      <c r="U657">
        <f t="shared" si="63"/>
        <v>0</v>
      </c>
      <c r="V657" t="str">
        <f t="shared" si="65"/>
        <v xml:space="preserve"> </v>
      </c>
      <c r="Y657" s="162" t="e">
        <f>VLOOKUP(B657,Crewlist!AS:AU,3,FALSE)</f>
        <v>#N/A</v>
      </c>
      <c r="Z657" s="163">
        <f t="shared" si="64"/>
        <v>0</v>
      </c>
    </row>
    <row r="658" spans="2:26">
      <c r="B658" s="171">
        <v>657</v>
      </c>
      <c r="E658" s="169"/>
      <c r="F658" s="176"/>
      <c r="H658" s="173"/>
      <c r="I658" s="174"/>
      <c r="J658" s="174"/>
      <c r="L658" s="179"/>
      <c r="Q658">
        <f t="shared" si="60"/>
        <v>0</v>
      </c>
      <c r="R658">
        <f t="shared" si="61"/>
        <v>656</v>
      </c>
      <c r="S658">
        <f>IFERROR(SEARCH(Crewlist!$P$5,V658)+ROW()/100000,"")</f>
        <v>1.00658</v>
      </c>
      <c r="T658">
        <f t="shared" si="62"/>
        <v>657</v>
      </c>
      <c r="U658">
        <f t="shared" si="63"/>
        <v>0</v>
      </c>
      <c r="V658" t="str">
        <f t="shared" si="65"/>
        <v xml:space="preserve"> </v>
      </c>
      <c r="Y658" s="162" t="e">
        <f>VLOOKUP(B658,Crewlist!AS:AU,3,FALSE)</f>
        <v>#N/A</v>
      </c>
      <c r="Z658" s="163">
        <f t="shared" si="64"/>
        <v>0</v>
      </c>
    </row>
    <row r="659" spans="2:26">
      <c r="B659" s="202">
        <v>658</v>
      </c>
      <c r="E659" s="169"/>
      <c r="F659" s="176"/>
      <c r="H659" s="173"/>
      <c r="I659" s="179"/>
      <c r="J659" s="179"/>
      <c r="L659" s="179"/>
      <c r="Q659">
        <f t="shared" si="60"/>
        <v>0</v>
      </c>
      <c r="R659">
        <f t="shared" si="61"/>
        <v>657</v>
      </c>
      <c r="S659">
        <f>IFERROR(SEARCH(Crewlist!$P$5,V659)+ROW()/100000,"")</f>
        <v>1.0065900000000001</v>
      </c>
      <c r="T659">
        <f t="shared" si="62"/>
        <v>658</v>
      </c>
      <c r="U659">
        <f t="shared" si="63"/>
        <v>0</v>
      </c>
      <c r="V659" t="str">
        <f t="shared" si="65"/>
        <v xml:space="preserve"> </v>
      </c>
      <c r="Y659" s="162" t="e">
        <f>VLOOKUP(B659,Crewlist!AS:AU,3,FALSE)</f>
        <v>#N/A</v>
      </c>
      <c r="Z659" s="163">
        <f t="shared" si="64"/>
        <v>0</v>
      </c>
    </row>
    <row r="660" spans="2:26">
      <c r="B660" s="171">
        <v>659</v>
      </c>
      <c r="H660" s="173"/>
      <c r="I660" s="174"/>
      <c r="J660" s="174"/>
      <c r="Q660">
        <f t="shared" si="60"/>
        <v>0</v>
      </c>
      <c r="R660">
        <f t="shared" si="61"/>
        <v>658</v>
      </c>
      <c r="S660">
        <f>IFERROR(SEARCH(Crewlist!$P$5,V660)+ROW()/100000,"")</f>
        <v>1.0065999999999999</v>
      </c>
      <c r="T660">
        <f t="shared" si="62"/>
        <v>659</v>
      </c>
      <c r="U660">
        <f t="shared" si="63"/>
        <v>0</v>
      </c>
      <c r="V660" t="str">
        <f t="shared" si="65"/>
        <v xml:space="preserve"> </v>
      </c>
      <c r="Y660" s="162" t="e">
        <f>VLOOKUP(B660,Crewlist!AS:AU,3,FALSE)</f>
        <v>#N/A</v>
      </c>
      <c r="Z660" s="163">
        <f t="shared" si="64"/>
        <v>0</v>
      </c>
    </row>
    <row r="661" spans="2:26">
      <c r="B661" s="171">
        <v>660</v>
      </c>
      <c r="H661" s="173"/>
      <c r="I661" s="174"/>
      <c r="J661" s="174"/>
      <c r="Q661">
        <f t="shared" si="60"/>
        <v>0</v>
      </c>
      <c r="R661">
        <f t="shared" si="61"/>
        <v>659</v>
      </c>
      <c r="S661">
        <f>IFERROR(SEARCH(Crewlist!$P$5,V661)+ROW()/100000,"")</f>
        <v>1.00661</v>
      </c>
      <c r="T661">
        <f t="shared" si="62"/>
        <v>660</v>
      </c>
      <c r="U661">
        <f t="shared" si="63"/>
        <v>0</v>
      </c>
      <c r="V661" t="str">
        <f t="shared" si="65"/>
        <v xml:space="preserve"> </v>
      </c>
      <c r="Y661" s="162" t="e">
        <f>VLOOKUP(B661,Crewlist!AS:AU,3,FALSE)</f>
        <v>#N/A</v>
      </c>
      <c r="Z661" s="163">
        <f t="shared" si="64"/>
        <v>0</v>
      </c>
    </row>
    <row r="662" spans="2:26">
      <c r="B662" s="202">
        <v>661</v>
      </c>
      <c r="Q662">
        <f t="shared" si="60"/>
        <v>0</v>
      </c>
      <c r="R662">
        <f t="shared" si="61"/>
        <v>660</v>
      </c>
      <c r="S662">
        <f>IFERROR(SEARCH(Crewlist!$P$5,V662)+ROW()/100000,"")</f>
        <v>1.0066200000000001</v>
      </c>
      <c r="T662">
        <f t="shared" si="62"/>
        <v>661</v>
      </c>
      <c r="U662">
        <f t="shared" si="63"/>
        <v>0</v>
      </c>
      <c r="V662" t="str">
        <f t="shared" si="65"/>
        <v xml:space="preserve"> </v>
      </c>
      <c r="Y662" s="162" t="e">
        <f>VLOOKUP(B662,Crewlist!AS:AU,3,FALSE)</f>
        <v>#N/A</v>
      </c>
      <c r="Z662" s="163">
        <f t="shared" si="64"/>
        <v>0</v>
      </c>
    </row>
    <row r="663" spans="2:26">
      <c r="B663" s="171">
        <v>662</v>
      </c>
      <c r="H663" s="173"/>
      <c r="I663" s="174"/>
      <c r="J663" s="174"/>
      <c r="Q663">
        <f t="shared" si="60"/>
        <v>0</v>
      </c>
      <c r="R663">
        <f t="shared" si="61"/>
        <v>661</v>
      </c>
      <c r="S663">
        <f>IFERROR(SEARCH(Crewlist!$P$5,V663)+ROW()/100000,"")</f>
        <v>1.0066299999999999</v>
      </c>
      <c r="T663">
        <f t="shared" si="62"/>
        <v>662</v>
      </c>
      <c r="U663">
        <f t="shared" si="63"/>
        <v>0</v>
      </c>
      <c r="V663" t="str">
        <f t="shared" si="65"/>
        <v xml:space="preserve"> </v>
      </c>
      <c r="Y663" s="162" t="e">
        <f>VLOOKUP(B663,Crewlist!AS:AU,3,FALSE)</f>
        <v>#N/A</v>
      </c>
      <c r="Z663" s="163">
        <f t="shared" si="64"/>
        <v>0</v>
      </c>
    </row>
    <row r="664" spans="2:26">
      <c r="B664" s="171">
        <v>663</v>
      </c>
      <c r="H664" s="173"/>
      <c r="I664" s="174"/>
      <c r="J664" s="174"/>
      <c r="Q664">
        <f t="shared" si="60"/>
        <v>0</v>
      </c>
      <c r="R664">
        <f t="shared" si="61"/>
        <v>662</v>
      </c>
      <c r="S664">
        <f>IFERROR(SEARCH(Crewlist!$P$5,V664)+ROW()/100000,"")</f>
        <v>1.00664</v>
      </c>
      <c r="T664">
        <f t="shared" si="62"/>
        <v>663</v>
      </c>
      <c r="U664">
        <f t="shared" si="63"/>
        <v>0</v>
      </c>
      <c r="V664" t="str">
        <f t="shared" si="65"/>
        <v xml:space="preserve"> </v>
      </c>
      <c r="Y664" s="162" t="e">
        <f>VLOOKUP(B664,Crewlist!AS:AU,3,FALSE)</f>
        <v>#N/A</v>
      </c>
      <c r="Z664" s="163">
        <f t="shared" si="64"/>
        <v>0</v>
      </c>
    </row>
    <row r="665" spans="2:26">
      <c r="B665" s="202">
        <v>664</v>
      </c>
      <c r="H665" s="173"/>
      <c r="I665" s="174"/>
      <c r="J665" s="174"/>
      <c r="Q665">
        <f t="shared" si="60"/>
        <v>0</v>
      </c>
      <c r="R665">
        <f t="shared" si="61"/>
        <v>663</v>
      </c>
      <c r="S665">
        <f>IFERROR(SEARCH(Crewlist!$P$5,V665)+ROW()/100000,"")</f>
        <v>1.00665</v>
      </c>
      <c r="T665">
        <f t="shared" si="62"/>
        <v>664</v>
      </c>
      <c r="U665">
        <f t="shared" si="63"/>
        <v>0</v>
      </c>
      <c r="V665" t="str">
        <f t="shared" si="65"/>
        <v xml:space="preserve"> </v>
      </c>
      <c r="Y665" s="162" t="e">
        <f>VLOOKUP(B665,Crewlist!AS:AU,3,FALSE)</f>
        <v>#N/A</v>
      </c>
      <c r="Z665" s="163">
        <f t="shared" si="64"/>
        <v>0</v>
      </c>
    </row>
    <row r="666" spans="2:26">
      <c r="B666" s="171">
        <v>665</v>
      </c>
      <c r="H666" s="173"/>
      <c r="I666" s="174"/>
      <c r="J666" s="174"/>
      <c r="Q666">
        <f t="shared" si="60"/>
        <v>0</v>
      </c>
      <c r="R666">
        <f t="shared" si="61"/>
        <v>664</v>
      </c>
      <c r="S666">
        <f>IFERROR(SEARCH(Crewlist!$P$5,V666)+ROW()/100000,"")</f>
        <v>1.0066600000000001</v>
      </c>
      <c r="T666">
        <f t="shared" si="62"/>
        <v>665</v>
      </c>
      <c r="U666">
        <f t="shared" si="63"/>
        <v>0</v>
      </c>
      <c r="V666" t="str">
        <f t="shared" si="65"/>
        <v xml:space="preserve"> </v>
      </c>
      <c r="Y666" s="162" t="e">
        <f>VLOOKUP(B666,Crewlist!AS:AU,3,FALSE)</f>
        <v>#N/A</v>
      </c>
      <c r="Z666" s="163">
        <f t="shared" si="64"/>
        <v>0</v>
      </c>
    </row>
    <row r="667" spans="2:26">
      <c r="B667" s="171">
        <v>666</v>
      </c>
      <c r="H667" s="173"/>
      <c r="I667" s="174"/>
      <c r="J667" s="174"/>
      <c r="Q667">
        <f t="shared" si="60"/>
        <v>0</v>
      </c>
      <c r="R667">
        <f t="shared" si="61"/>
        <v>665</v>
      </c>
      <c r="S667">
        <f>IFERROR(SEARCH(Crewlist!$P$5,V667)+ROW()/100000,"")</f>
        <v>1.00667</v>
      </c>
      <c r="T667">
        <f t="shared" si="62"/>
        <v>666</v>
      </c>
      <c r="U667">
        <f t="shared" si="63"/>
        <v>0</v>
      </c>
      <c r="V667" t="str">
        <f t="shared" si="65"/>
        <v xml:space="preserve"> </v>
      </c>
      <c r="Y667" s="162" t="e">
        <f>VLOOKUP(B667,Crewlist!AS:AU,3,FALSE)</f>
        <v>#N/A</v>
      </c>
      <c r="Z667" s="163">
        <f t="shared" si="64"/>
        <v>0</v>
      </c>
    </row>
    <row r="668" spans="2:26">
      <c r="B668" s="202">
        <v>667</v>
      </c>
      <c r="L668" s="179"/>
      <c r="Q668">
        <f t="shared" si="60"/>
        <v>0</v>
      </c>
      <c r="R668">
        <f t="shared" si="61"/>
        <v>666</v>
      </c>
      <c r="S668">
        <f>IFERROR(SEARCH(Crewlist!$P$5,V668)+ROW()/100000,"")</f>
        <v>1.00668</v>
      </c>
      <c r="T668">
        <f t="shared" si="62"/>
        <v>667</v>
      </c>
      <c r="U668">
        <f t="shared" si="63"/>
        <v>0</v>
      </c>
      <c r="V668" t="str">
        <f t="shared" si="65"/>
        <v xml:space="preserve"> </v>
      </c>
      <c r="Y668" s="162" t="e">
        <f>VLOOKUP(B668,Crewlist!AS:AU,3,FALSE)</f>
        <v>#N/A</v>
      </c>
      <c r="Z668" s="163">
        <f t="shared" si="64"/>
        <v>0</v>
      </c>
    </row>
    <row r="669" spans="2:26">
      <c r="B669" s="171">
        <v>668</v>
      </c>
      <c r="H669" s="173"/>
      <c r="I669" s="174"/>
      <c r="J669" s="174"/>
      <c r="Q669">
        <f t="shared" si="60"/>
        <v>0</v>
      </c>
      <c r="R669">
        <f t="shared" si="61"/>
        <v>667</v>
      </c>
      <c r="S669">
        <f>IFERROR(SEARCH(Crewlist!$P$5,V669)+ROW()/100000,"")</f>
        <v>1.0066900000000001</v>
      </c>
      <c r="T669">
        <f t="shared" si="62"/>
        <v>668</v>
      </c>
      <c r="U669">
        <f t="shared" si="63"/>
        <v>0</v>
      </c>
      <c r="V669" t="str">
        <f t="shared" si="65"/>
        <v xml:space="preserve"> </v>
      </c>
      <c r="Y669" s="162" t="e">
        <f>VLOOKUP(B669,Crewlist!AS:AU,3,FALSE)</f>
        <v>#N/A</v>
      </c>
      <c r="Z669" s="163">
        <f t="shared" si="64"/>
        <v>0</v>
      </c>
    </row>
    <row r="670" spans="2:26">
      <c r="B670" s="171">
        <v>669</v>
      </c>
      <c r="F670" s="183"/>
      <c r="H670" s="173"/>
      <c r="I670" s="174"/>
      <c r="J670" s="174"/>
      <c r="L670" s="183"/>
      <c r="Q670">
        <f t="shared" si="60"/>
        <v>0</v>
      </c>
      <c r="R670">
        <f t="shared" si="61"/>
        <v>668</v>
      </c>
      <c r="S670">
        <f>IFERROR(SEARCH(Crewlist!$P$5,V670)+ROW()/100000,"")</f>
        <v>1.0066999999999999</v>
      </c>
      <c r="T670">
        <f t="shared" si="62"/>
        <v>669</v>
      </c>
      <c r="U670">
        <f t="shared" si="63"/>
        <v>0</v>
      </c>
      <c r="V670" t="str">
        <f t="shared" si="65"/>
        <v xml:space="preserve"> </v>
      </c>
      <c r="Y670" s="162" t="e">
        <f>VLOOKUP(B670,Crewlist!AS:AU,3,FALSE)</f>
        <v>#N/A</v>
      </c>
      <c r="Z670" s="163">
        <f t="shared" si="64"/>
        <v>0</v>
      </c>
    </row>
    <row r="671" spans="2:26">
      <c r="B671" s="202">
        <v>670</v>
      </c>
      <c r="H671" s="173"/>
      <c r="I671" s="174"/>
      <c r="J671" s="174"/>
      <c r="Q671">
        <f t="shared" si="60"/>
        <v>0</v>
      </c>
      <c r="R671">
        <f t="shared" si="61"/>
        <v>669</v>
      </c>
      <c r="S671">
        <f>IFERROR(SEARCH(Crewlist!$P$5,V671)+ROW()/100000,"")</f>
        <v>1.00671</v>
      </c>
      <c r="T671">
        <f t="shared" si="62"/>
        <v>670</v>
      </c>
      <c r="U671">
        <f t="shared" si="63"/>
        <v>0</v>
      </c>
      <c r="V671" t="str">
        <f t="shared" si="65"/>
        <v xml:space="preserve"> </v>
      </c>
      <c r="Y671" s="162" t="e">
        <f>VLOOKUP(B671,Crewlist!AS:AU,3,FALSE)</f>
        <v>#N/A</v>
      </c>
      <c r="Z671" s="163">
        <f t="shared" si="64"/>
        <v>0</v>
      </c>
    </row>
    <row r="672" spans="2:26">
      <c r="B672" s="171">
        <v>671</v>
      </c>
      <c r="H672" s="173"/>
      <c r="I672" s="174"/>
      <c r="J672" s="174"/>
      <c r="Q672">
        <f t="shared" si="60"/>
        <v>0</v>
      </c>
      <c r="R672">
        <f t="shared" si="61"/>
        <v>670</v>
      </c>
      <c r="S672">
        <f>IFERROR(SEARCH(Crewlist!$P$5,V672)+ROW()/100000,"")</f>
        <v>1.0067200000000001</v>
      </c>
      <c r="T672">
        <f t="shared" si="62"/>
        <v>671</v>
      </c>
      <c r="U672">
        <f t="shared" si="63"/>
        <v>0</v>
      </c>
      <c r="V672" t="str">
        <f t="shared" si="65"/>
        <v xml:space="preserve"> </v>
      </c>
      <c r="Y672" s="162" t="e">
        <f>VLOOKUP(B672,Crewlist!AS:AU,3,FALSE)</f>
        <v>#N/A</v>
      </c>
      <c r="Z672" s="163">
        <f t="shared" si="64"/>
        <v>0</v>
      </c>
    </row>
    <row r="673" spans="2:26">
      <c r="B673" s="171">
        <v>672</v>
      </c>
      <c r="H673" s="173"/>
      <c r="I673" s="174"/>
      <c r="J673" s="174"/>
      <c r="Q673">
        <f t="shared" si="60"/>
        <v>0</v>
      </c>
      <c r="R673">
        <f t="shared" si="61"/>
        <v>671</v>
      </c>
      <c r="S673">
        <f>IFERROR(SEARCH(Crewlist!$P$5,V673)+ROW()/100000,"")</f>
        <v>1.0067299999999999</v>
      </c>
      <c r="T673">
        <f t="shared" si="62"/>
        <v>672</v>
      </c>
      <c r="U673">
        <f t="shared" si="63"/>
        <v>0</v>
      </c>
      <c r="V673" t="str">
        <f t="shared" si="65"/>
        <v xml:space="preserve"> </v>
      </c>
      <c r="Y673" s="162" t="e">
        <f>VLOOKUP(B673,Crewlist!AS:AU,3,FALSE)</f>
        <v>#N/A</v>
      </c>
      <c r="Z673" s="163">
        <f t="shared" si="64"/>
        <v>0</v>
      </c>
    </row>
    <row r="674" spans="2:26">
      <c r="B674" s="202">
        <v>673</v>
      </c>
      <c r="H674" s="173"/>
      <c r="I674" s="174"/>
      <c r="J674" s="174"/>
      <c r="Q674">
        <f t="shared" si="60"/>
        <v>0</v>
      </c>
      <c r="R674">
        <f t="shared" si="61"/>
        <v>672</v>
      </c>
      <c r="S674">
        <f>IFERROR(SEARCH(Crewlist!$P$5,V674)+ROW()/100000,"")</f>
        <v>1.00674</v>
      </c>
      <c r="T674">
        <f t="shared" si="62"/>
        <v>673</v>
      </c>
      <c r="U674">
        <f t="shared" si="63"/>
        <v>0</v>
      </c>
      <c r="V674" t="str">
        <f t="shared" si="65"/>
        <v xml:space="preserve"> </v>
      </c>
      <c r="Y674" s="162" t="e">
        <f>VLOOKUP(B674,Crewlist!AS:AU,3,FALSE)</f>
        <v>#N/A</v>
      </c>
      <c r="Z674" s="163">
        <f t="shared" si="64"/>
        <v>0</v>
      </c>
    </row>
    <row r="675" spans="2:26">
      <c r="B675" s="171">
        <v>674</v>
      </c>
      <c r="H675" s="173"/>
      <c r="I675" s="174"/>
      <c r="J675" s="174"/>
      <c r="N675" s="201">
        <v>0</v>
      </c>
      <c r="Q675">
        <f t="shared" si="60"/>
        <v>0</v>
      </c>
      <c r="R675">
        <f t="shared" si="61"/>
        <v>673</v>
      </c>
      <c r="S675">
        <f>IFERROR(SEARCH(Crewlist!$P$5,V675)+ROW()/100000,"")</f>
        <v>1.00675</v>
      </c>
      <c r="T675">
        <f t="shared" si="62"/>
        <v>674</v>
      </c>
      <c r="U675">
        <f t="shared" si="63"/>
        <v>0</v>
      </c>
      <c r="V675" t="str">
        <f t="shared" si="65"/>
        <v xml:space="preserve"> </v>
      </c>
      <c r="Y675" s="162" t="e">
        <f>VLOOKUP(B675,Crewlist!AS:AU,3,FALSE)</f>
        <v>#N/A</v>
      </c>
      <c r="Z675" s="163">
        <f t="shared" si="64"/>
        <v>0</v>
      </c>
    </row>
    <row r="676" spans="2:26">
      <c r="B676" s="171">
        <v>675</v>
      </c>
      <c r="H676" s="173"/>
      <c r="I676" s="174"/>
      <c r="J676" s="174"/>
      <c r="N676" s="201">
        <v>0</v>
      </c>
      <c r="Q676">
        <f t="shared" si="60"/>
        <v>0</v>
      </c>
      <c r="R676">
        <f t="shared" si="61"/>
        <v>674</v>
      </c>
      <c r="S676">
        <f>IFERROR(SEARCH(Crewlist!$P$5,V676)+ROW()/100000,"")</f>
        <v>1.0067600000000001</v>
      </c>
      <c r="T676">
        <f t="shared" si="62"/>
        <v>675</v>
      </c>
      <c r="U676">
        <f t="shared" si="63"/>
        <v>0</v>
      </c>
      <c r="V676" t="str">
        <f t="shared" si="65"/>
        <v xml:space="preserve"> </v>
      </c>
      <c r="Y676" s="162" t="e">
        <f>VLOOKUP(B676,Crewlist!AS:AU,3,FALSE)</f>
        <v>#N/A</v>
      </c>
      <c r="Z676" s="163">
        <f t="shared" si="64"/>
        <v>0</v>
      </c>
    </row>
    <row r="677" spans="2:26">
      <c r="B677" s="202">
        <v>676</v>
      </c>
      <c r="H677" s="173"/>
      <c r="I677" s="174"/>
      <c r="J677" s="174"/>
      <c r="N677" s="201">
        <v>0</v>
      </c>
      <c r="Q677">
        <f t="shared" si="60"/>
        <v>0</v>
      </c>
      <c r="R677">
        <f t="shared" si="61"/>
        <v>675</v>
      </c>
      <c r="S677">
        <f>IFERROR(SEARCH(Crewlist!$P$5,V677)+ROW()/100000,"")</f>
        <v>1.0067699999999999</v>
      </c>
      <c r="T677">
        <f t="shared" si="62"/>
        <v>676</v>
      </c>
      <c r="U677">
        <f t="shared" si="63"/>
        <v>0</v>
      </c>
      <c r="V677" t="str">
        <f t="shared" si="65"/>
        <v xml:space="preserve"> </v>
      </c>
      <c r="Y677" s="162" t="e">
        <f>VLOOKUP(B677,Crewlist!AS:AU,3,FALSE)</f>
        <v>#N/A</v>
      </c>
      <c r="Z677" s="163">
        <f t="shared" si="64"/>
        <v>0</v>
      </c>
    </row>
    <row r="678" spans="2:26">
      <c r="B678" s="171">
        <v>677</v>
      </c>
      <c r="H678" s="173"/>
      <c r="I678" s="174"/>
      <c r="J678" s="174"/>
      <c r="N678" s="201">
        <v>0</v>
      </c>
      <c r="Q678">
        <f t="shared" si="60"/>
        <v>0</v>
      </c>
      <c r="R678">
        <f t="shared" si="61"/>
        <v>676</v>
      </c>
      <c r="S678">
        <f>IFERROR(SEARCH(Crewlist!$P$5,V678)+ROW()/100000,"")</f>
        <v>1.00678</v>
      </c>
      <c r="T678">
        <f t="shared" si="62"/>
        <v>677</v>
      </c>
      <c r="U678">
        <f t="shared" si="63"/>
        <v>0</v>
      </c>
      <c r="V678" t="str">
        <f t="shared" si="65"/>
        <v xml:space="preserve"> </v>
      </c>
      <c r="Y678" s="162" t="e">
        <f>VLOOKUP(B678,Crewlist!AS:AU,3,FALSE)</f>
        <v>#N/A</v>
      </c>
      <c r="Z678" s="163">
        <f t="shared" si="64"/>
        <v>0</v>
      </c>
    </row>
    <row r="679" spans="2:26">
      <c r="B679" s="171">
        <v>678</v>
      </c>
      <c r="H679" s="173"/>
      <c r="I679" s="174"/>
      <c r="J679" s="174"/>
      <c r="N679" s="201">
        <v>0</v>
      </c>
      <c r="Q679">
        <f t="shared" si="60"/>
        <v>0</v>
      </c>
      <c r="R679">
        <f t="shared" si="61"/>
        <v>677</v>
      </c>
      <c r="S679">
        <f>IFERROR(SEARCH(Crewlist!$P$5,V679)+ROW()/100000,"")</f>
        <v>1.0067900000000001</v>
      </c>
      <c r="T679">
        <f t="shared" si="62"/>
        <v>678</v>
      </c>
      <c r="U679">
        <f t="shared" si="63"/>
        <v>0</v>
      </c>
      <c r="V679" t="str">
        <f t="shared" si="65"/>
        <v xml:space="preserve"> </v>
      </c>
      <c r="Y679" s="162" t="e">
        <f>VLOOKUP(B679,Crewlist!AS:AU,3,FALSE)</f>
        <v>#N/A</v>
      </c>
      <c r="Z679" s="163">
        <f t="shared" si="64"/>
        <v>0</v>
      </c>
    </row>
    <row r="680" spans="2:26">
      <c r="B680" s="202">
        <v>679</v>
      </c>
      <c r="H680" s="173"/>
      <c r="I680" s="174"/>
      <c r="J680" s="174"/>
      <c r="N680" s="201">
        <v>0</v>
      </c>
      <c r="Q680">
        <f t="shared" si="60"/>
        <v>0</v>
      </c>
      <c r="R680">
        <f t="shared" si="61"/>
        <v>678</v>
      </c>
      <c r="S680">
        <f>IFERROR(SEARCH(Crewlist!$P$5,V680)+ROW()/100000,"")</f>
        <v>1.0067999999999999</v>
      </c>
      <c r="T680">
        <f t="shared" si="62"/>
        <v>679</v>
      </c>
      <c r="U680">
        <f t="shared" si="63"/>
        <v>0</v>
      </c>
      <c r="V680" t="str">
        <f t="shared" si="65"/>
        <v xml:space="preserve"> </v>
      </c>
      <c r="Y680" s="162" t="e">
        <f>VLOOKUP(B680,Crewlist!AS:AU,3,FALSE)</f>
        <v>#N/A</v>
      </c>
      <c r="Z680" s="163">
        <f t="shared" si="64"/>
        <v>0</v>
      </c>
    </row>
    <row r="681" spans="2:26">
      <c r="B681" s="171">
        <v>680</v>
      </c>
      <c r="H681" s="173"/>
      <c r="I681" s="174"/>
      <c r="J681" s="174"/>
      <c r="N681" s="201">
        <v>0</v>
      </c>
      <c r="Q681">
        <f t="shared" si="60"/>
        <v>0</v>
      </c>
      <c r="R681">
        <f t="shared" si="61"/>
        <v>679</v>
      </c>
      <c r="S681">
        <f>IFERROR(SEARCH(Crewlist!$P$5,V681)+ROW()/100000,"")</f>
        <v>1.00681</v>
      </c>
      <c r="T681">
        <f t="shared" si="62"/>
        <v>680</v>
      </c>
      <c r="U681">
        <f t="shared" si="63"/>
        <v>0</v>
      </c>
      <c r="V681" t="str">
        <f t="shared" si="65"/>
        <v xml:space="preserve"> </v>
      </c>
      <c r="Y681" s="162" t="e">
        <f>VLOOKUP(B681,Crewlist!AS:AU,3,FALSE)</f>
        <v>#N/A</v>
      </c>
      <c r="Z681" s="163">
        <f t="shared" si="64"/>
        <v>0</v>
      </c>
    </row>
    <row r="682" spans="2:26">
      <c r="B682" s="171">
        <v>681</v>
      </c>
      <c r="H682" s="173"/>
      <c r="I682" s="174"/>
      <c r="J682" s="174"/>
      <c r="N682" s="201">
        <v>0</v>
      </c>
      <c r="Q682">
        <f t="shared" si="60"/>
        <v>0</v>
      </c>
      <c r="R682">
        <f t="shared" si="61"/>
        <v>680</v>
      </c>
      <c r="S682">
        <f>IFERROR(SEARCH(Crewlist!$P$5,V682)+ROW()/100000,"")</f>
        <v>1.00682</v>
      </c>
      <c r="T682">
        <f t="shared" si="62"/>
        <v>681</v>
      </c>
      <c r="U682">
        <f t="shared" si="63"/>
        <v>0</v>
      </c>
      <c r="V682" t="str">
        <f t="shared" si="65"/>
        <v xml:space="preserve"> </v>
      </c>
      <c r="Y682" s="162" t="e">
        <f>VLOOKUP(B682,Crewlist!AS:AU,3,FALSE)</f>
        <v>#N/A</v>
      </c>
      <c r="Z682" s="163">
        <f t="shared" si="64"/>
        <v>0</v>
      </c>
    </row>
    <row r="683" spans="2:26">
      <c r="B683" s="202">
        <v>682</v>
      </c>
      <c r="H683" s="173"/>
      <c r="I683" s="174"/>
      <c r="J683" s="174"/>
      <c r="N683" s="201">
        <v>0</v>
      </c>
      <c r="Q683">
        <f t="shared" si="60"/>
        <v>0</v>
      </c>
      <c r="R683">
        <f t="shared" si="61"/>
        <v>681</v>
      </c>
      <c r="S683">
        <f>IFERROR(SEARCH(Crewlist!$P$5,V683)+ROW()/100000,"")</f>
        <v>1.0068299999999999</v>
      </c>
      <c r="T683">
        <f t="shared" si="62"/>
        <v>682</v>
      </c>
      <c r="U683">
        <f t="shared" si="63"/>
        <v>0</v>
      </c>
      <c r="V683" t="str">
        <f t="shared" si="65"/>
        <v xml:space="preserve"> </v>
      </c>
      <c r="Y683" s="162" t="e">
        <f>VLOOKUP(B683,Crewlist!AS:AU,3,FALSE)</f>
        <v>#N/A</v>
      </c>
      <c r="Z683" s="163">
        <f t="shared" si="64"/>
        <v>0</v>
      </c>
    </row>
    <row r="684" spans="2:26">
      <c r="B684" s="171">
        <v>683</v>
      </c>
      <c r="C684" s="169"/>
      <c r="D684" s="169"/>
      <c r="E684" s="169"/>
      <c r="F684" s="176"/>
      <c r="G684" s="177"/>
      <c r="H684" s="178"/>
      <c r="I684" s="179"/>
      <c r="J684" s="179"/>
      <c r="K684" s="179"/>
      <c r="M684" s="180"/>
      <c r="N684" s="201">
        <v>0</v>
      </c>
      <c r="Q684">
        <f t="shared" si="60"/>
        <v>0</v>
      </c>
      <c r="R684">
        <f t="shared" si="61"/>
        <v>682</v>
      </c>
      <c r="S684">
        <f>IFERROR(SEARCH(Crewlist!$P$5,V684)+ROW()/100000,"")</f>
        <v>1.00684</v>
      </c>
      <c r="T684">
        <f t="shared" si="62"/>
        <v>683</v>
      </c>
      <c r="U684">
        <f t="shared" si="63"/>
        <v>0</v>
      </c>
      <c r="V684" t="str">
        <f t="shared" si="65"/>
        <v xml:space="preserve"> </v>
      </c>
      <c r="Y684" s="162" t="e">
        <f>VLOOKUP(B684,Crewlist!AS:AU,3,FALSE)</f>
        <v>#N/A</v>
      </c>
      <c r="Z684" s="163">
        <f t="shared" si="64"/>
        <v>0</v>
      </c>
    </row>
    <row r="685" spans="2:26">
      <c r="B685" s="171">
        <v>684</v>
      </c>
      <c r="H685" s="173"/>
      <c r="I685" s="174"/>
      <c r="J685" s="174"/>
      <c r="N685" s="201">
        <v>0</v>
      </c>
      <c r="Q685">
        <f t="shared" si="60"/>
        <v>0</v>
      </c>
      <c r="R685">
        <f t="shared" si="61"/>
        <v>683</v>
      </c>
      <c r="S685">
        <f>IFERROR(SEARCH(Crewlist!$P$5,V685)+ROW()/100000,"")</f>
        <v>1.00685</v>
      </c>
      <c r="T685">
        <f t="shared" si="62"/>
        <v>684</v>
      </c>
      <c r="U685">
        <f t="shared" si="63"/>
        <v>0</v>
      </c>
      <c r="V685" t="str">
        <f t="shared" si="65"/>
        <v xml:space="preserve"> </v>
      </c>
      <c r="Y685" s="162" t="e">
        <f>VLOOKUP(B685,Crewlist!AS:AU,3,FALSE)</f>
        <v>#N/A</v>
      </c>
      <c r="Z685" s="163">
        <f t="shared" si="64"/>
        <v>0</v>
      </c>
    </row>
    <row r="686" spans="2:26">
      <c r="B686" s="202">
        <v>685</v>
      </c>
      <c r="F686" s="183"/>
      <c r="H686" s="173"/>
      <c r="I686" s="174"/>
      <c r="J686" s="174"/>
      <c r="L686" s="183"/>
      <c r="N686" s="201">
        <v>0</v>
      </c>
      <c r="Q686">
        <f t="shared" si="60"/>
        <v>0</v>
      </c>
      <c r="R686">
        <f t="shared" si="61"/>
        <v>684</v>
      </c>
      <c r="S686">
        <f>IFERROR(SEARCH(Crewlist!$P$5,V686)+ROW()/100000,"")</f>
        <v>1.0068600000000001</v>
      </c>
      <c r="T686">
        <f t="shared" si="62"/>
        <v>685</v>
      </c>
      <c r="U686">
        <f t="shared" si="63"/>
        <v>0</v>
      </c>
      <c r="V686" t="str">
        <f t="shared" si="65"/>
        <v xml:space="preserve"> </v>
      </c>
      <c r="Y686" s="162" t="e">
        <f>VLOOKUP(B686,Crewlist!AS:AU,3,FALSE)</f>
        <v>#N/A</v>
      </c>
      <c r="Z686" s="163">
        <f t="shared" si="64"/>
        <v>0</v>
      </c>
    </row>
    <row r="687" spans="2:26">
      <c r="B687" s="171">
        <v>686</v>
      </c>
      <c r="H687" s="173"/>
      <c r="I687" s="174"/>
      <c r="J687" s="174"/>
      <c r="N687" s="201">
        <v>0</v>
      </c>
      <c r="Q687">
        <f t="shared" si="60"/>
        <v>0</v>
      </c>
      <c r="R687">
        <f t="shared" si="61"/>
        <v>685</v>
      </c>
      <c r="S687">
        <f>IFERROR(SEARCH(Crewlist!$P$5,V687)+ROW()/100000,"")</f>
        <v>1.0068699999999999</v>
      </c>
      <c r="T687">
        <f t="shared" si="62"/>
        <v>686</v>
      </c>
      <c r="U687">
        <f t="shared" si="63"/>
        <v>0</v>
      </c>
      <c r="V687" t="str">
        <f t="shared" si="65"/>
        <v xml:space="preserve"> </v>
      </c>
      <c r="Y687" s="162" t="e">
        <f>VLOOKUP(B687,Crewlist!AS:AU,3,FALSE)</f>
        <v>#N/A</v>
      </c>
      <c r="Z687" s="163">
        <f t="shared" si="64"/>
        <v>0</v>
      </c>
    </row>
    <row r="688" spans="2:26">
      <c r="B688" s="171">
        <v>687</v>
      </c>
      <c r="H688" s="173"/>
      <c r="I688" s="174"/>
      <c r="J688" s="174"/>
      <c r="N688" s="201">
        <v>0</v>
      </c>
      <c r="Q688">
        <f t="shared" si="60"/>
        <v>0</v>
      </c>
      <c r="R688">
        <f t="shared" si="61"/>
        <v>686</v>
      </c>
      <c r="S688">
        <f>IFERROR(SEARCH(Crewlist!$P$5,V688)+ROW()/100000,"")</f>
        <v>1.00688</v>
      </c>
      <c r="T688">
        <f t="shared" si="62"/>
        <v>687</v>
      </c>
      <c r="U688">
        <f t="shared" si="63"/>
        <v>0</v>
      </c>
      <c r="V688" t="str">
        <f t="shared" si="65"/>
        <v xml:space="preserve"> </v>
      </c>
      <c r="Y688" s="162" t="e">
        <f>VLOOKUP(B688,Crewlist!AS:AU,3,FALSE)</f>
        <v>#N/A</v>
      </c>
      <c r="Z688" s="163">
        <f t="shared" si="64"/>
        <v>0</v>
      </c>
    </row>
    <row r="689" spans="2:26">
      <c r="B689" s="202">
        <v>688</v>
      </c>
      <c r="H689" s="173"/>
      <c r="I689" s="174"/>
      <c r="J689" s="174"/>
      <c r="N689" s="201">
        <v>0</v>
      </c>
      <c r="Q689">
        <f t="shared" si="60"/>
        <v>0</v>
      </c>
      <c r="R689">
        <f t="shared" si="61"/>
        <v>687</v>
      </c>
      <c r="S689">
        <f>IFERROR(SEARCH(Crewlist!$P$5,V689)+ROW()/100000,"")</f>
        <v>1.0068900000000001</v>
      </c>
      <c r="T689">
        <f t="shared" si="62"/>
        <v>688</v>
      </c>
      <c r="U689">
        <f t="shared" si="63"/>
        <v>0</v>
      </c>
      <c r="V689" t="str">
        <f t="shared" si="65"/>
        <v xml:space="preserve"> </v>
      </c>
      <c r="Y689" s="162" t="e">
        <f>VLOOKUP(B689,Crewlist!AS:AU,3,FALSE)</f>
        <v>#N/A</v>
      </c>
      <c r="Z689" s="163">
        <f t="shared" si="64"/>
        <v>0</v>
      </c>
    </row>
    <row r="690" spans="2:26">
      <c r="B690" s="171">
        <v>689</v>
      </c>
      <c r="H690" s="173"/>
      <c r="I690" s="174"/>
      <c r="J690" s="174"/>
      <c r="N690" s="201">
        <v>0</v>
      </c>
      <c r="Q690">
        <f t="shared" si="60"/>
        <v>0</v>
      </c>
      <c r="R690">
        <f t="shared" si="61"/>
        <v>688</v>
      </c>
      <c r="S690">
        <f>IFERROR(SEARCH(Crewlist!$P$5,V690)+ROW()/100000,"")</f>
        <v>1.0068999999999999</v>
      </c>
      <c r="T690">
        <f t="shared" si="62"/>
        <v>689</v>
      </c>
      <c r="U690">
        <f t="shared" si="63"/>
        <v>0</v>
      </c>
      <c r="V690" t="str">
        <f t="shared" si="65"/>
        <v xml:space="preserve"> </v>
      </c>
      <c r="Y690" s="162" t="e">
        <f>VLOOKUP(B690,Crewlist!AS:AU,3,FALSE)</f>
        <v>#N/A</v>
      </c>
      <c r="Z690" s="163">
        <f t="shared" si="64"/>
        <v>0</v>
      </c>
    </row>
    <row r="691" spans="2:26">
      <c r="B691" s="171">
        <v>690</v>
      </c>
      <c r="F691" s="183"/>
      <c r="H691" s="173"/>
      <c r="I691" s="174"/>
      <c r="J691" s="174"/>
      <c r="L691" s="183"/>
      <c r="N691" s="201">
        <v>0</v>
      </c>
      <c r="Q691">
        <f t="shared" si="60"/>
        <v>0</v>
      </c>
      <c r="R691">
        <f t="shared" si="61"/>
        <v>689</v>
      </c>
      <c r="S691">
        <f>IFERROR(SEARCH(Crewlist!$P$5,V691)+ROW()/100000,"")</f>
        <v>1.00691</v>
      </c>
      <c r="T691">
        <f t="shared" si="62"/>
        <v>690</v>
      </c>
      <c r="U691">
        <f t="shared" si="63"/>
        <v>0</v>
      </c>
      <c r="V691" t="str">
        <f t="shared" si="65"/>
        <v xml:space="preserve"> </v>
      </c>
      <c r="Y691" s="162" t="e">
        <f>VLOOKUP(B691,Crewlist!AS:AU,3,FALSE)</f>
        <v>#N/A</v>
      </c>
      <c r="Z691" s="163">
        <f t="shared" si="64"/>
        <v>0</v>
      </c>
    </row>
    <row r="692" spans="2:26">
      <c r="B692" s="202">
        <v>691</v>
      </c>
      <c r="N692" s="201">
        <v>0</v>
      </c>
      <c r="Q692">
        <f t="shared" si="60"/>
        <v>0</v>
      </c>
      <c r="R692">
        <f t="shared" si="61"/>
        <v>690</v>
      </c>
      <c r="S692">
        <f>IFERROR(SEARCH(Crewlist!$P$5,V692)+ROW()/100000,"")</f>
        <v>1.00692</v>
      </c>
      <c r="T692">
        <f t="shared" si="62"/>
        <v>691</v>
      </c>
      <c r="U692">
        <f t="shared" si="63"/>
        <v>0</v>
      </c>
      <c r="V692" t="str">
        <f t="shared" si="65"/>
        <v xml:space="preserve"> </v>
      </c>
      <c r="Y692" s="162" t="e">
        <f>VLOOKUP(B692,Crewlist!AS:AU,3,FALSE)</f>
        <v>#N/A</v>
      </c>
      <c r="Z692" s="163">
        <f t="shared" si="64"/>
        <v>0</v>
      </c>
    </row>
    <row r="693" spans="2:26">
      <c r="B693" s="171">
        <v>692</v>
      </c>
      <c r="C693" s="169"/>
      <c r="D693" s="169"/>
      <c r="G693" s="177"/>
      <c r="H693" s="178"/>
      <c r="I693" s="179"/>
      <c r="J693" s="179"/>
      <c r="N693" s="201">
        <v>0</v>
      </c>
      <c r="Q693">
        <f t="shared" si="60"/>
        <v>0</v>
      </c>
      <c r="R693">
        <f t="shared" si="61"/>
        <v>691</v>
      </c>
      <c r="S693">
        <f>IFERROR(SEARCH(Crewlist!$P$5,V693)+ROW()/100000,"")</f>
        <v>1.0069300000000001</v>
      </c>
      <c r="T693">
        <f t="shared" si="62"/>
        <v>692</v>
      </c>
      <c r="U693">
        <f t="shared" si="63"/>
        <v>0</v>
      </c>
      <c r="V693" t="str">
        <f t="shared" si="65"/>
        <v xml:space="preserve"> </v>
      </c>
      <c r="Y693" s="162" t="e">
        <f>VLOOKUP(B693,Crewlist!AS:AU,3,FALSE)</f>
        <v>#N/A</v>
      </c>
      <c r="Z693" s="163">
        <f t="shared" si="64"/>
        <v>0</v>
      </c>
    </row>
    <row r="694" spans="2:26">
      <c r="B694" s="171">
        <v>693</v>
      </c>
      <c r="H694" s="173"/>
      <c r="I694" s="174"/>
      <c r="J694" s="174"/>
      <c r="N694" s="201">
        <v>0</v>
      </c>
      <c r="Q694">
        <f t="shared" si="60"/>
        <v>0</v>
      </c>
      <c r="R694">
        <f t="shared" si="61"/>
        <v>692</v>
      </c>
      <c r="S694">
        <f>IFERROR(SEARCH(Crewlist!$P$5,V694)+ROW()/100000,"")</f>
        <v>1.0069399999999999</v>
      </c>
      <c r="T694">
        <f t="shared" si="62"/>
        <v>693</v>
      </c>
      <c r="U694">
        <f t="shared" si="63"/>
        <v>0</v>
      </c>
      <c r="V694" t="str">
        <f t="shared" si="65"/>
        <v xml:space="preserve"> </v>
      </c>
      <c r="Y694" s="162" t="e">
        <f>VLOOKUP(B694,Crewlist!AS:AU,3,FALSE)</f>
        <v>#N/A</v>
      </c>
      <c r="Z694" s="163">
        <f t="shared" si="64"/>
        <v>0</v>
      </c>
    </row>
    <row r="695" spans="2:26">
      <c r="B695" s="202">
        <v>694</v>
      </c>
      <c r="F695" s="183"/>
      <c r="H695" s="173"/>
      <c r="I695" s="174"/>
      <c r="J695" s="174"/>
      <c r="L695" s="183"/>
      <c r="N695" s="201">
        <v>0</v>
      </c>
      <c r="Q695">
        <f t="shared" si="60"/>
        <v>0</v>
      </c>
      <c r="R695">
        <f t="shared" si="61"/>
        <v>693</v>
      </c>
      <c r="S695">
        <f>IFERROR(SEARCH(Crewlist!$P$5,V695)+ROW()/100000,"")</f>
        <v>1.00695</v>
      </c>
      <c r="T695">
        <f t="shared" si="62"/>
        <v>694</v>
      </c>
      <c r="U695">
        <f t="shared" si="63"/>
        <v>0</v>
      </c>
      <c r="V695" t="str">
        <f t="shared" si="65"/>
        <v xml:space="preserve"> </v>
      </c>
      <c r="Y695" s="162" t="e">
        <f>VLOOKUP(B695,Crewlist!AS:AU,3,FALSE)</f>
        <v>#N/A</v>
      </c>
      <c r="Z695" s="163">
        <f t="shared" si="64"/>
        <v>0</v>
      </c>
    </row>
    <row r="696" spans="2:26">
      <c r="B696" s="171">
        <v>695</v>
      </c>
      <c r="H696" s="173"/>
      <c r="I696" s="174"/>
      <c r="J696" s="174"/>
      <c r="N696" s="201">
        <v>0</v>
      </c>
      <c r="Q696">
        <f t="shared" si="60"/>
        <v>0</v>
      </c>
      <c r="R696">
        <f t="shared" si="61"/>
        <v>694</v>
      </c>
      <c r="S696">
        <f>IFERROR(SEARCH(Crewlist!$P$5,V696)+ROW()/100000,"")</f>
        <v>1.0069600000000001</v>
      </c>
      <c r="T696">
        <f t="shared" si="62"/>
        <v>695</v>
      </c>
      <c r="U696">
        <f t="shared" si="63"/>
        <v>0</v>
      </c>
      <c r="V696" t="str">
        <f t="shared" si="65"/>
        <v xml:space="preserve"> </v>
      </c>
      <c r="Y696" s="162" t="e">
        <f>VLOOKUP(B696,Crewlist!AS:AU,3,FALSE)</f>
        <v>#N/A</v>
      </c>
      <c r="Z696" s="163">
        <f t="shared" si="64"/>
        <v>0</v>
      </c>
    </row>
    <row r="697" spans="2:26">
      <c r="B697" s="171">
        <v>696</v>
      </c>
      <c r="H697" s="173"/>
      <c r="I697" s="174"/>
      <c r="J697" s="174"/>
      <c r="N697" s="201">
        <v>0</v>
      </c>
      <c r="Q697">
        <f t="shared" si="60"/>
        <v>0</v>
      </c>
      <c r="R697">
        <f t="shared" si="61"/>
        <v>695</v>
      </c>
      <c r="S697">
        <f>IFERROR(SEARCH(Crewlist!$P$5,V697)+ROW()/100000,"")</f>
        <v>1.0069699999999999</v>
      </c>
      <c r="T697">
        <f t="shared" si="62"/>
        <v>696</v>
      </c>
      <c r="U697">
        <f t="shared" si="63"/>
        <v>0</v>
      </c>
      <c r="V697" t="str">
        <f t="shared" si="65"/>
        <v xml:space="preserve"> </v>
      </c>
      <c r="Y697" s="162" t="e">
        <f>VLOOKUP(B697,Crewlist!AS:AU,3,FALSE)</f>
        <v>#N/A</v>
      </c>
      <c r="Z697" s="163">
        <f t="shared" si="64"/>
        <v>0</v>
      </c>
    </row>
    <row r="698" spans="2:26">
      <c r="B698" s="202">
        <v>697</v>
      </c>
      <c r="H698" s="173"/>
      <c r="I698" s="174"/>
      <c r="J698" s="174"/>
      <c r="N698" s="201">
        <v>0</v>
      </c>
      <c r="Q698">
        <f t="shared" si="60"/>
        <v>0</v>
      </c>
      <c r="R698">
        <f t="shared" si="61"/>
        <v>696</v>
      </c>
      <c r="S698">
        <f>IFERROR(SEARCH(Crewlist!$P$5,V698)+ROW()/100000,"")</f>
        <v>1.00698</v>
      </c>
      <c r="T698">
        <f t="shared" si="62"/>
        <v>697</v>
      </c>
      <c r="U698">
        <f t="shared" si="63"/>
        <v>0</v>
      </c>
      <c r="V698" t="str">
        <f t="shared" si="65"/>
        <v xml:space="preserve"> </v>
      </c>
      <c r="Y698" s="162" t="e">
        <f>VLOOKUP(B698,Crewlist!AS:AU,3,FALSE)</f>
        <v>#N/A</v>
      </c>
      <c r="Z698" s="163">
        <f t="shared" si="64"/>
        <v>0</v>
      </c>
    </row>
    <row r="699" spans="2:26">
      <c r="B699" s="171">
        <v>698</v>
      </c>
      <c r="H699" s="173"/>
      <c r="I699" s="174"/>
      <c r="J699" s="174"/>
      <c r="N699" s="201">
        <v>0</v>
      </c>
      <c r="Q699">
        <f t="shared" si="60"/>
        <v>0</v>
      </c>
      <c r="R699">
        <f t="shared" si="61"/>
        <v>697</v>
      </c>
      <c r="S699">
        <f>IFERROR(SEARCH(Crewlist!$P$5,V699)+ROW()/100000,"")</f>
        <v>1.0069900000000001</v>
      </c>
      <c r="T699">
        <f t="shared" si="62"/>
        <v>698</v>
      </c>
      <c r="U699">
        <f t="shared" si="63"/>
        <v>0</v>
      </c>
      <c r="V699" t="str">
        <f t="shared" si="65"/>
        <v xml:space="preserve"> </v>
      </c>
      <c r="Y699" s="162" t="e">
        <f>VLOOKUP(B699,Crewlist!AS:AU,3,FALSE)</f>
        <v>#N/A</v>
      </c>
      <c r="Z699" s="163">
        <f t="shared" si="64"/>
        <v>0</v>
      </c>
    </row>
    <row r="700" spans="2:26">
      <c r="B700" s="171">
        <v>699</v>
      </c>
      <c r="H700" s="173"/>
      <c r="I700" s="174"/>
      <c r="J700" s="174"/>
      <c r="N700" s="201">
        <v>0</v>
      </c>
      <c r="Q700">
        <f t="shared" si="60"/>
        <v>0</v>
      </c>
      <c r="R700">
        <f t="shared" si="61"/>
        <v>698</v>
      </c>
      <c r="S700">
        <f>IFERROR(SEARCH(Crewlist!$P$5,V700)+ROW()/100000,"")</f>
        <v>1.0069999999999999</v>
      </c>
      <c r="T700">
        <f t="shared" si="62"/>
        <v>699</v>
      </c>
      <c r="U700">
        <f t="shared" si="63"/>
        <v>0</v>
      </c>
      <c r="V700" t="str">
        <f t="shared" si="65"/>
        <v xml:space="preserve"> </v>
      </c>
      <c r="Y700" s="162" t="e">
        <f>VLOOKUP(B700,Crewlist!AS:AU,3,FALSE)</f>
        <v>#N/A</v>
      </c>
      <c r="Z700" s="163">
        <f t="shared" si="64"/>
        <v>0</v>
      </c>
    </row>
    <row r="701" spans="2:26">
      <c r="B701" s="202">
        <v>700</v>
      </c>
      <c r="H701" s="173"/>
      <c r="I701" s="174"/>
      <c r="J701" s="174"/>
      <c r="N701" s="201">
        <v>0</v>
      </c>
      <c r="Q701">
        <f t="shared" si="60"/>
        <v>0</v>
      </c>
      <c r="R701">
        <f t="shared" si="61"/>
        <v>699</v>
      </c>
      <c r="S701">
        <f>IFERROR(SEARCH(Crewlist!$P$5,V701)+ROW()/100000,"")</f>
        <v>1.00701</v>
      </c>
      <c r="T701">
        <f t="shared" si="62"/>
        <v>700</v>
      </c>
      <c r="U701">
        <f t="shared" si="63"/>
        <v>0</v>
      </c>
      <c r="V701" t="str">
        <f t="shared" si="65"/>
        <v xml:space="preserve"> </v>
      </c>
      <c r="Y701" s="162" t="e">
        <f>VLOOKUP(B701,Crewlist!AS:AU,3,FALSE)</f>
        <v>#N/A</v>
      </c>
      <c r="Z701" s="163">
        <f t="shared" si="64"/>
        <v>0</v>
      </c>
    </row>
    <row r="702" spans="2:26">
      <c r="B702" s="171">
        <v>701</v>
      </c>
      <c r="H702" s="173"/>
      <c r="I702" s="174"/>
      <c r="J702" s="174"/>
      <c r="K702" s="181"/>
      <c r="M702" s="182"/>
      <c r="N702" s="201">
        <v>0</v>
      </c>
      <c r="Q702">
        <f t="shared" si="60"/>
        <v>0</v>
      </c>
      <c r="R702">
        <f t="shared" si="61"/>
        <v>700</v>
      </c>
      <c r="S702">
        <f>IFERROR(SEARCH(Crewlist!$P$5,V702)+ROW()/100000,"")</f>
        <v>1.00702</v>
      </c>
      <c r="T702">
        <f t="shared" si="62"/>
        <v>701</v>
      </c>
      <c r="U702">
        <f t="shared" si="63"/>
        <v>0</v>
      </c>
      <c r="V702" t="str">
        <f t="shared" si="65"/>
        <v xml:space="preserve"> </v>
      </c>
      <c r="Y702" s="162" t="e">
        <f>VLOOKUP(B702,Crewlist!AS:AU,3,FALSE)</f>
        <v>#N/A</v>
      </c>
      <c r="Z702" s="163">
        <f t="shared" si="64"/>
        <v>0</v>
      </c>
    </row>
    <row r="703" spans="2:26">
      <c r="B703" s="171">
        <v>702</v>
      </c>
      <c r="H703" s="173"/>
      <c r="I703" s="174"/>
      <c r="J703" s="174"/>
      <c r="N703" s="201">
        <v>0</v>
      </c>
      <c r="Q703">
        <f t="shared" si="60"/>
        <v>0</v>
      </c>
      <c r="R703">
        <f t="shared" si="61"/>
        <v>701</v>
      </c>
      <c r="S703">
        <f>IFERROR(SEARCH(Crewlist!$P$5,V703)+ROW()/100000,"")</f>
        <v>1.0070300000000001</v>
      </c>
      <c r="T703">
        <f t="shared" si="62"/>
        <v>702</v>
      </c>
      <c r="U703">
        <f t="shared" si="63"/>
        <v>0</v>
      </c>
      <c r="V703" t="str">
        <f t="shared" si="65"/>
        <v xml:space="preserve"> </v>
      </c>
      <c r="Y703" s="162" t="e">
        <f>VLOOKUP(B703,Crewlist!AS:AU,3,FALSE)</f>
        <v>#N/A</v>
      </c>
      <c r="Z703" s="163">
        <f t="shared" si="64"/>
        <v>0</v>
      </c>
    </row>
    <row r="704" spans="2:26">
      <c r="B704" s="202">
        <v>703</v>
      </c>
      <c r="H704" s="173"/>
      <c r="I704" s="174"/>
      <c r="J704" s="174"/>
      <c r="N704" s="201">
        <v>0</v>
      </c>
      <c r="Q704">
        <f t="shared" si="60"/>
        <v>0</v>
      </c>
      <c r="R704">
        <f t="shared" si="61"/>
        <v>702</v>
      </c>
      <c r="S704">
        <f>IFERROR(SEARCH(Crewlist!$P$5,V704)+ROW()/100000,"")</f>
        <v>1.0070399999999999</v>
      </c>
      <c r="T704">
        <f t="shared" si="62"/>
        <v>703</v>
      </c>
      <c r="U704">
        <f t="shared" si="63"/>
        <v>0</v>
      </c>
      <c r="V704" t="str">
        <f t="shared" si="65"/>
        <v xml:space="preserve"> </v>
      </c>
      <c r="Y704" s="162" t="e">
        <f>VLOOKUP(B704,Crewlist!AS:AU,3,FALSE)</f>
        <v>#N/A</v>
      </c>
      <c r="Z704" s="163">
        <f t="shared" si="64"/>
        <v>0</v>
      </c>
    </row>
    <row r="705" spans="2:26">
      <c r="B705" s="171">
        <v>704</v>
      </c>
      <c r="F705" s="183"/>
      <c r="H705" s="173"/>
      <c r="I705" s="174"/>
      <c r="J705" s="174"/>
      <c r="L705" s="183"/>
      <c r="N705" s="201">
        <v>0</v>
      </c>
      <c r="Q705">
        <f t="shared" ref="Q705:Q713" si="66">IF(C705&lt;&gt; "",B705,0)</f>
        <v>0</v>
      </c>
      <c r="R705">
        <f t="shared" si="61"/>
        <v>703</v>
      </c>
      <c r="S705">
        <f>IFERROR(SEARCH(Crewlist!$P$5,V705)+ROW()/100000,"")</f>
        <v>1.00705</v>
      </c>
      <c r="T705">
        <f t="shared" ref="T705:T713" si="67">B705</f>
        <v>704</v>
      </c>
      <c r="U705">
        <f t="shared" ref="U705:U713" si="68">C705</f>
        <v>0</v>
      </c>
      <c r="V705" t="str">
        <f t="shared" si="65"/>
        <v xml:space="preserve"> </v>
      </c>
      <c r="Y705" s="162" t="e">
        <f>VLOOKUP(B705,Crewlist!AS:AU,3,FALSE)</f>
        <v>#N/A</v>
      </c>
      <c r="Z705" s="163">
        <f t="shared" si="64"/>
        <v>0</v>
      </c>
    </row>
    <row r="706" spans="2:26">
      <c r="B706" s="171">
        <v>705</v>
      </c>
      <c r="H706" s="173"/>
      <c r="I706" s="174"/>
      <c r="J706" s="174"/>
      <c r="N706" s="201">
        <v>0</v>
      </c>
      <c r="Q706">
        <f t="shared" si="66"/>
        <v>0</v>
      </c>
      <c r="R706">
        <f t="shared" ref="R706:R769" si="69">IFERROR(RANK(S706,$S$2:$S$1998,1),"")</f>
        <v>704</v>
      </c>
      <c r="S706">
        <f>IFERROR(SEARCH(Crewlist!$P$5,V706)+ROW()/100000,"")</f>
        <v>1.0070600000000001</v>
      </c>
      <c r="T706">
        <f t="shared" si="67"/>
        <v>705</v>
      </c>
      <c r="U706">
        <f t="shared" si="68"/>
        <v>0</v>
      </c>
      <c r="V706" t="str">
        <f t="shared" si="65"/>
        <v xml:space="preserve"> </v>
      </c>
      <c r="Y706" s="162" t="e">
        <f>VLOOKUP(B706,Crewlist!AS:AU,3,FALSE)</f>
        <v>#N/A</v>
      </c>
      <c r="Z706" s="163">
        <f t="shared" ref="Z706:Z769" si="70">IF(ISNUMBER(SEARCH("",Y706)),Y706,N706)</f>
        <v>0</v>
      </c>
    </row>
    <row r="707" spans="2:26">
      <c r="B707" s="202">
        <v>706</v>
      </c>
      <c r="C707" s="169"/>
      <c r="D707" s="169"/>
      <c r="G707" s="177"/>
      <c r="H707" s="178"/>
      <c r="I707" s="179"/>
      <c r="J707" s="179"/>
      <c r="N707" s="201">
        <v>0</v>
      </c>
      <c r="Q707">
        <f t="shared" si="66"/>
        <v>0</v>
      </c>
      <c r="R707">
        <f t="shared" si="69"/>
        <v>705</v>
      </c>
      <c r="S707">
        <f>IFERROR(SEARCH(Crewlist!$P$5,V707)+ROW()/100000,"")</f>
        <v>1.0070699999999999</v>
      </c>
      <c r="T707">
        <f t="shared" si="67"/>
        <v>706</v>
      </c>
      <c r="U707">
        <f t="shared" si="68"/>
        <v>0</v>
      </c>
      <c r="V707" t="str">
        <f t="shared" ref="V707:V770" si="71">CONCATENATE(C707," ",D707)</f>
        <v xml:space="preserve"> </v>
      </c>
      <c r="Y707" s="162" t="e">
        <f>VLOOKUP(B707,Crewlist!AS:AU,3,FALSE)</f>
        <v>#N/A</v>
      </c>
      <c r="Z707" s="163">
        <f t="shared" si="70"/>
        <v>0</v>
      </c>
    </row>
    <row r="708" spans="2:26">
      <c r="B708" s="171">
        <v>707</v>
      </c>
      <c r="H708" s="173"/>
      <c r="I708" s="174"/>
      <c r="J708" s="174"/>
      <c r="N708" s="201">
        <v>0</v>
      </c>
      <c r="Q708">
        <f t="shared" si="66"/>
        <v>0</v>
      </c>
      <c r="R708">
        <f t="shared" si="69"/>
        <v>706</v>
      </c>
      <c r="S708">
        <f>IFERROR(SEARCH(Crewlist!$P$5,V708)+ROW()/100000,"")</f>
        <v>1.00708</v>
      </c>
      <c r="T708">
        <f t="shared" si="67"/>
        <v>707</v>
      </c>
      <c r="U708">
        <f t="shared" si="68"/>
        <v>0</v>
      </c>
      <c r="V708" t="str">
        <f t="shared" si="71"/>
        <v xml:space="preserve"> </v>
      </c>
      <c r="Y708" s="162" t="e">
        <f>VLOOKUP(B708,Crewlist!AS:AU,3,FALSE)</f>
        <v>#N/A</v>
      </c>
      <c r="Z708" s="163">
        <f t="shared" si="70"/>
        <v>0</v>
      </c>
    </row>
    <row r="709" spans="2:26">
      <c r="B709" s="171">
        <v>708</v>
      </c>
      <c r="H709" s="173"/>
      <c r="I709" s="174"/>
      <c r="J709" s="174"/>
      <c r="N709" s="201">
        <v>0</v>
      </c>
      <c r="Q709">
        <f t="shared" si="66"/>
        <v>0</v>
      </c>
      <c r="R709">
        <f t="shared" si="69"/>
        <v>707</v>
      </c>
      <c r="S709">
        <f>IFERROR(SEARCH(Crewlist!$P$5,V709)+ROW()/100000,"")</f>
        <v>1.00709</v>
      </c>
      <c r="T709">
        <f t="shared" si="67"/>
        <v>708</v>
      </c>
      <c r="U709">
        <f t="shared" si="68"/>
        <v>0</v>
      </c>
      <c r="V709" t="str">
        <f t="shared" si="71"/>
        <v xml:space="preserve"> </v>
      </c>
      <c r="Y709" s="162" t="e">
        <f>VLOOKUP(B709,Crewlist!AS:AU,3,FALSE)</f>
        <v>#N/A</v>
      </c>
      <c r="Z709" s="163">
        <f t="shared" si="70"/>
        <v>0</v>
      </c>
    </row>
    <row r="710" spans="2:26">
      <c r="B710" s="202">
        <v>709</v>
      </c>
      <c r="H710" s="173"/>
      <c r="I710" s="174"/>
      <c r="J710" s="174"/>
      <c r="N710" s="201">
        <v>0</v>
      </c>
      <c r="Q710">
        <f t="shared" si="66"/>
        <v>0</v>
      </c>
      <c r="R710">
        <f t="shared" si="69"/>
        <v>708</v>
      </c>
      <c r="S710">
        <f>IFERROR(SEARCH(Crewlist!$P$5,V710)+ROW()/100000,"")</f>
        <v>1.0071000000000001</v>
      </c>
      <c r="T710">
        <f t="shared" si="67"/>
        <v>709</v>
      </c>
      <c r="U710">
        <f t="shared" si="68"/>
        <v>0</v>
      </c>
      <c r="V710" t="str">
        <f t="shared" si="71"/>
        <v xml:space="preserve"> </v>
      </c>
      <c r="Y710" s="162" t="e">
        <f>VLOOKUP(B710,Crewlist!AS:AU,3,FALSE)</f>
        <v>#N/A</v>
      </c>
      <c r="Z710" s="163">
        <f t="shared" si="70"/>
        <v>0</v>
      </c>
    </row>
    <row r="711" spans="2:26">
      <c r="B711" s="171">
        <v>710</v>
      </c>
      <c r="H711" s="173"/>
      <c r="I711" s="174"/>
      <c r="J711" s="174"/>
      <c r="N711" s="201">
        <v>0</v>
      </c>
      <c r="Q711">
        <f t="shared" si="66"/>
        <v>0</v>
      </c>
      <c r="R711">
        <f t="shared" si="69"/>
        <v>709</v>
      </c>
      <c r="S711">
        <f>IFERROR(SEARCH(Crewlist!$P$5,V711)+ROW()/100000,"")</f>
        <v>1.0071099999999999</v>
      </c>
      <c r="T711">
        <f t="shared" si="67"/>
        <v>710</v>
      </c>
      <c r="U711">
        <f t="shared" si="68"/>
        <v>0</v>
      </c>
      <c r="V711" t="str">
        <f t="shared" si="71"/>
        <v xml:space="preserve"> </v>
      </c>
      <c r="Y711" s="162" t="e">
        <f>VLOOKUP(B711,Crewlist!AS:AU,3,FALSE)</f>
        <v>#N/A</v>
      </c>
      <c r="Z711" s="163">
        <f t="shared" si="70"/>
        <v>0</v>
      </c>
    </row>
    <row r="712" spans="2:26">
      <c r="B712" s="171">
        <v>711</v>
      </c>
      <c r="H712" s="173"/>
      <c r="I712" s="174"/>
      <c r="J712" s="174"/>
      <c r="N712" s="201">
        <v>0</v>
      </c>
      <c r="Q712">
        <f t="shared" si="66"/>
        <v>0</v>
      </c>
      <c r="R712">
        <f t="shared" si="69"/>
        <v>710</v>
      </c>
      <c r="S712">
        <f>IFERROR(SEARCH(Crewlist!$P$5,V712)+ROW()/100000,"")</f>
        <v>1.00712</v>
      </c>
      <c r="T712">
        <f t="shared" si="67"/>
        <v>711</v>
      </c>
      <c r="U712">
        <f t="shared" si="68"/>
        <v>0</v>
      </c>
      <c r="V712" t="str">
        <f t="shared" si="71"/>
        <v xml:space="preserve"> </v>
      </c>
      <c r="Y712" s="162" t="e">
        <f>VLOOKUP(B712,Crewlist!AS:AU,3,FALSE)</f>
        <v>#N/A</v>
      </c>
      <c r="Z712" s="163">
        <f t="shared" si="70"/>
        <v>0</v>
      </c>
    </row>
    <row r="713" spans="2:26">
      <c r="B713" s="202">
        <v>712</v>
      </c>
      <c r="H713" s="173"/>
      <c r="I713" s="174"/>
      <c r="J713" s="174"/>
      <c r="N713" s="201">
        <v>0</v>
      </c>
      <c r="Q713">
        <f t="shared" si="66"/>
        <v>0</v>
      </c>
      <c r="R713">
        <f t="shared" si="69"/>
        <v>711</v>
      </c>
      <c r="S713">
        <f>IFERROR(SEARCH(Crewlist!$P$5,V713)+ROW()/100000,"")</f>
        <v>1.0071300000000001</v>
      </c>
      <c r="T713">
        <f t="shared" si="67"/>
        <v>712</v>
      </c>
      <c r="U713">
        <f t="shared" si="68"/>
        <v>0</v>
      </c>
      <c r="V713" t="str">
        <f t="shared" si="71"/>
        <v xml:space="preserve"> </v>
      </c>
      <c r="Y713" s="162" t="e">
        <f>VLOOKUP(B713,Crewlist!AS:AU,3,FALSE)</f>
        <v>#N/A</v>
      </c>
      <c r="Z713" s="163">
        <f t="shared" si="70"/>
        <v>0</v>
      </c>
    </row>
    <row r="714" spans="2:26">
      <c r="B714" s="171">
        <v>713</v>
      </c>
      <c r="C714" s="169"/>
      <c r="D714" s="169"/>
      <c r="H714" s="173"/>
      <c r="I714" s="174"/>
      <c r="J714" s="174"/>
      <c r="N714" s="201">
        <v>0</v>
      </c>
      <c r="Q714">
        <f t="shared" ref="Q714:Q776" si="72">IF(C714&lt;&gt; "",B714,0)</f>
        <v>0</v>
      </c>
      <c r="R714">
        <f t="shared" si="69"/>
        <v>712</v>
      </c>
      <c r="S714">
        <f>IFERROR(SEARCH(Crewlist!$P$5,V714)+ROW()/100000,"")</f>
        <v>1.0071399999999999</v>
      </c>
      <c r="T714">
        <f t="shared" ref="T714:T776" si="73">B714</f>
        <v>713</v>
      </c>
      <c r="U714">
        <f t="shared" ref="U714:U776" si="74">C714</f>
        <v>0</v>
      </c>
      <c r="V714" t="str">
        <f t="shared" si="71"/>
        <v xml:space="preserve"> </v>
      </c>
      <c r="Y714" s="162" t="e">
        <f>VLOOKUP(B714,Crewlist!AS:AU,3,FALSE)</f>
        <v>#N/A</v>
      </c>
      <c r="Z714" s="163">
        <f t="shared" si="70"/>
        <v>0</v>
      </c>
    </row>
    <row r="715" spans="2:26">
      <c r="B715" s="171">
        <v>714</v>
      </c>
      <c r="H715" s="173"/>
      <c r="I715" s="174"/>
      <c r="J715" s="174"/>
      <c r="N715" s="201">
        <v>0</v>
      </c>
      <c r="Q715">
        <f t="shared" si="72"/>
        <v>0</v>
      </c>
      <c r="R715">
        <f t="shared" si="69"/>
        <v>713</v>
      </c>
      <c r="S715">
        <f>IFERROR(SEARCH(Crewlist!$P$5,V715)+ROW()/100000,"")</f>
        <v>1.00715</v>
      </c>
      <c r="T715">
        <f t="shared" si="73"/>
        <v>714</v>
      </c>
      <c r="U715">
        <f t="shared" si="74"/>
        <v>0</v>
      </c>
      <c r="V715" t="str">
        <f t="shared" si="71"/>
        <v xml:space="preserve"> </v>
      </c>
      <c r="Y715" s="162" t="e">
        <f>VLOOKUP(B715,Crewlist!AS:AU,3,FALSE)</f>
        <v>#N/A</v>
      </c>
      <c r="Z715" s="163">
        <f t="shared" si="70"/>
        <v>0</v>
      </c>
    </row>
    <row r="716" spans="2:26">
      <c r="B716" s="202">
        <v>715</v>
      </c>
      <c r="F716" s="183"/>
      <c r="H716" s="173"/>
      <c r="I716" s="174"/>
      <c r="J716" s="174"/>
      <c r="L716" s="183"/>
      <c r="N716" s="201">
        <v>0</v>
      </c>
      <c r="Q716">
        <f t="shared" si="72"/>
        <v>0</v>
      </c>
      <c r="R716">
        <f t="shared" si="69"/>
        <v>714</v>
      </c>
      <c r="S716">
        <f>IFERROR(SEARCH(Crewlist!$P$5,V716)+ROW()/100000,"")</f>
        <v>1.0071600000000001</v>
      </c>
      <c r="T716">
        <f t="shared" si="73"/>
        <v>715</v>
      </c>
      <c r="U716">
        <f t="shared" si="74"/>
        <v>0</v>
      </c>
      <c r="V716" t="str">
        <f t="shared" si="71"/>
        <v xml:space="preserve"> </v>
      </c>
      <c r="Y716" s="162" t="e">
        <f>VLOOKUP(B716,Crewlist!AS:AU,3,FALSE)</f>
        <v>#N/A</v>
      </c>
      <c r="Z716" s="163">
        <f t="shared" si="70"/>
        <v>0</v>
      </c>
    </row>
    <row r="717" spans="2:26">
      <c r="B717" s="171">
        <v>716</v>
      </c>
      <c r="H717" s="173"/>
      <c r="I717" s="174"/>
      <c r="J717" s="174"/>
      <c r="N717" s="201">
        <v>0</v>
      </c>
      <c r="Q717">
        <f t="shared" si="72"/>
        <v>0</v>
      </c>
      <c r="R717">
        <f t="shared" si="69"/>
        <v>715</v>
      </c>
      <c r="S717">
        <f>IFERROR(SEARCH(Crewlist!$P$5,V717)+ROW()/100000,"")</f>
        <v>1.0071699999999999</v>
      </c>
      <c r="T717">
        <f t="shared" si="73"/>
        <v>716</v>
      </c>
      <c r="U717">
        <f t="shared" si="74"/>
        <v>0</v>
      </c>
      <c r="V717" t="str">
        <f t="shared" si="71"/>
        <v xml:space="preserve"> </v>
      </c>
      <c r="Y717" s="162" t="e">
        <f>VLOOKUP(B717,Crewlist!AS:AU,3,FALSE)</f>
        <v>#N/A</v>
      </c>
      <c r="Z717" s="163">
        <f t="shared" si="70"/>
        <v>0</v>
      </c>
    </row>
    <row r="718" spans="2:26">
      <c r="B718" s="171">
        <v>717</v>
      </c>
      <c r="H718" s="173"/>
      <c r="I718" s="174"/>
      <c r="J718" s="174"/>
      <c r="N718" s="201">
        <v>0</v>
      </c>
      <c r="Q718">
        <f t="shared" si="72"/>
        <v>0</v>
      </c>
      <c r="R718">
        <f t="shared" si="69"/>
        <v>716</v>
      </c>
      <c r="S718">
        <f>IFERROR(SEARCH(Crewlist!$P$5,V718)+ROW()/100000,"")</f>
        <v>1.00718</v>
      </c>
      <c r="T718">
        <f t="shared" si="73"/>
        <v>717</v>
      </c>
      <c r="U718">
        <f t="shared" si="74"/>
        <v>0</v>
      </c>
      <c r="V718" t="str">
        <f t="shared" si="71"/>
        <v xml:space="preserve"> </v>
      </c>
      <c r="Y718" s="162" t="e">
        <f>VLOOKUP(B718,Crewlist!AS:AU,3,FALSE)</f>
        <v>#N/A</v>
      </c>
      <c r="Z718" s="163">
        <f t="shared" si="70"/>
        <v>0</v>
      </c>
    </row>
    <row r="719" spans="2:26">
      <c r="B719" s="202">
        <v>718</v>
      </c>
      <c r="H719" s="173"/>
      <c r="I719" s="174"/>
      <c r="J719" s="174"/>
      <c r="N719" s="201">
        <v>0</v>
      </c>
      <c r="Q719">
        <f t="shared" si="72"/>
        <v>0</v>
      </c>
      <c r="R719">
        <f t="shared" si="69"/>
        <v>717</v>
      </c>
      <c r="S719">
        <f>IFERROR(SEARCH(Crewlist!$P$5,V719)+ROW()/100000,"")</f>
        <v>1.00719</v>
      </c>
      <c r="T719">
        <f t="shared" si="73"/>
        <v>718</v>
      </c>
      <c r="U719">
        <f t="shared" si="74"/>
        <v>0</v>
      </c>
      <c r="V719" t="str">
        <f t="shared" si="71"/>
        <v xml:space="preserve"> </v>
      </c>
      <c r="Y719" s="162" t="e">
        <f>VLOOKUP(B719,Crewlist!AS:AU,3,FALSE)</f>
        <v>#N/A</v>
      </c>
      <c r="Z719" s="163">
        <f t="shared" si="70"/>
        <v>0</v>
      </c>
    </row>
    <row r="720" spans="2:26">
      <c r="B720" s="171">
        <v>719</v>
      </c>
      <c r="H720" s="173"/>
      <c r="I720" s="174"/>
      <c r="J720" s="174"/>
      <c r="N720" s="201">
        <v>0</v>
      </c>
      <c r="Q720">
        <f t="shared" si="72"/>
        <v>0</v>
      </c>
      <c r="R720">
        <f t="shared" si="69"/>
        <v>718</v>
      </c>
      <c r="S720">
        <f>IFERROR(SEARCH(Crewlist!$P$5,V720)+ROW()/100000,"")</f>
        <v>1.0072000000000001</v>
      </c>
      <c r="T720">
        <f t="shared" si="73"/>
        <v>719</v>
      </c>
      <c r="U720">
        <f t="shared" si="74"/>
        <v>0</v>
      </c>
      <c r="V720" t="str">
        <f t="shared" si="71"/>
        <v xml:space="preserve"> </v>
      </c>
      <c r="Y720" s="162" t="e">
        <f>VLOOKUP(B720,Crewlist!AS:AU,3,FALSE)</f>
        <v>#N/A</v>
      </c>
      <c r="Z720" s="163">
        <f t="shared" si="70"/>
        <v>0</v>
      </c>
    </row>
    <row r="721" spans="2:26">
      <c r="B721" s="171">
        <v>720</v>
      </c>
      <c r="C721" s="169"/>
      <c r="D721" s="169"/>
      <c r="E721" s="169"/>
      <c r="G721" s="177"/>
      <c r="H721" s="178"/>
      <c r="I721" s="179"/>
      <c r="J721" s="179"/>
      <c r="N721" s="201">
        <v>0</v>
      </c>
      <c r="Q721">
        <f t="shared" si="72"/>
        <v>0</v>
      </c>
      <c r="R721">
        <f t="shared" si="69"/>
        <v>719</v>
      </c>
      <c r="S721">
        <f>IFERROR(SEARCH(Crewlist!$P$5,V721)+ROW()/100000,"")</f>
        <v>1.0072099999999999</v>
      </c>
      <c r="T721">
        <f t="shared" si="73"/>
        <v>720</v>
      </c>
      <c r="U721">
        <f t="shared" si="74"/>
        <v>0</v>
      </c>
      <c r="V721" t="str">
        <f t="shared" si="71"/>
        <v xml:space="preserve"> </v>
      </c>
      <c r="Y721" s="162" t="e">
        <f>VLOOKUP(B721,Crewlist!AS:AU,3,FALSE)</f>
        <v>#N/A</v>
      </c>
      <c r="Z721" s="163">
        <f t="shared" si="70"/>
        <v>0</v>
      </c>
    </row>
    <row r="722" spans="2:26">
      <c r="B722" s="202">
        <v>721</v>
      </c>
      <c r="H722" s="173"/>
      <c r="I722" s="174"/>
      <c r="J722" s="174"/>
      <c r="N722" s="201">
        <v>0</v>
      </c>
      <c r="Q722">
        <f t="shared" si="72"/>
        <v>0</v>
      </c>
      <c r="R722">
        <f t="shared" si="69"/>
        <v>720</v>
      </c>
      <c r="S722">
        <f>IFERROR(SEARCH(Crewlist!$P$5,V722)+ROW()/100000,"")</f>
        <v>1.00722</v>
      </c>
      <c r="T722">
        <f t="shared" si="73"/>
        <v>721</v>
      </c>
      <c r="U722">
        <f t="shared" si="74"/>
        <v>0</v>
      </c>
      <c r="V722" t="str">
        <f t="shared" si="71"/>
        <v xml:space="preserve"> </v>
      </c>
      <c r="Y722" s="162" t="e">
        <f>VLOOKUP(B722,Crewlist!AS:AU,3,FALSE)</f>
        <v>#N/A</v>
      </c>
      <c r="Z722" s="163">
        <f t="shared" si="70"/>
        <v>0</v>
      </c>
    </row>
    <row r="723" spans="2:26">
      <c r="B723" s="171">
        <v>722</v>
      </c>
      <c r="F723" s="183"/>
      <c r="H723" s="173"/>
      <c r="I723" s="174"/>
      <c r="J723" s="174"/>
      <c r="L723" s="183"/>
      <c r="N723" s="201">
        <v>0</v>
      </c>
      <c r="Q723">
        <f t="shared" si="72"/>
        <v>0</v>
      </c>
      <c r="R723">
        <f t="shared" si="69"/>
        <v>721</v>
      </c>
      <c r="S723">
        <f>IFERROR(SEARCH(Crewlist!$P$5,V723)+ROW()/100000,"")</f>
        <v>1.0072300000000001</v>
      </c>
      <c r="T723">
        <f t="shared" si="73"/>
        <v>722</v>
      </c>
      <c r="U723">
        <f t="shared" si="74"/>
        <v>0</v>
      </c>
      <c r="V723" t="str">
        <f t="shared" si="71"/>
        <v xml:space="preserve"> </v>
      </c>
      <c r="Y723" s="162" t="e">
        <f>VLOOKUP(B723,Crewlist!AS:AU,3,FALSE)</f>
        <v>#N/A</v>
      </c>
      <c r="Z723" s="163">
        <f t="shared" si="70"/>
        <v>0</v>
      </c>
    </row>
    <row r="724" spans="2:26">
      <c r="B724" s="171">
        <v>723</v>
      </c>
      <c r="C724" s="169"/>
      <c r="D724" s="169"/>
      <c r="F724" s="183"/>
      <c r="H724" s="173"/>
      <c r="I724" s="174"/>
      <c r="J724" s="174"/>
      <c r="L724" s="183"/>
      <c r="N724" s="201">
        <v>0</v>
      </c>
      <c r="Q724">
        <f t="shared" si="72"/>
        <v>0</v>
      </c>
      <c r="R724">
        <f t="shared" si="69"/>
        <v>722</v>
      </c>
      <c r="S724">
        <f>IFERROR(SEARCH(Crewlist!$P$5,V724)+ROW()/100000,"")</f>
        <v>1.0072399999999999</v>
      </c>
      <c r="T724">
        <f t="shared" si="73"/>
        <v>723</v>
      </c>
      <c r="U724">
        <f t="shared" si="74"/>
        <v>0</v>
      </c>
      <c r="V724" t="str">
        <f t="shared" si="71"/>
        <v xml:space="preserve"> </v>
      </c>
      <c r="Y724" s="162" t="e">
        <f>VLOOKUP(B724,Crewlist!AS:AU,3,FALSE)</f>
        <v>#N/A</v>
      </c>
      <c r="Z724" s="163">
        <f t="shared" si="70"/>
        <v>0</v>
      </c>
    </row>
    <row r="725" spans="2:26">
      <c r="B725" s="202">
        <v>724</v>
      </c>
      <c r="C725" s="169"/>
      <c r="D725" s="169"/>
      <c r="F725" s="183"/>
      <c r="H725" s="173"/>
      <c r="I725" s="174"/>
      <c r="J725" s="174"/>
      <c r="L725" s="183"/>
      <c r="N725" s="201">
        <v>0</v>
      </c>
      <c r="Q725">
        <f t="shared" si="72"/>
        <v>0</v>
      </c>
      <c r="R725">
        <f t="shared" si="69"/>
        <v>723</v>
      </c>
      <c r="S725">
        <f>IFERROR(SEARCH(Crewlist!$P$5,V725)+ROW()/100000,"")</f>
        <v>1.00725</v>
      </c>
      <c r="T725">
        <f t="shared" si="73"/>
        <v>724</v>
      </c>
      <c r="U725">
        <f t="shared" si="74"/>
        <v>0</v>
      </c>
      <c r="V725" t="str">
        <f t="shared" si="71"/>
        <v xml:space="preserve"> </v>
      </c>
      <c r="Y725" s="162" t="e">
        <f>VLOOKUP(B725,Crewlist!AS:AU,3,FALSE)</f>
        <v>#N/A</v>
      </c>
      <c r="Z725" s="163">
        <f t="shared" si="70"/>
        <v>0</v>
      </c>
    </row>
    <row r="726" spans="2:26">
      <c r="B726" s="171">
        <v>725</v>
      </c>
      <c r="C726" s="169"/>
      <c r="D726" s="169"/>
      <c r="F726" s="183"/>
      <c r="H726" s="173"/>
      <c r="I726" s="174"/>
      <c r="J726" s="174"/>
      <c r="L726" s="183"/>
      <c r="N726" s="201">
        <v>0</v>
      </c>
      <c r="Q726">
        <f t="shared" si="72"/>
        <v>0</v>
      </c>
      <c r="R726">
        <f t="shared" si="69"/>
        <v>724</v>
      </c>
      <c r="S726">
        <f>IFERROR(SEARCH(Crewlist!$P$5,V726)+ROW()/100000,"")</f>
        <v>1.00726</v>
      </c>
      <c r="T726">
        <f t="shared" si="73"/>
        <v>725</v>
      </c>
      <c r="U726">
        <f t="shared" si="74"/>
        <v>0</v>
      </c>
      <c r="V726" t="str">
        <f t="shared" si="71"/>
        <v xml:space="preserve"> </v>
      </c>
      <c r="Y726" s="162" t="e">
        <f>VLOOKUP(B726,Crewlist!AS:AU,3,FALSE)</f>
        <v>#N/A</v>
      </c>
      <c r="Z726" s="163">
        <f t="shared" si="70"/>
        <v>0</v>
      </c>
    </row>
    <row r="727" spans="2:26">
      <c r="B727" s="171">
        <v>726</v>
      </c>
      <c r="F727" s="183"/>
      <c r="H727" s="173"/>
      <c r="I727" s="174"/>
      <c r="J727" s="174"/>
      <c r="L727" s="183"/>
      <c r="N727" s="201">
        <v>0</v>
      </c>
      <c r="Q727">
        <f t="shared" si="72"/>
        <v>0</v>
      </c>
      <c r="R727">
        <f t="shared" si="69"/>
        <v>725</v>
      </c>
      <c r="S727">
        <f>IFERROR(SEARCH(Crewlist!$P$5,V727)+ROW()/100000,"")</f>
        <v>1.0072700000000001</v>
      </c>
      <c r="T727">
        <f t="shared" si="73"/>
        <v>726</v>
      </c>
      <c r="U727">
        <f t="shared" si="74"/>
        <v>0</v>
      </c>
      <c r="V727" t="str">
        <f t="shared" si="71"/>
        <v xml:space="preserve"> </v>
      </c>
      <c r="Y727" s="162" t="e">
        <f>VLOOKUP(B727,Crewlist!AS:AU,3,FALSE)</f>
        <v>#N/A</v>
      </c>
      <c r="Z727" s="163">
        <f t="shared" si="70"/>
        <v>0</v>
      </c>
    </row>
    <row r="728" spans="2:26">
      <c r="B728" s="202">
        <v>727</v>
      </c>
      <c r="C728" s="169"/>
      <c r="D728" s="169"/>
      <c r="F728" s="183"/>
      <c r="H728" s="173"/>
      <c r="I728" s="174"/>
      <c r="J728" s="174"/>
      <c r="L728" s="183"/>
      <c r="N728" s="201">
        <v>0</v>
      </c>
      <c r="Q728">
        <f t="shared" si="72"/>
        <v>0</v>
      </c>
      <c r="R728">
        <f t="shared" si="69"/>
        <v>726</v>
      </c>
      <c r="S728">
        <f>IFERROR(SEARCH(Crewlist!$P$5,V728)+ROW()/100000,"")</f>
        <v>1.00728</v>
      </c>
      <c r="T728">
        <f t="shared" si="73"/>
        <v>727</v>
      </c>
      <c r="U728">
        <f t="shared" si="74"/>
        <v>0</v>
      </c>
      <c r="V728" t="str">
        <f t="shared" si="71"/>
        <v xml:space="preserve"> </v>
      </c>
      <c r="Y728" s="162" t="e">
        <f>VLOOKUP(B728,Crewlist!AS:AU,3,FALSE)</f>
        <v>#N/A</v>
      </c>
      <c r="Z728" s="163">
        <f t="shared" si="70"/>
        <v>0</v>
      </c>
    </row>
    <row r="729" spans="2:26">
      <c r="B729" s="171">
        <v>728</v>
      </c>
      <c r="F729" s="183"/>
      <c r="H729" s="173"/>
      <c r="I729" s="174"/>
      <c r="J729" s="174"/>
      <c r="L729" s="183"/>
      <c r="N729" s="201">
        <v>0</v>
      </c>
      <c r="Q729">
        <f t="shared" si="72"/>
        <v>0</v>
      </c>
      <c r="R729">
        <f t="shared" si="69"/>
        <v>727</v>
      </c>
      <c r="S729">
        <f>IFERROR(SEARCH(Crewlist!$P$5,V729)+ROW()/100000,"")</f>
        <v>1.00729</v>
      </c>
      <c r="T729">
        <f t="shared" si="73"/>
        <v>728</v>
      </c>
      <c r="U729">
        <f t="shared" si="74"/>
        <v>0</v>
      </c>
      <c r="V729" t="str">
        <f t="shared" si="71"/>
        <v xml:space="preserve"> </v>
      </c>
      <c r="Y729" s="162" t="e">
        <f>VLOOKUP(B729,Crewlist!AS:AU,3,FALSE)</f>
        <v>#N/A</v>
      </c>
      <c r="Z729" s="163">
        <f t="shared" si="70"/>
        <v>0</v>
      </c>
    </row>
    <row r="730" spans="2:26">
      <c r="B730" s="171">
        <v>729</v>
      </c>
      <c r="C730" s="169"/>
      <c r="D730" s="169"/>
      <c r="F730" s="183"/>
      <c r="H730" s="173"/>
      <c r="I730" s="174"/>
      <c r="J730" s="174"/>
      <c r="L730" s="183"/>
      <c r="N730" s="201">
        <v>0</v>
      </c>
      <c r="Q730">
        <f t="shared" si="72"/>
        <v>0</v>
      </c>
      <c r="R730">
        <f t="shared" si="69"/>
        <v>728</v>
      </c>
      <c r="S730">
        <f>IFERROR(SEARCH(Crewlist!$P$5,V730)+ROW()/100000,"")</f>
        <v>1.0073000000000001</v>
      </c>
      <c r="T730">
        <f t="shared" si="73"/>
        <v>729</v>
      </c>
      <c r="U730">
        <f t="shared" si="74"/>
        <v>0</v>
      </c>
      <c r="V730" t="str">
        <f t="shared" si="71"/>
        <v xml:space="preserve"> </v>
      </c>
      <c r="Y730" s="162" t="e">
        <f>VLOOKUP(B730,Crewlist!AS:AU,3,FALSE)</f>
        <v>#N/A</v>
      </c>
      <c r="Z730" s="163">
        <f t="shared" si="70"/>
        <v>0</v>
      </c>
    </row>
    <row r="731" spans="2:26">
      <c r="B731" s="202">
        <v>730</v>
      </c>
      <c r="C731" s="169"/>
      <c r="D731" s="169"/>
      <c r="E731" s="169"/>
      <c r="F731" s="183"/>
      <c r="G731" s="177"/>
      <c r="H731" s="178"/>
      <c r="I731" s="179"/>
      <c r="J731" s="179"/>
      <c r="K731" s="179"/>
      <c r="L731" s="183"/>
      <c r="M731" s="180"/>
      <c r="N731" s="201">
        <v>0</v>
      </c>
      <c r="Q731">
        <f t="shared" si="72"/>
        <v>0</v>
      </c>
      <c r="R731">
        <f t="shared" si="69"/>
        <v>729</v>
      </c>
      <c r="S731">
        <f>IFERROR(SEARCH(Crewlist!$P$5,V731)+ROW()/100000,"")</f>
        <v>1.0073099999999999</v>
      </c>
      <c r="T731">
        <f t="shared" si="73"/>
        <v>730</v>
      </c>
      <c r="U731">
        <f t="shared" si="74"/>
        <v>0</v>
      </c>
      <c r="V731" t="str">
        <f t="shared" si="71"/>
        <v xml:space="preserve"> </v>
      </c>
      <c r="Y731" s="162" t="e">
        <f>VLOOKUP(B731,Crewlist!AS:AU,3,FALSE)</f>
        <v>#N/A</v>
      </c>
      <c r="Z731" s="163">
        <f t="shared" si="70"/>
        <v>0</v>
      </c>
    </row>
    <row r="732" spans="2:26">
      <c r="B732" s="171">
        <v>731</v>
      </c>
      <c r="C732" s="169"/>
      <c r="D732" s="169"/>
      <c r="F732" s="183"/>
      <c r="H732" s="173"/>
      <c r="I732" s="174"/>
      <c r="J732" s="174"/>
      <c r="L732" s="183"/>
      <c r="N732" s="201">
        <v>0</v>
      </c>
      <c r="Q732">
        <f t="shared" si="72"/>
        <v>0</v>
      </c>
      <c r="R732">
        <f t="shared" si="69"/>
        <v>730</v>
      </c>
      <c r="S732">
        <f>IFERROR(SEARCH(Crewlist!$P$5,V732)+ROW()/100000,"")</f>
        <v>1.00732</v>
      </c>
      <c r="T732">
        <f t="shared" si="73"/>
        <v>731</v>
      </c>
      <c r="U732">
        <f t="shared" si="74"/>
        <v>0</v>
      </c>
      <c r="V732" t="str">
        <f t="shared" si="71"/>
        <v xml:space="preserve"> </v>
      </c>
      <c r="Y732" s="162" t="e">
        <f>VLOOKUP(B732,Crewlist!AS:AU,3,FALSE)</f>
        <v>#N/A</v>
      </c>
      <c r="Z732" s="163">
        <f t="shared" si="70"/>
        <v>0</v>
      </c>
    </row>
    <row r="733" spans="2:26">
      <c r="B733" s="171">
        <v>732</v>
      </c>
      <c r="F733" s="183"/>
      <c r="H733" s="173"/>
      <c r="I733" s="174"/>
      <c r="J733" s="174"/>
      <c r="L733" s="183"/>
      <c r="N733" s="201">
        <v>0</v>
      </c>
      <c r="Q733">
        <f t="shared" si="72"/>
        <v>0</v>
      </c>
      <c r="R733">
        <f t="shared" si="69"/>
        <v>731</v>
      </c>
      <c r="S733">
        <f>IFERROR(SEARCH(Crewlist!$P$5,V733)+ROW()/100000,"")</f>
        <v>1.0073300000000001</v>
      </c>
      <c r="T733">
        <f t="shared" si="73"/>
        <v>732</v>
      </c>
      <c r="U733">
        <f t="shared" si="74"/>
        <v>0</v>
      </c>
      <c r="V733" t="str">
        <f t="shared" si="71"/>
        <v xml:space="preserve"> </v>
      </c>
      <c r="Y733" s="162" t="e">
        <f>VLOOKUP(B733,Crewlist!AS:AU,3,FALSE)</f>
        <v>#N/A</v>
      </c>
      <c r="Z733" s="163">
        <f t="shared" si="70"/>
        <v>0</v>
      </c>
    </row>
    <row r="734" spans="2:26">
      <c r="B734" s="202">
        <v>733</v>
      </c>
      <c r="F734" s="183"/>
      <c r="H734" s="173"/>
      <c r="I734" s="174"/>
      <c r="J734" s="174"/>
      <c r="L734" s="183"/>
      <c r="N734" s="201">
        <v>0</v>
      </c>
      <c r="Q734">
        <f t="shared" si="72"/>
        <v>0</v>
      </c>
      <c r="R734">
        <f t="shared" si="69"/>
        <v>732</v>
      </c>
      <c r="S734">
        <f>IFERROR(SEARCH(Crewlist!$P$5,V734)+ROW()/100000,"")</f>
        <v>1.0073399999999999</v>
      </c>
      <c r="T734">
        <f t="shared" si="73"/>
        <v>733</v>
      </c>
      <c r="U734">
        <f t="shared" si="74"/>
        <v>0</v>
      </c>
      <c r="V734" t="str">
        <f t="shared" si="71"/>
        <v xml:space="preserve"> </v>
      </c>
      <c r="Y734" s="162" t="e">
        <f>VLOOKUP(B734,Crewlist!AS:AU,3,FALSE)</f>
        <v>#N/A</v>
      </c>
      <c r="Z734" s="163">
        <f t="shared" si="70"/>
        <v>0</v>
      </c>
    </row>
    <row r="735" spans="2:26">
      <c r="B735" s="171">
        <v>734</v>
      </c>
      <c r="F735" s="183"/>
      <c r="H735" s="173"/>
      <c r="I735" s="174"/>
      <c r="J735" s="174"/>
      <c r="L735" s="183"/>
      <c r="N735" s="201">
        <v>0</v>
      </c>
      <c r="Q735">
        <f t="shared" si="72"/>
        <v>0</v>
      </c>
      <c r="R735">
        <f t="shared" si="69"/>
        <v>733</v>
      </c>
      <c r="S735">
        <f>IFERROR(SEARCH(Crewlist!$P$5,V735)+ROW()/100000,"")</f>
        <v>1.00735</v>
      </c>
      <c r="T735">
        <f t="shared" si="73"/>
        <v>734</v>
      </c>
      <c r="U735">
        <f t="shared" si="74"/>
        <v>0</v>
      </c>
      <c r="V735" t="str">
        <f t="shared" si="71"/>
        <v xml:space="preserve"> </v>
      </c>
      <c r="Y735" s="162" t="e">
        <f>VLOOKUP(B735,Crewlist!AS:AU,3,FALSE)</f>
        <v>#N/A</v>
      </c>
      <c r="Z735" s="163">
        <f t="shared" si="70"/>
        <v>0</v>
      </c>
    </row>
    <row r="736" spans="2:26">
      <c r="B736" s="171">
        <v>735</v>
      </c>
      <c r="C736" s="169"/>
      <c r="D736" s="169"/>
      <c r="F736" s="183"/>
      <c r="H736" s="173"/>
      <c r="I736" s="174"/>
      <c r="J736" s="174"/>
      <c r="L736" s="183"/>
      <c r="N736" s="201">
        <v>0</v>
      </c>
      <c r="Q736">
        <f t="shared" si="72"/>
        <v>0</v>
      </c>
      <c r="R736">
        <f t="shared" si="69"/>
        <v>734</v>
      </c>
      <c r="S736">
        <f>IFERROR(SEARCH(Crewlist!$P$5,V736)+ROW()/100000,"")</f>
        <v>1.00736</v>
      </c>
      <c r="T736">
        <f t="shared" si="73"/>
        <v>735</v>
      </c>
      <c r="U736">
        <f t="shared" si="74"/>
        <v>0</v>
      </c>
      <c r="V736" t="str">
        <f t="shared" si="71"/>
        <v xml:space="preserve"> </v>
      </c>
      <c r="Y736" s="162" t="e">
        <f>VLOOKUP(B736,Crewlist!AS:AU,3,FALSE)</f>
        <v>#N/A</v>
      </c>
      <c r="Z736" s="163">
        <f t="shared" si="70"/>
        <v>0</v>
      </c>
    </row>
    <row r="737" spans="2:26">
      <c r="B737" s="202">
        <v>736</v>
      </c>
      <c r="F737" s="183"/>
      <c r="H737" s="173"/>
      <c r="I737" s="174"/>
      <c r="J737" s="174"/>
      <c r="L737" s="183"/>
      <c r="N737" s="201">
        <v>0</v>
      </c>
      <c r="Q737">
        <f t="shared" si="72"/>
        <v>0</v>
      </c>
      <c r="R737">
        <f t="shared" si="69"/>
        <v>735</v>
      </c>
      <c r="S737">
        <f>IFERROR(SEARCH(Crewlist!$P$5,V737)+ROW()/100000,"")</f>
        <v>1.0073700000000001</v>
      </c>
      <c r="T737">
        <f t="shared" si="73"/>
        <v>736</v>
      </c>
      <c r="U737">
        <f t="shared" si="74"/>
        <v>0</v>
      </c>
      <c r="V737" t="str">
        <f t="shared" si="71"/>
        <v xml:space="preserve"> </v>
      </c>
      <c r="Y737" s="162" t="e">
        <f>VLOOKUP(B737,Crewlist!AS:AU,3,FALSE)</f>
        <v>#N/A</v>
      </c>
      <c r="Z737" s="163">
        <f t="shared" si="70"/>
        <v>0</v>
      </c>
    </row>
    <row r="738" spans="2:26">
      <c r="B738" s="171">
        <v>737</v>
      </c>
      <c r="H738" s="173"/>
      <c r="I738" s="174"/>
      <c r="J738" s="174"/>
      <c r="N738" s="201">
        <v>0</v>
      </c>
      <c r="Q738">
        <f t="shared" si="72"/>
        <v>0</v>
      </c>
      <c r="R738">
        <f t="shared" si="69"/>
        <v>736</v>
      </c>
      <c r="S738">
        <f>IFERROR(SEARCH(Crewlist!$P$5,V738)+ROW()/100000,"")</f>
        <v>1.0073799999999999</v>
      </c>
      <c r="T738">
        <f t="shared" si="73"/>
        <v>737</v>
      </c>
      <c r="U738">
        <f t="shared" si="74"/>
        <v>0</v>
      </c>
      <c r="V738" t="str">
        <f t="shared" si="71"/>
        <v xml:space="preserve"> </v>
      </c>
      <c r="Y738" s="162" t="e">
        <f>VLOOKUP(B738,Crewlist!AS:AU,3,FALSE)</f>
        <v>#N/A</v>
      </c>
      <c r="Z738" s="163">
        <f t="shared" si="70"/>
        <v>0</v>
      </c>
    </row>
    <row r="739" spans="2:26">
      <c r="B739" s="171">
        <v>738</v>
      </c>
      <c r="H739" s="173"/>
      <c r="I739" s="174"/>
      <c r="J739" s="174"/>
      <c r="N739" s="201">
        <v>0</v>
      </c>
      <c r="Q739">
        <f t="shared" si="72"/>
        <v>0</v>
      </c>
      <c r="R739">
        <f t="shared" si="69"/>
        <v>737</v>
      </c>
      <c r="S739">
        <f>IFERROR(SEARCH(Crewlist!$P$5,V739)+ROW()/100000,"")</f>
        <v>1.00739</v>
      </c>
      <c r="T739">
        <f t="shared" si="73"/>
        <v>738</v>
      </c>
      <c r="U739">
        <f t="shared" si="74"/>
        <v>0</v>
      </c>
      <c r="V739" t="str">
        <f t="shared" si="71"/>
        <v xml:space="preserve"> </v>
      </c>
      <c r="Y739" s="162" t="e">
        <f>VLOOKUP(B739,Crewlist!AS:AU,3,FALSE)</f>
        <v>#N/A</v>
      </c>
      <c r="Z739" s="163">
        <f t="shared" si="70"/>
        <v>0</v>
      </c>
    </row>
    <row r="740" spans="2:26">
      <c r="B740" s="202">
        <v>739</v>
      </c>
      <c r="H740" s="173"/>
      <c r="I740" s="174"/>
      <c r="J740" s="174"/>
      <c r="N740" s="201">
        <v>0</v>
      </c>
      <c r="Q740">
        <f t="shared" si="72"/>
        <v>0</v>
      </c>
      <c r="R740">
        <f t="shared" si="69"/>
        <v>738</v>
      </c>
      <c r="S740">
        <f>IFERROR(SEARCH(Crewlist!$P$5,V740)+ROW()/100000,"")</f>
        <v>1.0074000000000001</v>
      </c>
      <c r="T740">
        <f t="shared" si="73"/>
        <v>739</v>
      </c>
      <c r="U740">
        <f t="shared" si="74"/>
        <v>0</v>
      </c>
      <c r="V740" t="str">
        <f t="shared" si="71"/>
        <v xml:space="preserve"> </v>
      </c>
      <c r="Y740" s="162" t="e">
        <f>VLOOKUP(B740,Crewlist!AS:AU,3,FALSE)</f>
        <v>#N/A</v>
      </c>
      <c r="Z740" s="163">
        <f t="shared" si="70"/>
        <v>0</v>
      </c>
    </row>
    <row r="741" spans="2:26">
      <c r="B741" s="171">
        <v>740</v>
      </c>
      <c r="H741" s="173"/>
      <c r="I741" s="174"/>
      <c r="J741" s="174"/>
      <c r="N741" s="201">
        <v>0</v>
      </c>
      <c r="Q741">
        <f t="shared" si="72"/>
        <v>0</v>
      </c>
      <c r="R741">
        <f t="shared" si="69"/>
        <v>739</v>
      </c>
      <c r="S741">
        <f>IFERROR(SEARCH(Crewlist!$P$5,V741)+ROW()/100000,"")</f>
        <v>1.0074099999999999</v>
      </c>
      <c r="T741">
        <f t="shared" si="73"/>
        <v>740</v>
      </c>
      <c r="U741">
        <f t="shared" si="74"/>
        <v>0</v>
      </c>
      <c r="V741" t="str">
        <f t="shared" si="71"/>
        <v xml:space="preserve"> </v>
      </c>
      <c r="Y741" s="162" t="e">
        <f>VLOOKUP(B741,Crewlist!AS:AU,3,FALSE)</f>
        <v>#N/A</v>
      </c>
      <c r="Z741" s="163">
        <f t="shared" si="70"/>
        <v>0</v>
      </c>
    </row>
    <row r="742" spans="2:26">
      <c r="B742" s="171">
        <v>741</v>
      </c>
      <c r="F742" s="183"/>
      <c r="H742" s="173"/>
      <c r="I742" s="174"/>
      <c r="J742" s="174"/>
      <c r="L742" s="183"/>
      <c r="N742" s="201">
        <v>0</v>
      </c>
      <c r="Q742">
        <f t="shared" si="72"/>
        <v>0</v>
      </c>
      <c r="R742">
        <f t="shared" si="69"/>
        <v>740</v>
      </c>
      <c r="S742">
        <f>IFERROR(SEARCH(Crewlist!$P$5,V742)+ROW()/100000,"")</f>
        <v>1.00742</v>
      </c>
      <c r="T742">
        <f t="shared" si="73"/>
        <v>741</v>
      </c>
      <c r="U742">
        <f t="shared" si="74"/>
        <v>0</v>
      </c>
      <c r="V742" t="str">
        <f t="shared" si="71"/>
        <v xml:space="preserve"> </v>
      </c>
      <c r="Y742" s="162" t="e">
        <f>VLOOKUP(B742,Crewlist!AS:AU,3,FALSE)</f>
        <v>#N/A</v>
      </c>
      <c r="Z742" s="163">
        <f t="shared" si="70"/>
        <v>0</v>
      </c>
    </row>
    <row r="743" spans="2:26">
      <c r="B743" s="202">
        <v>742</v>
      </c>
      <c r="H743" s="173"/>
      <c r="I743" s="174"/>
      <c r="J743" s="174"/>
      <c r="K743" s="181"/>
      <c r="M743" s="182"/>
      <c r="N743" s="201">
        <v>0</v>
      </c>
      <c r="Q743">
        <f t="shared" si="72"/>
        <v>0</v>
      </c>
      <c r="R743">
        <f t="shared" si="69"/>
        <v>741</v>
      </c>
      <c r="S743">
        <f>IFERROR(SEARCH(Crewlist!$P$5,V743)+ROW()/100000,"")</f>
        <v>1.00743</v>
      </c>
      <c r="T743">
        <f t="shared" si="73"/>
        <v>742</v>
      </c>
      <c r="U743">
        <f t="shared" si="74"/>
        <v>0</v>
      </c>
      <c r="V743" t="str">
        <f t="shared" si="71"/>
        <v xml:space="preserve"> </v>
      </c>
      <c r="Y743" s="162" t="e">
        <f>VLOOKUP(B743,Crewlist!AS:AU,3,FALSE)</f>
        <v>#N/A</v>
      </c>
      <c r="Z743" s="163">
        <f t="shared" si="70"/>
        <v>0</v>
      </c>
    </row>
    <row r="744" spans="2:26">
      <c r="B744" s="171">
        <v>743</v>
      </c>
      <c r="H744" s="173"/>
      <c r="I744" s="174"/>
      <c r="J744" s="174"/>
      <c r="N744" s="201">
        <v>0</v>
      </c>
      <c r="Q744">
        <f t="shared" si="72"/>
        <v>0</v>
      </c>
      <c r="R744">
        <f t="shared" si="69"/>
        <v>742</v>
      </c>
      <c r="S744">
        <f>IFERROR(SEARCH(Crewlist!$P$5,V744)+ROW()/100000,"")</f>
        <v>1.0074399999999999</v>
      </c>
      <c r="T744">
        <f t="shared" si="73"/>
        <v>743</v>
      </c>
      <c r="U744">
        <f t="shared" si="74"/>
        <v>0</v>
      </c>
      <c r="V744" t="str">
        <f t="shared" si="71"/>
        <v xml:space="preserve"> </v>
      </c>
      <c r="Y744" s="162" t="e">
        <f>VLOOKUP(B744,Crewlist!AS:AU,3,FALSE)</f>
        <v>#N/A</v>
      </c>
      <c r="Z744" s="163">
        <f t="shared" si="70"/>
        <v>0</v>
      </c>
    </row>
    <row r="745" spans="2:26">
      <c r="B745" s="171">
        <v>744</v>
      </c>
      <c r="F745" s="183"/>
      <c r="H745" s="173"/>
      <c r="I745" s="174"/>
      <c r="J745" s="174"/>
      <c r="L745" s="183"/>
      <c r="N745" s="201">
        <v>0</v>
      </c>
      <c r="Q745">
        <f t="shared" si="72"/>
        <v>0</v>
      </c>
      <c r="R745">
        <f t="shared" si="69"/>
        <v>743</v>
      </c>
      <c r="S745">
        <f>IFERROR(SEARCH(Crewlist!$P$5,V745)+ROW()/100000,"")</f>
        <v>1.00745</v>
      </c>
      <c r="T745">
        <f t="shared" si="73"/>
        <v>744</v>
      </c>
      <c r="U745">
        <f t="shared" si="74"/>
        <v>0</v>
      </c>
      <c r="V745" t="str">
        <f t="shared" si="71"/>
        <v xml:space="preserve"> </v>
      </c>
      <c r="Y745" s="162" t="e">
        <f>VLOOKUP(B745,Crewlist!AS:AU,3,FALSE)</f>
        <v>#N/A</v>
      </c>
      <c r="Z745" s="163">
        <f t="shared" si="70"/>
        <v>0</v>
      </c>
    </row>
    <row r="746" spans="2:26">
      <c r="B746" s="202">
        <v>745</v>
      </c>
      <c r="H746" s="173"/>
      <c r="I746" s="174"/>
      <c r="J746" s="174"/>
      <c r="N746" s="201">
        <v>0</v>
      </c>
      <c r="Q746">
        <f t="shared" si="72"/>
        <v>0</v>
      </c>
      <c r="R746">
        <f t="shared" si="69"/>
        <v>744</v>
      </c>
      <c r="S746">
        <f>IFERROR(SEARCH(Crewlist!$P$5,V746)+ROW()/100000,"")</f>
        <v>1.00746</v>
      </c>
      <c r="T746">
        <f t="shared" si="73"/>
        <v>745</v>
      </c>
      <c r="U746">
        <f t="shared" si="74"/>
        <v>0</v>
      </c>
      <c r="V746" t="str">
        <f t="shared" si="71"/>
        <v xml:space="preserve"> </v>
      </c>
      <c r="Y746" s="162" t="e">
        <f>VLOOKUP(B746,Crewlist!AS:AU,3,FALSE)</f>
        <v>#N/A</v>
      </c>
      <c r="Z746" s="163">
        <f t="shared" si="70"/>
        <v>0</v>
      </c>
    </row>
    <row r="747" spans="2:26">
      <c r="B747" s="171">
        <v>746</v>
      </c>
      <c r="F747" s="183"/>
      <c r="H747" s="173"/>
      <c r="I747" s="174"/>
      <c r="J747" s="174"/>
      <c r="L747" s="183"/>
      <c r="N747" s="201">
        <v>0</v>
      </c>
      <c r="Q747">
        <f t="shared" si="72"/>
        <v>0</v>
      </c>
      <c r="R747">
        <f t="shared" si="69"/>
        <v>745</v>
      </c>
      <c r="S747">
        <f>IFERROR(SEARCH(Crewlist!$P$5,V747)+ROW()/100000,"")</f>
        <v>1.0074700000000001</v>
      </c>
      <c r="T747">
        <f t="shared" si="73"/>
        <v>746</v>
      </c>
      <c r="U747">
        <f t="shared" si="74"/>
        <v>0</v>
      </c>
      <c r="V747" t="str">
        <f t="shared" si="71"/>
        <v xml:space="preserve"> </v>
      </c>
      <c r="Y747" s="162" t="e">
        <f>VLOOKUP(B747,Crewlist!AS:AU,3,FALSE)</f>
        <v>#N/A</v>
      </c>
      <c r="Z747" s="163">
        <f t="shared" si="70"/>
        <v>0</v>
      </c>
    </row>
    <row r="748" spans="2:26">
      <c r="B748" s="171">
        <v>747</v>
      </c>
      <c r="H748" s="173"/>
      <c r="I748" s="174"/>
      <c r="J748" s="174"/>
      <c r="N748" s="201">
        <v>0</v>
      </c>
      <c r="Q748">
        <f t="shared" si="72"/>
        <v>0</v>
      </c>
      <c r="R748">
        <f t="shared" si="69"/>
        <v>746</v>
      </c>
      <c r="S748">
        <f>IFERROR(SEARCH(Crewlist!$P$5,V748)+ROW()/100000,"")</f>
        <v>1.0074799999999999</v>
      </c>
      <c r="T748">
        <f t="shared" si="73"/>
        <v>747</v>
      </c>
      <c r="U748">
        <f t="shared" si="74"/>
        <v>0</v>
      </c>
      <c r="V748" t="str">
        <f t="shared" si="71"/>
        <v xml:space="preserve"> </v>
      </c>
      <c r="Y748" s="162" t="e">
        <f>VLOOKUP(B748,Crewlist!AS:AU,3,FALSE)</f>
        <v>#N/A</v>
      </c>
      <c r="Z748" s="163">
        <f t="shared" si="70"/>
        <v>0</v>
      </c>
    </row>
    <row r="749" spans="2:26">
      <c r="B749" s="202">
        <v>748</v>
      </c>
      <c r="H749" s="173"/>
      <c r="I749" s="174"/>
      <c r="J749" s="174"/>
      <c r="N749" s="201">
        <v>0</v>
      </c>
      <c r="Q749">
        <f t="shared" si="72"/>
        <v>0</v>
      </c>
      <c r="R749">
        <f t="shared" si="69"/>
        <v>747</v>
      </c>
      <c r="S749">
        <f>IFERROR(SEARCH(Crewlist!$P$5,V749)+ROW()/100000,"")</f>
        <v>1.00749</v>
      </c>
      <c r="T749">
        <f t="shared" si="73"/>
        <v>748</v>
      </c>
      <c r="U749">
        <f t="shared" si="74"/>
        <v>0</v>
      </c>
      <c r="V749" t="str">
        <f t="shared" si="71"/>
        <v xml:space="preserve"> </v>
      </c>
      <c r="Y749" s="162" t="e">
        <f>VLOOKUP(B749,Crewlist!AS:AU,3,FALSE)</f>
        <v>#N/A</v>
      </c>
      <c r="Z749" s="163">
        <f t="shared" si="70"/>
        <v>0</v>
      </c>
    </row>
    <row r="750" spans="2:26">
      <c r="B750" s="171">
        <v>749</v>
      </c>
      <c r="N750" s="201">
        <v>0</v>
      </c>
      <c r="Q750">
        <f t="shared" si="72"/>
        <v>0</v>
      </c>
      <c r="R750">
        <f t="shared" si="69"/>
        <v>748</v>
      </c>
      <c r="S750">
        <f>IFERROR(SEARCH(Crewlist!$P$5,V750)+ROW()/100000,"")</f>
        <v>1.0075000000000001</v>
      </c>
      <c r="T750">
        <f t="shared" si="73"/>
        <v>749</v>
      </c>
      <c r="U750">
        <f t="shared" si="74"/>
        <v>0</v>
      </c>
      <c r="V750" t="str">
        <f t="shared" si="71"/>
        <v xml:space="preserve"> </v>
      </c>
      <c r="Y750" s="162" t="e">
        <f>VLOOKUP(B750,Crewlist!AS:AU,3,FALSE)</f>
        <v>#N/A</v>
      </c>
      <c r="Z750" s="163">
        <f t="shared" si="70"/>
        <v>0</v>
      </c>
    </row>
    <row r="751" spans="2:26">
      <c r="B751" s="171">
        <v>750</v>
      </c>
      <c r="C751" s="169"/>
      <c r="D751" s="169"/>
      <c r="E751" s="169"/>
      <c r="G751" s="177"/>
      <c r="H751" s="178"/>
      <c r="I751" s="179"/>
      <c r="J751" s="179"/>
      <c r="K751" s="179"/>
      <c r="L751" s="179"/>
      <c r="M751" s="180"/>
      <c r="N751" s="201">
        <v>0</v>
      </c>
      <c r="Q751">
        <f t="shared" si="72"/>
        <v>0</v>
      </c>
      <c r="R751">
        <f t="shared" si="69"/>
        <v>749</v>
      </c>
      <c r="S751">
        <f>IFERROR(SEARCH(Crewlist!$P$5,V751)+ROW()/100000,"")</f>
        <v>1.0075099999999999</v>
      </c>
      <c r="T751">
        <f t="shared" si="73"/>
        <v>750</v>
      </c>
      <c r="U751">
        <f t="shared" si="74"/>
        <v>0</v>
      </c>
      <c r="V751" t="str">
        <f t="shared" si="71"/>
        <v xml:space="preserve"> </v>
      </c>
      <c r="Y751" s="162" t="e">
        <f>VLOOKUP(B751,Crewlist!AS:AU,3,FALSE)</f>
        <v>#N/A</v>
      </c>
      <c r="Z751" s="163">
        <f t="shared" si="70"/>
        <v>0</v>
      </c>
    </row>
    <row r="752" spans="2:26">
      <c r="B752" s="202">
        <v>751</v>
      </c>
      <c r="H752" s="173"/>
      <c r="I752" s="174"/>
      <c r="J752" s="174"/>
      <c r="N752" s="201">
        <v>0</v>
      </c>
      <c r="Q752">
        <f t="shared" si="72"/>
        <v>0</v>
      </c>
      <c r="R752">
        <f t="shared" si="69"/>
        <v>750</v>
      </c>
      <c r="S752">
        <f>IFERROR(SEARCH(Crewlist!$P$5,V752)+ROW()/100000,"")</f>
        <v>1.00752</v>
      </c>
      <c r="T752">
        <f t="shared" si="73"/>
        <v>751</v>
      </c>
      <c r="U752">
        <f t="shared" si="74"/>
        <v>0</v>
      </c>
      <c r="V752" t="str">
        <f t="shared" si="71"/>
        <v xml:space="preserve"> </v>
      </c>
      <c r="Y752" s="162" t="e">
        <f>VLOOKUP(B752,Crewlist!AS:AU,3,FALSE)</f>
        <v>#N/A</v>
      </c>
      <c r="Z752" s="163">
        <f t="shared" si="70"/>
        <v>0</v>
      </c>
    </row>
    <row r="753" spans="2:26">
      <c r="B753" s="171">
        <v>752</v>
      </c>
      <c r="H753" s="173"/>
      <c r="I753" s="174"/>
      <c r="J753" s="174"/>
      <c r="N753" s="201">
        <v>0</v>
      </c>
      <c r="Q753">
        <f t="shared" si="72"/>
        <v>0</v>
      </c>
      <c r="R753">
        <f t="shared" si="69"/>
        <v>751</v>
      </c>
      <c r="S753">
        <f>IFERROR(SEARCH(Crewlist!$P$5,V753)+ROW()/100000,"")</f>
        <v>1.00753</v>
      </c>
      <c r="T753">
        <f t="shared" si="73"/>
        <v>752</v>
      </c>
      <c r="U753">
        <f t="shared" si="74"/>
        <v>0</v>
      </c>
      <c r="V753" t="str">
        <f t="shared" si="71"/>
        <v xml:space="preserve"> </v>
      </c>
      <c r="Y753" s="162" t="e">
        <f>VLOOKUP(B753,Crewlist!AS:AU,3,FALSE)</f>
        <v>#N/A</v>
      </c>
      <c r="Z753" s="163">
        <f t="shared" si="70"/>
        <v>0</v>
      </c>
    </row>
    <row r="754" spans="2:26">
      <c r="B754" s="171">
        <v>753</v>
      </c>
      <c r="H754" s="173"/>
      <c r="I754" s="174"/>
      <c r="J754" s="174"/>
      <c r="K754" s="181"/>
      <c r="M754" s="182"/>
      <c r="N754" s="201">
        <v>0</v>
      </c>
      <c r="Q754">
        <f t="shared" si="72"/>
        <v>0</v>
      </c>
      <c r="R754">
        <f t="shared" si="69"/>
        <v>752</v>
      </c>
      <c r="S754">
        <f>IFERROR(SEARCH(Crewlist!$P$5,V754)+ROW()/100000,"")</f>
        <v>1.0075400000000001</v>
      </c>
      <c r="T754">
        <f t="shared" si="73"/>
        <v>753</v>
      </c>
      <c r="U754">
        <f t="shared" si="74"/>
        <v>0</v>
      </c>
      <c r="V754" t="str">
        <f t="shared" si="71"/>
        <v xml:space="preserve"> </v>
      </c>
      <c r="Y754" s="162" t="e">
        <f>VLOOKUP(B754,Crewlist!AS:AU,3,FALSE)</f>
        <v>#N/A</v>
      </c>
      <c r="Z754" s="163">
        <f t="shared" si="70"/>
        <v>0</v>
      </c>
    </row>
    <row r="755" spans="2:26">
      <c r="B755" s="202">
        <v>754</v>
      </c>
      <c r="H755" s="173"/>
      <c r="I755" s="174"/>
      <c r="J755" s="174"/>
      <c r="N755" s="201">
        <v>0</v>
      </c>
      <c r="Q755">
        <f t="shared" si="72"/>
        <v>0</v>
      </c>
      <c r="R755">
        <f t="shared" si="69"/>
        <v>753</v>
      </c>
      <c r="S755">
        <f>IFERROR(SEARCH(Crewlist!$P$5,V755)+ROW()/100000,"")</f>
        <v>1.0075499999999999</v>
      </c>
      <c r="T755">
        <f t="shared" si="73"/>
        <v>754</v>
      </c>
      <c r="U755">
        <f t="shared" si="74"/>
        <v>0</v>
      </c>
      <c r="V755" t="str">
        <f t="shared" si="71"/>
        <v xml:space="preserve"> </v>
      </c>
      <c r="Y755" s="162" t="e">
        <f>VLOOKUP(B755,Crewlist!AS:AU,3,FALSE)</f>
        <v>#N/A</v>
      </c>
      <c r="Z755" s="163">
        <f t="shared" si="70"/>
        <v>0</v>
      </c>
    </row>
    <row r="756" spans="2:26">
      <c r="B756" s="171">
        <v>755</v>
      </c>
      <c r="N756" s="201">
        <v>0</v>
      </c>
      <c r="Q756">
        <f t="shared" si="72"/>
        <v>0</v>
      </c>
      <c r="R756">
        <f t="shared" si="69"/>
        <v>754</v>
      </c>
      <c r="S756">
        <f>IFERROR(SEARCH(Crewlist!$P$5,V756)+ROW()/100000,"")</f>
        <v>1.00756</v>
      </c>
      <c r="T756">
        <f t="shared" si="73"/>
        <v>755</v>
      </c>
      <c r="U756">
        <f t="shared" si="74"/>
        <v>0</v>
      </c>
      <c r="V756" t="str">
        <f t="shared" si="71"/>
        <v xml:space="preserve"> </v>
      </c>
      <c r="Y756" s="162" t="e">
        <f>VLOOKUP(B756,Crewlist!AS:AU,3,FALSE)</f>
        <v>#N/A</v>
      </c>
      <c r="Z756" s="163">
        <f t="shared" si="70"/>
        <v>0</v>
      </c>
    </row>
    <row r="757" spans="2:26">
      <c r="B757" s="171">
        <v>756</v>
      </c>
      <c r="H757" s="173"/>
      <c r="I757" s="174"/>
      <c r="J757" s="174"/>
      <c r="N757" s="201">
        <v>0</v>
      </c>
      <c r="Q757">
        <f t="shared" si="72"/>
        <v>0</v>
      </c>
      <c r="R757">
        <f t="shared" si="69"/>
        <v>755</v>
      </c>
      <c r="S757">
        <f>IFERROR(SEARCH(Crewlist!$P$5,V757)+ROW()/100000,"")</f>
        <v>1.0075700000000001</v>
      </c>
      <c r="T757">
        <f t="shared" si="73"/>
        <v>756</v>
      </c>
      <c r="U757">
        <f t="shared" si="74"/>
        <v>0</v>
      </c>
      <c r="V757" t="str">
        <f t="shared" si="71"/>
        <v xml:space="preserve"> </v>
      </c>
      <c r="Y757" s="162" t="e">
        <f>VLOOKUP(B757,Crewlist!AS:AU,3,FALSE)</f>
        <v>#N/A</v>
      </c>
      <c r="Z757" s="163">
        <f t="shared" si="70"/>
        <v>0</v>
      </c>
    </row>
    <row r="758" spans="2:26">
      <c r="B758" s="202">
        <v>757</v>
      </c>
      <c r="H758" s="173"/>
      <c r="I758" s="174"/>
      <c r="J758" s="174"/>
      <c r="N758" s="201">
        <v>0</v>
      </c>
      <c r="Q758">
        <f t="shared" si="72"/>
        <v>0</v>
      </c>
      <c r="R758">
        <f t="shared" si="69"/>
        <v>756</v>
      </c>
      <c r="S758">
        <f>IFERROR(SEARCH(Crewlist!$P$5,V758)+ROW()/100000,"")</f>
        <v>1.0075799999999999</v>
      </c>
      <c r="T758">
        <f t="shared" si="73"/>
        <v>757</v>
      </c>
      <c r="U758">
        <f t="shared" si="74"/>
        <v>0</v>
      </c>
      <c r="V758" t="str">
        <f t="shared" si="71"/>
        <v xml:space="preserve"> </v>
      </c>
      <c r="Y758" s="162" t="e">
        <f>VLOOKUP(B758,Crewlist!AS:AU,3,FALSE)</f>
        <v>#N/A</v>
      </c>
      <c r="Z758" s="163">
        <f t="shared" si="70"/>
        <v>0</v>
      </c>
    </row>
    <row r="759" spans="2:26">
      <c r="B759" s="171">
        <v>758</v>
      </c>
      <c r="H759" s="173"/>
      <c r="I759" s="174"/>
      <c r="J759" s="174"/>
      <c r="N759" s="201">
        <v>0</v>
      </c>
      <c r="Q759">
        <f t="shared" si="72"/>
        <v>0</v>
      </c>
      <c r="R759">
        <f t="shared" si="69"/>
        <v>757</v>
      </c>
      <c r="S759">
        <f>IFERROR(SEARCH(Crewlist!$P$5,V759)+ROW()/100000,"")</f>
        <v>1.00759</v>
      </c>
      <c r="T759">
        <f t="shared" si="73"/>
        <v>758</v>
      </c>
      <c r="U759">
        <f t="shared" si="74"/>
        <v>0</v>
      </c>
      <c r="V759" t="str">
        <f t="shared" si="71"/>
        <v xml:space="preserve"> </v>
      </c>
      <c r="Y759" s="162" t="e">
        <f>VLOOKUP(B759,Crewlist!AS:AU,3,FALSE)</f>
        <v>#N/A</v>
      </c>
      <c r="Z759" s="163">
        <f t="shared" si="70"/>
        <v>0</v>
      </c>
    </row>
    <row r="760" spans="2:26">
      <c r="B760" s="171">
        <v>759</v>
      </c>
      <c r="N760" s="201">
        <v>0</v>
      </c>
      <c r="Q760">
        <f t="shared" si="72"/>
        <v>0</v>
      </c>
      <c r="R760">
        <f t="shared" si="69"/>
        <v>758</v>
      </c>
      <c r="S760">
        <f>IFERROR(SEARCH(Crewlist!$P$5,V760)+ROW()/100000,"")</f>
        <v>1.0076000000000001</v>
      </c>
      <c r="T760">
        <f t="shared" si="73"/>
        <v>759</v>
      </c>
      <c r="U760">
        <f t="shared" si="74"/>
        <v>0</v>
      </c>
      <c r="V760" t="str">
        <f t="shared" si="71"/>
        <v xml:space="preserve"> </v>
      </c>
      <c r="Y760" s="162" t="e">
        <f>VLOOKUP(B760,Crewlist!AS:AU,3,FALSE)</f>
        <v>#N/A</v>
      </c>
      <c r="Z760" s="163">
        <f t="shared" si="70"/>
        <v>0</v>
      </c>
    </row>
    <row r="761" spans="2:26">
      <c r="B761" s="202">
        <v>760</v>
      </c>
      <c r="F761" s="183"/>
      <c r="H761" s="173"/>
      <c r="I761" s="174"/>
      <c r="J761" s="174"/>
      <c r="L761" s="183"/>
      <c r="N761" s="201">
        <v>0</v>
      </c>
      <c r="Q761">
        <f t="shared" si="72"/>
        <v>0</v>
      </c>
      <c r="R761">
        <f t="shared" si="69"/>
        <v>759</v>
      </c>
      <c r="S761">
        <f>IFERROR(SEARCH(Crewlist!$P$5,V761)+ROW()/100000,"")</f>
        <v>1.0076099999999999</v>
      </c>
      <c r="T761">
        <f t="shared" si="73"/>
        <v>760</v>
      </c>
      <c r="U761">
        <f t="shared" si="74"/>
        <v>0</v>
      </c>
      <c r="V761" t="str">
        <f t="shared" si="71"/>
        <v xml:space="preserve"> </v>
      </c>
      <c r="Y761" s="162" t="e">
        <f>VLOOKUP(B761,Crewlist!AS:AU,3,FALSE)</f>
        <v>#N/A</v>
      </c>
      <c r="Z761" s="163">
        <f t="shared" si="70"/>
        <v>0</v>
      </c>
    </row>
    <row r="762" spans="2:26">
      <c r="B762" s="171">
        <v>761</v>
      </c>
      <c r="F762" s="183"/>
      <c r="H762" s="173"/>
      <c r="I762" s="174"/>
      <c r="J762" s="174"/>
      <c r="L762" s="183"/>
      <c r="N762" s="201">
        <v>0</v>
      </c>
      <c r="Q762">
        <f t="shared" si="72"/>
        <v>0</v>
      </c>
      <c r="R762">
        <f t="shared" si="69"/>
        <v>760</v>
      </c>
      <c r="S762">
        <f>IFERROR(SEARCH(Crewlist!$P$5,V762)+ROW()/100000,"")</f>
        <v>1.00762</v>
      </c>
      <c r="T762">
        <f t="shared" si="73"/>
        <v>761</v>
      </c>
      <c r="U762">
        <f t="shared" si="74"/>
        <v>0</v>
      </c>
      <c r="V762" t="str">
        <f t="shared" si="71"/>
        <v xml:space="preserve"> </v>
      </c>
      <c r="Y762" s="162" t="e">
        <f>VLOOKUP(B762,Crewlist!AS:AU,3,FALSE)</f>
        <v>#N/A</v>
      </c>
      <c r="Z762" s="163">
        <f t="shared" si="70"/>
        <v>0</v>
      </c>
    </row>
    <row r="763" spans="2:26">
      <c r="B763" s="171">
        <v>762</v>
      </c>
      <c r="F763" s="183"/>
      <c r="H763" s="173"/>
      <c r="I763" s="174"/>
      <c r="J763" s="174"/>
      <c r="L763" s="183"/>
      <c r="N763" s="201">
        <v>0</v>
      </c>
      <c r="Q763">
        <f t="shared" si="72"/>
        <v>0</v>
      </c>
      <c r="R763">
        <f t="shared" si="69"/>
        <v>761</v>
      </c>
      <c r="S763">
        <f>IFERROR(SEARCH(Crewlist!$P$5,V763)+ROW()/100000,"")</f>
        <v>1.00763</v>
      </c>
      <c r="T763">
        <f t="shared" si="73"/>
        <v>762</v>
      </c>
      <c r="U763">
        <f t="shared" si="74"/>
        <v>0</v>
      </c>
      <c r="V763" t="str">
        <f t="shared" si="71"/>
        <v xml:space="preserve"> </v>
      </c>
      <c r="Y763" s="162" t="e">
        <f>VLOOKUP(B763,Crewlist!AS:AU,3,FALSE)</f>
        <v>#N/A</v>
      </c>
      <c r="Z763" s="163">
        <f t="shared" si="70"/>
        <v>0</v>
      </c>
    </row>
    <row r="764" spans="2:26">
      <c r="B764" s="202">
        <v>763</v>
      </c>
      <c r="H764" s="173"/>
      <c r="I764" s="174"/>
      <c r="J764" s="174"/>
      <c r="N764" s="201">
        <v>0</v>
      </c>
      <c r="Q764">
        <f t="shared" si="72"/>
        <v>0</v>
      </c>
      <c r="R764">
        <f t="shared" si="69"/>
        <v>762</v>
      </c>
      <c r="S764">
        <f>IFERROR(SEARCH(Crewlist!$P$5,V764)+ROW()/100000,"")</f>
        <v>1.0076400000000001</v>
      </c>
      <c r="T764">
        <f t="shared" si="73"/>
        <v>763</v>
      </c>
      <c r="U764">
        <f t="shared" si="74"/>
        <v>0</v>
      </c>
      <c r="V764" t="str">
        <f t="shared" si="71"/>
        <v xml:space="preserve"> </v>
      </c>
      <c r="Y764" s="162" t="e">
        <f>VLOOKUP(B764,Crewlist!AS:AU,3,FALSE)</f>
        <v>#N/A</v>
      </c>
      <c r="Z764" s="163">
        <f t="shared" si="70"/>
        <v>0</v>
      </c>
    </row>
    <row r="765" spans="2:26">
      <c r="B765" s="171">
        <v>764</v>
      </c>
      <c r="H765" s="173"/>
      <c r="I765" s="174"/>
      <c r="J765" s="174"/>
      <c r="N765" s="201">
        <v>0</v>
      </c>
      <c r="Q765">
        <f t="shared" si="72"/>
        <v>0</v>
      </c>
      <c r="R765">
        <f t="shared" si="69"/>
        <v>763</v>
      </c>
      <c r="S765">
        <f>IFERROR(SEARCH(Crewlist!$P$5,V765)+ROW()/100000,"")</f>
        <v>1.0076499999999999</v>
      </c>
      <c r="T765">
        <f t="shared" si="73"/>
        <v>764</v>
      </c>
      <c r="U765">
        <f t="shared" si="74"/>
        <v>0</v>
      </c>
      <c r="V765" t="str">
        <f t="shared" si="71"/>
        <v xml:space="preserve"> </v>
      </c>
      <c r="Y765" s="162" t="e">
        <f>VLOOKUP(B765,Crewlist!AS:AU,3,FALSE)</f>
        <v>#N/A</v>
      </c>
      <c r="Z765" s="163">
        <f t="shared" si="70"/>
        <v>0</v>
      </c>
    </row>
    <row r="766" spans="2:26">
      <c r="B766" s="171">
        <v>765</v>
      </c>
      <c r="H766" s="173"/>
      <c r="I766" s="174"/>
      <c r="J766" s="174"/>
      <c r="L766" s="179"/>
      <c r="N766" s="201">
        <v>0</v>
      </c>
      <c r="Q766">
        <f t="shared" si="72"/>
        <v>0</v>
      </c>
      <c r="R766">
        <f t="shared" si="69"/>
        <v>764</v>
      </c>
      <c r="S766">
        <f>IFERROR(SEARCH(Crewlist!$P$5,V766)+ROW()/100000,"")</f>
        <v>1.00766</v>
      </c>
      <c r="T766">
        <f t="shared" si="73"/>
        <v>765</v>
      </c>
      <c r="U766">
        <f t="shared" si="74"/>
        <v>0</v>
      </c>
      <c r="V766" t="str">
        <f t="shared" si="71"/>
        <v xml:space="preserve"> </v>
      </c>
      <c r="Y766" s="162" t="e">
        <f>VLOOKUP(B766,Crewlist!AS:AU,3,FALSE)</f>
        <v>#N/A</v>
      </c>
      <c r="Z766" s="163">
        <f t="shared" si="70"/>
        <v>0</v>
      </c>
    </row>
    <row r="767" spans="2:26">
      <c r="B767" s="202">
        <v>766</v>
      </c>
      <c r="N767" s="201">
        <v>0</v>
      </c>
      <c r="Q767">
        <f t="shared" si="72"/>
        <v>0</v>
      </c>
      <c r="R767">
        <f t="shared" si="69"/>
        <v>765</v>
      </c>
      <c r="S767">
        <f>IFERROR(SEARCH(Crewlist!$P$5,V767)+ROW()/100000,"")</f>
        <v>1.0076700000000001</v>
      </c>
      <c r="T767">
        <f t="shared" si="73"/>
        <v>766</v>
      </c>
      <c r="U767">
        <f t="shared" si="74"/>
        <v>0</v>
      </c>
      <c r="V767" t="str">
        <f t="shared" si="71"/>
        <v xml:space="preserve"> </v>
      </c>
      <c r="Y767" s="162" t="e">
        <f>VLOOKUP(B767,Crewlist!AS:AU,3,FALSE)</f>
        <v>#N/A</v>
      </c>
      <c r="Z767" s="163">
        <f t="shared" si="70"/>
        <v>0</v>
      </c>
    </row>
    <row r="768" spans="2:26">
      <c r="B768" s="171">
        <v>767</v>
      </c>
      <c r="H768" s="173"/>
      <c r="I768" s="174"/>
      <c r="J768" s="174"/>
      <c r="K768" s="181"/>
      <c r="M768" s="182"/>
      <c r="N768" s="201">
        <v>0</v>
      </c>
      <c r="Q768">
        <f t="shared" si="72"/>
        <v>0</v>
      </c>
      <c r="R768">
        <f t="shared" si="69"/>
        <v>766</v>
      </c>
      <c r="S768">
        <f>IFERROR(SEARCH(Crewlist!$P$5,V768)+ROW()/100000,"")</f>
        <v>1.0076799999999999</v>
      </c>
      <c r="T768">
        <f t="shared" si="73"/>
        <v>767</v>
      </c>
      <c r="U768">
        <f t="shared" si="74"/>
        <v>0</v>
      </c>
      <c r="V768" t="str">
        <f t="shared" si="71"/>
        <v xml:space="preserve"> </v>
      </c>
      <c r="Y768" s="162" t="e">
        <f>VLOOKUP(B768,Crewlist!AS:AU,3,FALSE)</f>
        <v>#N/A</v>
      </c>
      <c r="Z768" s="163">
        <f t="shared" si="70"/>
        <v>0</v>
      </c>
    </row>
    <row r="769" spans="2:26">
      <c r="B769" s="171">
        <v>768</v>
      </c>
      <c r="H769" s="173"/>
      <c r="I769" s="174"/>
      <c r="J769" s="174"/>
      <c r="N769" s="201">
        <v>0</v>
      </c>
      <c r="Q769">
        <f t="shared" si="72"/>
        <v>0</v>
      </c>
      <c r="R769">
        <f t="shared" si="69"/>
        <v>767</v>
      </c>
      <c r="S769">
        <f>IFERROR(SEARCH(Crewlist!$P$5,V769)+ROW()/100000,"")</f>
        <v>1.00769</v>
      </c>
      <c r="T769">
        <f t="shared" si="73"/>
        <v>768</v>
      </c>
      <c r="U769">
        <f t="shared" si="74"/>
        <v>0</v>
      </c>
      <c r="V769" t="str">
        <f t="shared" si="71"/>
        <v xml:space="preserve"> </v>
      </c>
      <c r="Y769" s="162" t="e">
        <f>VLOOKUP(B769,Crewlist!AS:AU,3,FALSE)</f>
        <v>#N/A</v>
      </c>
      <c r="Z769" s="163">
        <f t="shared" si="70"/>
        <v>0</v>
      </c>
    </row>
    <row r="770" spans="2:26">
      <c r="B770" s="202">
        <v>769</v>
      </c>
      <c r="H770" s="173"/>
      <c r="I770" s="174"/>
      <c r="J770" s="174"/>
      <c r="N770" s="201">
        <v>0</v>
      </c>
      <c r="Q770">
        <f t="shared" si="72"/>
        <v>0</v>
      </c>
      <c r="R770">
        <f t="shared" ref="R770:R833" si="75">IFERROR(RANK(S770,$S$2:$S$1998,1),"")</f>
        <v>768</v>
      </c>
      <c r="S770">
        <f>IFERROR(SEARCH(Crewlist!$P$5,V770)+ROW()/100000,"")</f>
        <v>1.0077</v>
      </c>
      <c r="T770">
        <f t="shared" si="73"/>
        <v>769</v>
      </c>
      <c r="U770">
        <f t="shared" si="74"/>
        <v>0</v>
      </c>
      <c r="V770" t="str">
        <f t="shared" si="71"/>
        <v xml:space="preserve"> </v>
      </c>
      <c r="Y770" s="162" t="e">
        <f>VLOOKUP(B770,Crewlist!AS:AU,3,FALSE)</f>
        <v>#N/A</v>
      </c>
      <c r="Z770" s="163">
        <f t="shared" ref="Z770:Z833" si="76">IF(ISNUMBER(SEARCH("",Y770)),Y770,N770)</f>
        <v>0</v>
      </c>
    </row>
    <row r="771" spans="2:26">
      <c r="B771" s="171">
        <v>770</v>
      </c>
      <c r="H771" s="173"/>
      <c r="I771" s="174"/>
      <c r="J771" s="174"/>
      <c r="N771" s="201">
        <v>0</v>
      </c>
      <c r="Q771">
        <f t="shared" si="72"/>
        <v>0</v>
      </c>
      <c r="R771">
        <f t="shared" si="75"/>
        <v>769</v>
      </c>
      <c r="S771">
        <f>IFERROR(SEARCH(Crewlist!$P$5,V771)+ROW()/100000,"")</f>
        <v>1.0077100000000001</v>
      </c>
      <c r="T771">
        <f t="shared" si="73"/>
        <v>770</v>
      </c>
      <c r="U771">
        <f t="shared" si="74"/>
        <v>0</v>
      </c>
      <c r="V771" t="str">
        <f t="shared" ref="V771:V834" si="77">CONCATENATE(C771," ",D771)</f>
        <v xml:space="preserve"> </v>
      </c>
      <c r="Y771" s="162" t="e">
        <f>VLOOKUP(B771,Crewlist!AS:AU,3,FALSE)</f>
        <v>#N/A</v>
      </c>
      <c r="Z771" s="163">
        <f t="shared" si="76"/>
        <v>0</v>
      </c>
    </row>
    <row r="772" spans="2:26">
      <c r="B772" s="171">
        <v>771</v>
      </c>
      <c r="N772" s="201">
        <v>0</v>
      </c>
      <c r="Q772">
        <f t="shared" si="72"/>
        <v>0</v>
      </c>
      <c r="R772">
        <f t="shared" si="75"/>
        <v>770</v>
      </c>
      <c r="S772">
        <f>IFERROR(SEARCH(Crewlist!$P$5,V772)+ROW()/100000,"")</f>
        <v>1.0077199999999999</v>
      </c>
      <c r="T772">
        <f t="shared" si="73"/>
        <v>771</v>
      </c>
      <c r="U772">
        <f t="shared" si="74"/>
        <v>0</v>
      </c>
      <c r="V772" t="str">
        <f t="shared" si="77"/>
        <v xml:space="preserve"> </v>
      </c>
      <c r="Y772" s="162" t="e">
        <f>VLOOKUP(B772,Crewlist!AS:AU,3,FALSE)</f>
        <v>#N/A</v>
      </c>
      <c r="Z772" s="163">
        <f t="shared" si="76"/>
        <v>0</v>
      </c>
    </row>
    <row r="773" spans="2:26">
      <c r="B773" s="202">
        <v>772</v>
      </c>
      <c r="F773" s="183"/>
      <c r="H773" s="173"/>
      <c r="I773" s="174"/>
      <c r="J773" s="174"/>
      <c r="L773" s="183"/>
      <c r="N773" s="201">
        <v>0</v>
      </c>
      <c r="Q773">
        <f t="shared" si="72"/>
        <v>0</v>
      </c>
      <c r="R773">
        <f t="shared" si="75"/>
        <v>771</v>
      </c>
      <c r="S773">
        <f>IFERROR(SEARCH(Crewlist!$P$5,V773)+ROW()/100000,"")</f>
        <v>1.00773</v>
      </c>
      <c r="T773">
        <f t="shared" si="73"/>
        <v>772</v>
      </c>
      <c r="U773">
        <f t="shared" si="74"/>
        <v>0</v>
      </c>
      <c r="V773" t="str">
        <f t="shared" si="77"/>
        <v xml:space="preserve"> </v>
      </c>
      <c r="Y773" s="162" t="e">
        <f>VLOOKUP(B773,Crewlist!AS:AU,3,FALSE)</f>
        <v>#N/A</v>
      </c>
      <c r="Z773" s="163">
        <f t="shared" si="76"/>
        <v>0</v>
      </c>
    </row>
    <row r="774" spans="2:26">
      <c r="B774" s="171">
        <v>773</v>
      </c>
      <c r="F774" s="183"/>
      <c r="H774" s="173"/>
      <c r="I774" s="174"/>
      <c r="J774" s="174"/>
      <c r="L774" s="183"/>
      <c r="N774" s="201">
        <v>0</v>
      </c>
      <c r="Q774">
        <f t="shared" si="72"/>
        <v>0</v>
      </c>
      <c r="R774">
        <f t="shared" si="75"/>
        <v>772</v>
      </c>
      <c r="S774">
        <f>IFERROR(SEARCH(Crewlist!$P$5,V774)+ROW()/100000,"")</f>
        <v>1.0077400000000001</v>
      </c>
      <c r="T774">
        <f t="shared" si="73"/>
        <v>773</v>
      </c>
      <c r="U774">
        <f t="shared" si="74"/>
        <v>0</v>
      </c>
      <c r="V774" t="str">
        <f t="shared" si="77"/>
        <v xml:space="preserve"> </v>
      </c>
      <c r="Y774" s="162" t="e">
        <f>VLOOKUP(B774,Crewlist!AS:AU,3,FALSE)</f>
        <v>#N/A</v>
      </c>
      <c r="Z774" s="163">
        <f t="shared" si="76"/>
        <v>0</v>
      </c>
    </row>
    <row r="775" spans="2:26">
      <c r="B775" s="171">
        <v>774</v>
      </c>
      <c r="H775" s="173"/>
      <c r="I775" s="174"/>
      <c r="J775" s="174"/>
      <c r="N775" s="201">
        <v>0</v>
      </c>
      <c r="Q775">
        <f t="shared" si="72"/>
        <v>0</v>
      </c>
      <c r="R775">
        <f t="shared" si="75"/>
        <v>773</v>
      </c>
      <c r="S775">
        <f>IFERROR(SEARCH(Crewlist!$P$5,V775)+ROW()/100000,"")</f>
        <v>1.0077499999999999</v>
      </c>
      <c r="T775">
        <f t="shared" si="73"/>
        <v>774</v>
      </c>
      <c r="U775">
        <f t="shared" si="74"/>
        <v>0</v>
      </c>
      <c r="V775" t="str">
        <f t="shared" si="77"/>
        <v xml:space="preserve"> </v>
      </c>
      <c r="Y775" s="162" t="e">
        <f>VLOOKUP(B775,Crewlist!AS:AU,3,FALSE)</f>
        <v>#N/A</v>
      </c>
      <c r="Z775" s="163">
        <f t="shared" si="76"/>
        <v>0</v>
      </c>
    </row>
    <row r="776" spans="2:26">
      <c r="B776" s="202">
        <v>775</v>
      </c>
      <c r="F776" s="183"/>
      <c r="H776" s="173"/>
      <c r="I776" s="174"/>
      <c r="J776" s="174"/>
      <c r="L776" s="183"/>
      <c r="N776" s="201">
        <v>0</v>
      </c>
      <c r="Q776">
        <f t="shared" si="72"/>
        <v>0</v>
      </c>
      <c r="R776">
        <f t="shared" si="75"/>
        <v>774</v>
      </c>
      <c r="S776">
        <f>IFERROR(SEARCH(Crewlist!$P$5,V776)+ROW()/100000,"")</f>
        <v>1.00776</v>
      </c>
      <c r="T776">
        <f t="shared" si="73"/>
        <v>775</v>
      </c>
      <c r="U776">
        <f t="shared" si="74"/>
        <v>0</v>
      </c>
      <c r="V776" t="str">
        <f t="shared" si="77"/>
        <v xml:space="preserve"> </v>
      </c>
      <c r="Y776" s="162" t="e">
        <f>VLOOKUP(B776,Crewlist!AS:AU,3,FALSE)</f>
        <v>#N/A</v>
      </c>
      <c r="Z776" s="163">
        <f t="shared" si="76"/>
        <v>0</v>
      </c>
    </row>
    <row r="777" spans="2:26">
      <c r="B777" s="171">
        <v>776</v>
      </c>
      <c r="H777" s="173"/>
      <c r="I777" s="174"/>
      <c r="J777" s="174"/>
      <c r="N777" s="201">
        <v>0</v>
      </c>
      <c r="Q777">
        <f t="shared" ref="Q777:Q840" si="78">IF(C777&lt;&gt; "",B777,0)</f>
        <v>0</v>
      </c>
      <c r="R777">
        <f t="shared" si="75"/>
        <v>775</v>
      </c>
      <c r="S777">
        <f>IFERROR(SEARCH(Crewlist!$P$5,V777)+ROW()/100000,"")</f>
        <v>1.0077700000000001</v>
      </c>
      <c r="T777">
        <f t="shared" ref="T777:T840" si="79">B777</f>
        <v>776</v>
      </c>
      <c r="U777">
        <f t="shared" ref="U777:U840" si="80">C777</f>
        <v>0</v>
      </c>
      <c r="V777" t="str">
        <f t="shared" si="77"/>
        <v xml:space="preserve"> </v>
      </c>
      <c r="Y777" s="162" t="e">
        <f>VLOOKUP(B777,Crewlist!AS:AU,3,FALSE)</f>
        <v>#N/A</v>
      </c>
      <c r="Z777" s="163">
        <f t="shared" si="76"/>
        <v>0</v>
      </c>
    </row>
    <row r="778" spans="2:26">
      <c r="B778" s="171">
        <v>777</v>
      </c>
      <c r="F778" s="183"/>
      <c r="H778" s="173"/>
      <c r="I778" s="174"/>
      <c r="J778" s="174"/>
      <c r="L778" s="183"/>
      <c r="N778" s="201">
        <v>0</v>
      </c>
      <c r="Q778">
        <f t="shared" si="78"/>
        <v>0</v>
      </c>
      <c r="R778">
        <f t="shared" si="75"/>
        <v>776</v>
      </c>
      <c r="S778">
        <f>IFERROR(SEARCH(Crewlist!$P$5,V778)+ROW()/100000,"")</f>
        <v>1.0077799999999999</v>
      </c>
      <c r="T778">
        <f t="shared" si="79"/>
        <v>777</v>
      </c>
      <c r="U778">
        <f t="shared" si="80"/>
        <v>0</v>
      </c>
      <c r="V778" t="str">
        <f t="shared" si="77"/>
        <v xml:space="preserve"> </v>
      </c>
      <c r="Y778" s="162" t="e">
        <f>VLOOKUP(B778,Crewlist!AS:AU,3,FALSE)</f>
        <v>#N/A</v>
      </c>
      <c r="Z778" s="163">
        <f t="shared" si="76"/>
        <v>0</v>
      </c>
    </row>
    <row r="779" spans="2:26">
      <c r="B779" s="202">
        <v>778</v>
      </c>
      <c r="H779" s="173"/>
      <c r="I779" s="174"/>
      <c r="J779" s="174"/>
      <c r="N779" s="201">
        <v>0</v>
      </c>
      <c r="Q779">
        <f t="shared" si="78"/>
        <v>0</v>
      </c>
      <c r="R779">
        <f t="shared" si="75"/>
        <v>777</v>
      </c>
      <c r="S779">
        <f>IFERROR(SEARCH(Crewlist!$P$5,V779)+ROW()/100000,"")</f>
        <v>1.00779</v>
      </c>
      <c r="T779">
        <f t="shared" si="79"/>
        <v>778</v>
      </c>
      <c r="U779">
        <f t="shared" si="80"/>
        <v>0</v>
      </c>
      <c r="V779" t="str">
        <f t="shared" si="77"/>
        <v xml:space="preserve"> </v>
      </c>
      <c r="Y779" s="162" t="e">
        <f>VLOOKUP(B779,Crewlist!AS:AU,3,FALSE)</f>
        <v>#N/A</v>
      </c>
      <c r="Z779" s="163">
        <f t="shared" si="76"/>
        <v>0</v>
      </c>
    </row>
    <row r="780" spans="2:26">
      <c r="B780" s="171">
        <v>779</v>
      </c>
      <c r="E780" s="169"/>
      <c r="N780" s="201">
        <v>0</v>
      </c>
      <c r="Q780">
        <f t="shared" si="78"/>
        <v>0</v>
      </c>
      <c r="R780">
        <f t="shared" si="75"/>
        <v>778</v>
      </c>
      <c r="S780">
        <f>IFERROR(SEARCH(Crewlist!$P$5,V780)+ROW()/100000,"")</f>
        <v>1.0078</v>
      </c>
      <c r="T780">
        <f t="shared" si="79"/>
        <v>779</v>
      </c>
      <c r="U780">
        <f t="shared" si="80"/>
        <v>0</v>
      </c>
      <c r="V780" t="str">
        <f t="shared" si="77"/>
        <v xml:space="preserve"> </v>
      </c>
      <c r="Y780" s="162" t="e">
        <f>VLOOKUP(B780,Crewlist!AS:AU,3,FALSE)</f>
        <v>#N/A</v>
      </c>
      <c r="Z780" s="163">
        <f t="shared" si="76"/>
        <v>0</v>
      </c>
    </row>
    <row r="781" spans="2:26">
      <c r="B781" s="171">
        <v>780</v>
      </c>
      <c r="H781" s="173"/>
      <c r="I781" s="174"/>
      <c r="J781" s="174"/>
      <c r="N781" s="201">
        <v>0</v>
      </c>
      <c r="Q781">
        <f t="shared" si="78"/>
        <v>0</v>
      </c>
      <c r="R781">
        <f t="shared" si="75"/>
        <v>779</v>
      </c>
      <c r="S781">
        <f>IFERROR(SEARCH(Crewlist!$P$5,V781)+ROW()/100000,"")</f>
        <v>1.0078100000000001</v>
      </c>
      <c r="T781">
        <f t="shared" si="79"/>
        <v>780</v>
      </c>
      <c r="U781">
        <f t="shared" si="80"/>
        <v>0</v>
      </c>
      <c r="V781" t="str">
        <f t="shared" si="77"/>
        <v xml:space="preserve"> </v>
      </c>
      <c r="Y781" s="162" t="e">
        <f>VLOOKUP(B781,Crewlist!AS:AU,3,FALSE)</f>
        <v>#N/A</v>
      </c>
      <c r="Z781" s="163">
        <f t="shared" si="76"/>
        <v>0</v>
      </c>
    </row>
    <row r="782" spans="2:26">
      <c r="B782" s="202">
        <v>781</v>
      </c>
      <c r="N782" s="201">
        <v>0</v>
      </c>
      <c r="Q782">
        <f t="shared" si="78"/>
        <v>0</v>
      </c>
      <c r="R782">
        <f t="shared" si="75"/>
        <v>780</v>
      </c>
      <c r="S782">
        <f>IFERROR(SEARCH(Crewlist!$P$5,V782)+ROW()/100000,"")</f>
        <v>1.0078199999999999</v>
      </c>
      <c r="T782">
        <f t="shared" si="79"/>
        <v>781</v>
      </c>
      <c r="U782">
        <f t="shared" si="80"/>
        <v>0</v>
      </c>
      <c r="V782" t="str">
        <f t="shared" si="77"/>
        <v xml:space="preserve"> </v>
      </c>
      <c r="Y782" s="162" t="e">
        <f>VLOOKUP(B782,Crewlist!AS:AU,3,FALSE)</f>
        <v>#N/A</v>
      </c>
      <c r="Z782" s="163">
        <f t="shared" si="76"/>
        <v>0</v>
      </c>
    </row>
    <row r="783" spans="2:26">
      <c r="B783" s="171">
        <v>782</v>
      </c>
      <c r="F783" s="183"/>
      <c r="H783" s="173"/>
      <c r="I783" s="174"/>
      <c r="J783" s="174"/>
      <c r="L783" s="183"/>
      <c r="N783" s="201">
        <v>0</v>
      </c>
      <c r="Q783">
        <f t="shared" si="78"/>
        <v>0</v>
      </c>
      <c r="R783">
        <f t="shared" si="75"/>
        <v>781</v>
      </c>
      <c r="S783">
        <f>IFERROR(SEARCH(Crewlist!$P$5,V783)+ROW()/100000,"")</f>
        <v>1.00783</v>
      </c>
      <c r="T783">
        <f t="shared" si="79"/>
        <v>782</v>
      </c>
      <c r="U783">
        <f t="shared" si="80"/>
        <v>0</v>
      </c>
      <c r="V783" t="str">
        <f t="shared" si="77"/>
        <v xml:space="preserve"> </v>
      </c>
      <c r="Y783" s="162" t="e">
        <f>VLOOKUP(B783,Crewlist!AS:AU,3,FALSE)</f>
        <v>#N/A</v>
      </c>
      <c r="Z783" s="163">
        <f t="shared" si="76"/>
        <v>0</v>
      </c>
    </row>
    <row r="784" spans="2:26">
      <c r="B784" s="171">
        <v>783</v>
      </c>
      <c r="F784" s="183"/>
      <c r="H784" s="173"/>
      <c r="I784" s="174"/>
      <c r="J784" s="174"/>
      <c r="L784" s="183"/>
      <c r="N784" s="201">
        <v>0</v>
      </c>
      <c r="Q784">
        <f t="shared" si="78"/>
        <v>0</v>
      </c>
      <c r="R784">
        <f t="shared" si="75"/>
        <v>782</v>
      </c>
      <c r="S784">
        <f>IFERROR(SEARCH(Crewlist!$P$5,V784)+ROW()/100000,"")</f>
        <v>1.0078400000000001</v>
      </c>
      <c r="T784">
        <f t="shared" si="79"/>
        <v>783</v>
      </c>
      <c r="U784">
        <f t="shared" si="80"/>
        <v>0</v>
      </c>
      <c r="V784" t="str">
        <f t="shared" si="77"/>
        <v xml:space="preserve"> </v>
      </c>
      <c r="Y784" s="162" t="e">
        <f>VLOOKUP(B784,Crewlist!AS:AU,3,FALSE)</f>
        <v>#N/A</v>
      </c>
      <c r="Z784" s="163">
        <f t="shared" si="76"/>
        <v>0</v>
      </c>
    </row>
    <row r="785" spans="2:26">
      <c r="B785" s="202">
        <v>784</v>
      </c>
      <c r="H785" s="173"/>
      <c r="I785" s="174"/>
      <c r="J785" s="174"/>
      <c r="N785" s="201">
        <v>0</v>
      </c>
      <c r="Q785">
        <f t="shared" si="78"/>
        <v>0</v>
      </c>
      <c r="R785">
        <f t="shared" si="75"/>
        <v>783</v>
      </c>
      <c r="S785">
        <f>IFERROR(SEARCH(Crewlist!$P$5,V785)+ROW()/100000,"")</f>
        <v>1.0078499999999999</v>
      </c>
      <c r="T785">
        <f t="shared" si="79"/>
        <v>784</v>
      </c>
      <c r="U785">
        <f t="shared" si="80"/>
        <v>0</v>
      </c>
      <c r="V785" t="str">
        <f t="shared" si="77"/>
        <v xml:space="preserve"> </v>
      </c>
      <c r="Y785" s="162" t="e">
        <f>VLOOKUP(B785,Crewlist!AS:AU,3,FALSE)</f>
        <v>#N/A</v>
      </c>
      <c r="Z785" s="163">
        <f t="shared" si="76"/>
        <v>0</v>
      </c>
    </row>
    <row r="786" spans="2:26">
      <c r="B786" s="171">
        <v>785</v>
      </c>
      <c r="C786" s="169"/>
      <c r="D786" s="169"/>
      <c r="E786" s="169"/>
      <c r="G786" s="177"/>
      <c r="H786" s="178"/>
      <c r="I786" s="179"/>
      <c r="J786" s="179"/>
      <c r="K786" s="179"/>
      <c r="M786" s="180"/>
      <c r="N786" s="201">
        <v>0</v>
      </c>
      <c r="Q786">
        <f t="shared" si="78"/>
        <v>0</v>
      </c>
      <c r="R786">
        <f t="shared" si="75"/>
        <v>784</v>
      </c>
      <c r="S786">
        <f>IFERROR(SEARCH(Crewlist!$P$5,V786)+ROW()/100000,"")</f>
        <v>1.00786</v>
      </c>
      <c r="T786">
        <f t="shared" si="79"/>
        <v>785</v>
      </c>
      <c r="U786">
        <f t="shared" si="80"/>
        <v>0</v>
      </c>
      <c r="V786" t="str">
        <f t="shared" si="77"/>
        <v xml:space="preserve"> </v>
      </c>
      <c r="Y786" s="162" t="e">
        <f>VLOOKUP(B786,Crewlist!AS:AU,3,FALSE)</f>
        <v>#N/A</v>
      </c>
      <c r="Z786" s="163">
        <f t="shared" si="76"/>
        <v>0</v>
      </c>
    </row>
    <row r="787" spans="2:26">
      <c r="B787" s="171">
        <v>786</v>
      </c>
      <c r="H787" s="173"/>
      <c r="I787" s="174"/>
      <c r="J787" s="174"/>
      <c r="N787" s="201">
        <v>0</v>
      </c>
      <c r="Q787">
        <f t="shared" si="78"/>
        <v>0</v>
      </c>
      <c r="R787">
        <f t="shared" si="75"/>
        <v>785</v>
      </c>
      <c r="S787">
        <f>IFERROR(SEARCH(Crewlist!$P$5,V787)+ROW()/100000,"")</f>
        <v>1.00787</v>
      </c>
      <c r="T787">
        <f t="shared" si="79"/>
        <v>786</v>
      </c>
      <c r="U787">
        <f t="shared" si="80"/>
        <v>0</v>
      </c>
      <c r="V787" t="str">
        <f t="shared" si="77"/>
        <v xml:space="preserve"> </v>
      </c>
      <c r="Y787" s="162" t="e">
        <f>VLOOKUP(B787,Crewlist!AS:AU,3,FALSE)</f>
        <v>#N/A</v>
      </c>
      <c r="Z787" s="163">
        <f t="shared" si="76"/>
        <v>0</v>
      </c>
    </row>
    <row r="788" spans="2:26">
      <c r="B788" s="202">
        <v>787</v>
      </c>
      <c r="H788" s="173"/>
      <c r="I788" s="174"/>
      <c r="J788" s="174"/>
      <c r="N788" s="201">
        <v>0</v>
      </c>
      <c r="Q788">
        <f t="shared" si="78"/>
        <v>0</v>
      </c>
      <c r="R788">
        <f t="shared" si="75"/>
        <v>786</v>
      </c>
      <c r="S788">
        <f>IFERROR(SEARCH(Crewlist!$P$5,V788)+ROW()/100000,"")</f>
        <v>1.0078800000000001</v>
      </c>
      <c r="T788">
        <f t="shared" si="79"/>
        <v>787</v>
      </c>
      <c r="U788">
        <f t="shared" si="80"/>
        <v>0</v>
      </c>
      <c r="V788" t="str">
        <f t="shared" si="77"/>
        <v xml:space="preserve"> </v>
      </c>
      <c r="Y788" s="162" t="e">
        <f>VLOOKUP(B788,Crewlist!AS:AU,3,FALSE)</f>
        <v>#N/A</v>
      </c>
      <c r="Z788" s="163">
        <f t="shared" si="76"/>
        <v>0</v>
      </c>
    </row>
    <row r="789" spans="2:26">
      <c r="B789" s="171">
        <v>788</v>
      </c>
      <c r="H789" s="173"/>
      <c r="I789" s="174"/>
      <c r="J789" s="174"/>
      <c r="N789" s="201">
        <v>0</v>
      </c>
      <c r="Q789">
        <f t="shared" si="78"/>
        <v>0</v>
      </c>
      <c r="R789">
        <f t="shared" si="75"/>
        <v>787</v>
      </c>
      <c r="S789">
        <f>IFERROR(SEARCH(Crewlist!$P$5,V789)+ROW()/100000,"")</f>
        <v>1.00789</v>
      </c>
      <c r="T789">
        <f t="shared" si="79"/>
        <v>788</v>
      </c>
      <c r="U789">
        <f t="shared" si="80"/>
        <v>0</v>
      </c>
      <c r="V789" t="str">
        <f t="shared" si="77"/>
        <v xml:space="preserve"> </v>
      </c>
      <c r="Y789" s="162" t="e">
        <f>VLOOKUP(B789,Crewlist!AS:AU,3,FALSE)</f>
        <v>#N/A</v>
      </c>
      <c r="Z789" s="163">
        <f t="shared" si="76"/>
        <v>0</v>
      </c>
    </row>
    <row r="790" spans="2:26">
      <c r="B790" s="171">
        <v>789</v>
      </c>
      <c r="H790" s="173"/>
      <c r="I790" s="174"/>
      <c r="J790" s="174"/>
      <c r="N790" s="201">
        <v>0</v>
      </c>
      <c r="Q790">
        <f t="shared" si="78"/>
        <v>0</v>
      </c>
      <c r="R790">
        <f t="shared" si="75"/>
        <v>788</v>
      </c>
      <c r="S790">
        <f>IFERROR(SEARCH(Crewlist!$P$5,V790)+ROW()/100000,"")</f>
        <v>1.0079</v>
      </c>
      <c r="T790">
        <f t="shared" si="79"/>
        <v>789</v>
      </c>
      <c r="U790">
        <f t="shared" si="80"/>
        <v>0</v>
      </c>
      <c r="V790" t="str">
        <f t="shared" si="77"/>
        <v xml:space="preserve"> </v>
      </c>
      <c r="Y790" s="162" t="e">
        <f>VLOOKUP(B790,Crewlist!AS:AU,3,FALSE)</f>
        <v>#N/A</v>
      </c>
      <c r="Z790" s="163">
        <f t="shared" si="76"/>
        <v>0</v>
      </c>
    </row>
    <row r="791" spans="2:26">
      <c r="B791" s="202">
        <v>790</v>
      </c>
      <c r="N791" s="201">
        <v>0</v>
      </c>
      <c r="Q791">
        <f t="shared" si="78"/>
        <v>0</v>
      </c>
      <c r="R791">
        <f t="shared" si="75"/>
        <v>789</v>
      </c>
      <c r="S791">
        <f>IFERROR(SEARCH(Crewlist!$P$5,V791)+ROW()/100000,"")</f>
        <v>1.0079100000000001</v>
      </c>
      <c r="T791">
        <f t="shared" si="79"/>
        <v>790</v>
      </c>
      <c r="U791">
        <f t="shared" si="80"/>
        <v>0</v>
      </c>
      <c r="V791" t="str">
        <f t="shared" si="77"/>
        <v xml:space="preserve"> </v>
      </c>
      <c r="Y791" s="162" t="e">
        <f>VLOOKUP(B791,Crewlist!AS:AU,3,FALSE)</f>
        <v>#N/A</v>
      </c>
      <c r="Z791" s="163">
        <f t="shared" si="76"/>
        <v>0</v>
      </c>
    </row>
    <row r="792" spans="2:26">
      <c r="B792" s="171">
        <v>791</v>
      </c>
      <c r="H792" s="173"/>
      <c r="I792" s="174"/>
      <c r="J792" s="174"/>
      <c r="K792" s="181"/>
      <c r="M792" s="182"/>
      <c r="N792" s="201">
        <v>0</v>
      </c>
      <c r="Q792">
        <f t="shared" si="78"/>
        <v>0</v>
      </c>
      <c r="R792">
        <f t="shared" si="75"/>
        <v>790</v>
      </c>
      <c r="S792">
        <f>IFERROR(SEARCH(Crewlist!$P$5,V792)+ROW()/100000,"")</f>
        <v>1.0079199999999999</v>
      </c>
      <c r="T792">
        <f t="shared" si="79"/>
        <v>791</v>
      </c>
      <c r="U792">
        <f t="shared" si="80"/>
        <v>0</v>
      </c>
      <c r="V792" t="str">
        <f t="shared" si="77"/>
        <v xml:space="preserve"> </v>
      </c>
      <c r="Y792" s="162" t="e">
        <f>VLOOKUP(B792,Crewlist!AS:AU,3,FALSE)</f>
        <v>#N/A</v>
      </c>
      <c r="Z792" s="163">
        <f t="shared" si="76"/>
        <v>0</v>
      </c>
    </row>
    <row r="793" spans="2:26">
      <c r="B793" s="171">
        <v>792</v>
      </c>
      <c r="H793" s="173"/>
      <c r="I793" s="174"/>
      <c r="J793" s="174"/>
      <c r="N793" s="201">
        <v>0</v>
      </c>
      <c r="Q793">
        <f t="shared" si="78"/>
        <v>0</v>
      </c>
      <c r="R793">
        <f t="shared" si="75"/>
        <v>791</v>
      </c>
      <c r="S793">
        <f>IFERROR(SEARCH(Crewlist!$P$5,V793)+ROW()/100000,"")</f>
        <v>1.00793</v>
      </c>
      <c r="T793">
        <f t="shared" si="79"/>
        <v>792</v>
      </c>
      <c r="U793">
        <f t="shared" si="80"/>
        <v>0</v>
      </c>
      <c r="V793" t="str">
        <f t="shared" si="77"/>
        <v xml:space="preserve"> </v>
      </c>
      <c r="Y793" s="162" t="e">
        <f>VLOOKUP(B793,Crewlist!AS:AU,3,FALSE)</f>
        <v>#N/A</v>
      </c>
      <c r="Z793" s="163">
        <f t="shared" si="76"/>
        <v>0</v>
      </c>
    </row>
    <row r="794" spans="2:26">
      <c r="B794" s="202">
        <v>793</v>
      </c>
      <c r="H794" s="173"/>
      <c r="I794" s="174"/>
      <c r="J794" s="174"/>
      <c r="N794" s="201">
        <v>0</v>
      </c>
      <c r="Q794">
        <f t="shared" si="78"/>
        <v>0</v>
      </c>
      <c r="R794">
        <f t="shared" si="75"/>
        <v>792</v>
      </c>
      <c r="S794">
        <f>IFERROR(SEARCH(Crewlist!$P$5,V794)+ROW()/100000,"")</f>
        <v>1.0079400000000001</v>
      </c>
      <c r="T794">
        <f t="shared" si="79"/>
        <v>793</v>
      </c>
      <c r="U794">
        <f t="shared" si="80"/>
        <v>0</v>
      </c>
      <c r="V794" t="str">
        <f t="shared" si="77"/>
        <v xml:space="preserve"> </v>
      </c>
      <c r="Y794" s="162" t="e">
        <f>VLOOKUP(B794,Crewlist!AS:AU,3,FALSE)</f>
        <v>#N/A</v>
      </c>
      <c r="Z794" s="163">
        <f t="shared" si="76"/>
        <v>0</v>
      </c>
    </row>
    <row r="795" spans="2:26">
      <c r="B795" s="171">
        <v>794</v>
      </c>
      <c r="H795" s="173"/>
      <c r="I795" s="174"/>
      <c r="J795" s="174"/>
      <c r="N795" s="201">
        <v>0</v>
      </c>
      <c r="Q795">
        <f t="shared" si="78"/>
        <v>0</v>
      </c>
      <c r="R795">
        <f t="shared" si="75"/>
        <v>793</v>
      </c>
      <c r="S795">
        <f>IFERROR(SEARCH(Crewlist!$P$5,V795)+ROW()/100000,"")</f>
        <v>1.0079499999999999</v>
      </c>
      <c r="T795">
        <f t="shared" si="79"/>
        <v>794</v>
      </c>
      <c r="U795">
        <f t="shared" si="80"/>
        <v>0</v>
      </c>
      <c r="V795" t="str">
        <f t="shared" si="77"/>
        <v xml:space="preserve"> </v>
      </c>
      <c r="Y795" s="162" t="e">
        <f>VLOOKUP(B795,Crewlist!AS:AU,3,FALSE)</f>
        <v>#N/A</v>
      </c>
      <c r="Z795" s="163">
        <f t="shared" si="76"/>
        <v>0</v>
      </c>
    </row>
    <row r="796" spans="2:26">
      <c r="B796" s="171">
        <v>795</v>
      </c>
      <c r="C796" s="169"/>
      <c r="D796" s="169"/>
      <c r="E796" s="169"/>
      <c r="F796" s="176"/>
      <c r="I796" s="176"/>
      <c r="J796" s="176"/>
      <c r="L796" s="179"/>
      <c r="N796" s="201">
        <v>0</v>
      </c>
      <c r="Q796">
        <f t="shared" si="78"/>
        <v>0</v>
      </c>
      <c r="R796">
        <f t="shared" si="75"/>
        <v>794</v>
      </c>
      <c r="S796">
        <f>IFERROR(SEARCH(Crewlist!$P$5,V796)+ROW()/100000,"")</f>
        <v>1.00796</v>
      </c>
      <c r="T796">
        <f t="shared" si="79"/>
        <v>795</v>
      </c>
      <c r="U796">
        <f t="shared" si="80"/>
        <v>0</v>
      </c>
      <c r="V796" t="str">
        <f t="shared" si="77"/>
        <v xml:space="preserve"> </v>
      </c>
      <c r="Y796" s="162" t="e">
        <f>VLOOKUP(B796,Crewlist!AS:AU,3,FALSE)</f>
        <v>#N/A</v>
      </c>
      <c r="Z796" s="163">
        <f t="shared" si="76"/>
        <v>0</v>
      </c>
    </row>
    <row r="797" spans="2:26">
      <c r="B797" s="202">
        <v>796</v>
      </c>
      <c r="C797" s="169"/>
      <c r="N797" s="201">
        <v>0</v>
      </c>
      <c r="Q797">
        <f t="shared" si="78"/>
        <v>0</v>
      </c>
      <c r="R797">
        <f t="shared" si="75"/>
        <v>795</v>
      </c>
      <c r="S797">
        <f>IFERROR(SEARCH(Crewlist!$P$5,V797)+ROW()/100000,"")</f>
        <v>1.00797</v>
      </c>
      <c r="T797">
        <f t="shared" si="79"/>
        <v>796</v>
      </c>
      <c r="U797">
        <f t="shared" si="80"/>
        <v>0</v>
      </c>
      <c r="V797" t="str">
        <f t="shared" si="77"/>
        <v xml:space="preserve"> </v>
      </c>
      <c r="Y797" s="162" t="e">
        <f>VLOOKUP(B797,Crewlist!AS:AU,3,FALSE)</f>
        <v>#N/A</v>
      </c>
      <c r="Z797" s="163">
        <f t="shared" si="76"/>
        <v>0</v>
      </c>
    </row>
    <row r="798" spans="2:26">
      <c r="B798" s="171">
        <v>797</v>
      </c>
      <c r="C798" s="169"/>
      <c r="N798" s="201">
        <v>0</v>
      </c>
      <c r="Q798">
        <f t="shared" si="78"/>
        <v>0</v>
      </c>
      <c r="R798">
        <f t="shared" si="75"/>
        <v>796</v>
      </c>
      <c r="S798">
        <f>IFERROR(SEARCH(Crewlist!$P$5,V798)+ROW()/100000,"")</f>
        <v>1.0079800000000001</v>
      </c>
      <c r="T798">
        <f t="shared" si="79"/>
        <v>797</v>
      </c>
      <c r="U798">
        <f t="shared" si="80"/>
        <v>0</v>
      </c>
      <c r="V798" t="str">
        <f t="shared" si="77"/>
        <v xml:space="preserve"> </v>
      </c>
      <c r="Y798" s="162" t="e">
        <f>VLOOKUP(B798,Crewlist!AS:AU,3,FALSE)</f>
        <v>#N/A</v>
      </c>
      <c r="Z798" s="163">
        <f t="shared" si="76"/>
        <v>0</v>
      </c>
    </row>
    <row r="799" spans="2:26">
      <c r="B799" s="171">
        <v>798</v>
      </c>
      <c r="C799" s="169"/>
      <c r="N799" s="201">
        <v>0</v>
      </c>
      <c r="Q799">
        <f t="shared" si="78"/>
        <v>0</v>
      </c>
      <c r="R799">
        <f t="shared" si="75"/>
        <v>797</v>
      </c>
      <c r="S799">
        <f>IFERROR(SEARCH(Crewlist!$P$5,V799)+ROW()/100000,"")</f>
        <v>1.0079899999999999</v>
      </c>
      <c r="T799">
        <f t="shared" si="79"/>
        <v>798</v>
      </c>
      <c r="U799">
        <f t="shared" si="80"/>
        <v>0</v>
      </c>
      <c r="V799" t="str">
        <f t="shared" si="77"/>
        <v xml:space="preserve"> </v>
      </c>
      <c r="Y799" s="162" t="e">
        <f>VLOOKUP(B799,Crewlist!AS:AU,3,FALSE)</f>
        <v>#N/A</v>
      </c>
      <c r="Z799" s="163">
        <f t="shared" si="76"/>
        <v>0</v>
      </c>
    </row>
    <row r="800" spans="2:26">
      <c r="B800" s="202">
        <v>799</v>
      </c>
      <c r="C800" s="169"/>
      <c r="N800" s="201">
        <v>0</v>
      </c>
      <c r="Q800">
        <f t="shared" si="78"/>
        <v>0</v>
      </c>
      <c r="R800">
        <f t="shared" si="75"/>
        <v>798</v>
      </c>
      <c r="S800">
        <f>IFERROR(SEARCH(Crewlist!$P$5,V800)+ROW()/100000,"")</f>
        <v>1.008</v>
      </c>
      <c r="T800">
        <f t="shared" si="79"/>
        <v>799</v>
      </c>
      <c r="U800">
        <f t="shared" si="80"/>
        <v>0</v>
      </c>
      <c r="V800" t="str">
        <f t="shared" si="77"/>
        <v xml:space="preserve"> </v>
      </c>
      <c r="Y800" s="162" t="e">
        <f>VLOOKUP(B800,Crewlist!AS:AU,3,FALSE)</f>
        <v>#N/A</v>
      </c>
      <c r="Z800" s="163">
        <f t="shared" si="76"/>
        <v>0</v>
      </c>
    </row>
    <row r="801" spans="2:26">
      <c r="B801" s="171">
        <v>800</v>
      </c>
      <c r="C801" s="169"/>
      <c r="N801" s="201">
        <v>0</v>
      </c>
      <c r="Q801">
        <f t="shared" si="78"/>
        <v>0</v>
      </c>
      <c r="R801">
        <f t="shared" si="75"/>
        <v>799</v>
      </c>
      <c r="S801">
        <f>IFERROR(SEARCH(Crewlist!$P$5,V801)+ROW()/100000,"")</f>
        <v>1.0080100000000001</v>
      </c>
      <c r="T801">
        <f t="shared" si="79"/>
        <v>800</v>
      </c>
      <c r="U801">
        <f t="shared" si="80"/>
        <v>0</v>
      </c>
      <c r="V801" t="str">
        <f t="shared" si="77"/>
        <v xml:space="preserve"> </v>
      </c>
      <c r="Y801" s="162" t="e">
        <f>VLOOKUP(B801,Crewlist!AS:AU,3,FALSE)</f>
        <v>#N/A</v>
      </c>
      <c r="Z801" s="163">
        <f t="shared" si="76"/>
        <v>0</v>
      </c>
    </row>
    <row r="802" spans="2:26">
      <c r="B802" s="171">
        <v>801</v>
      </c>
      <c r="C802" s="169"/>
      <c r="N802" s="201">
        <v>0</v>
      </c>
      <c r="Q802">
        <f t="shared" si="78"/>
        <v>0</v>
      </c>
      <c r="R802">
        <f t="shared" si="75"/>
        <v>800</v>
      </c>
      <c r="S802">
        <f>IFERROR(SEARCH(Crewlist!$P$5,V802)+ROW()/100000,"")</f>
        <v>1.0080199999999999</v>
      </c>
      <c r="T802">
        <f t="shared" si="79"/>
        <v>801</v>
      </c>
      <c r="U802">
        <f t="shared" si="80"/>
        <v>0</v>
      </c>
      <c r="V802" t="str">
        <f t="shared" si="77"/>
        <v xml:space="preserve"> </v>
      </c>
      <c r="Y802" s="162" t="e">
        <f>VLOOKUP(B802,Crewlist!AS:AU,3,FALSE)</f>
        <v>#N/A</v>
      </c>
      <c r="Z802" s="163">
        <f t="shared" si="76"/>
        <v>0</v>
      </c>
    </row>
    <row r="803" spans="2:26">
      <c r="B803" s="202">
        <v>802</v>
      </c>
      <c r="C803" s="169"/>
      <c r="N803" s="201">
        <v>0</v>
      </c>
      <c r="Q803">
        <f t="shared" si="78"/>
        <v>0</v>
      </c>
      <c r="R803">
        <f t="shared" si="75"/>
        <v>801</v>
      </c>
      <c r="S803">
        <f>IFERROR(SEARCH(Crewlist!$P$5,V803)+ROW()/100000,"")</f>
        <v>1.00803</v>
      </c>
      <c r="T803">
        <f t="shared" si="79"/>
        <v>802</v>
      </c>
      <c r="U803">
        <f t="shared" si="80"/>
        <v>0</v>
      </c>
      <c r="V803" t="str">
        <f t="shared" si="77"/>
        <v xml:space="preserve"> </v>
      </c>
      <c r="Y803" s="162" t="e">
        <f>VLOOKUP(B803,Crewlist!AS:AU,3,FALSE)</f>
        <v>#N/A</v>
      </c>
      <c r="Z803" s="163">
        <f t="shared" si="76"/>
        <v>0</v>
      </c>
    </row>
    <row r="804" spans="2:26">
      <c r="B804" s="171">
        <v>803</v>
      </c>
      <c r="C804" s="169"/>
      <c r="N804" s="201">
        <v>0</v>
      </c>
      <c r="Q804">
        <f t="shared" si="78"/>
        <v>0</v>
      </c>
      <c r="R804">
        <f t="shared" si="75"/>
        <v>802</v>
      </c>
      <c r="S804">
        <f>IFERROR(SEARCH(Crewlist!$P$5,V804)+ROW()/100000,"")</f>
        <v>1.00804</v>
      </c>
      <c r="T804">
        <f t="shared" si="79"/>
        <v>803</v>
      </c>
      <c r="U804">
        <f t="shared" si="80"/>
        <v>0</v>
      </c>
      <c r="V804" t="str">
        <f t="shared" si="77"/>
        <v xml:space="preserve"> </v>
      </c>
      <c r="Y804" s="162" t="e">
        <f>VLOOKUP(B804,Crewlist!AS:AU,3,FALSE)</f>
        <v>#N/A</v>
      </c>
      <c r="Z804" s="163">
        <f t="shared" si="76"/>
        <v>0</v>
      </c>
    </row>
    <row r="805" spans="2:26">
      <c r="B805" s="171">
        <v>804</v>
      </c>
      <c r="C805" s="169"/>
      <c r="N805" s="201">
        <v>0</v>
      </c>
      <c r="Q805">
        <f t="shared" si="78"/>
        <v>0</v>
      </c>
      <c r="R805">
        <f t="shared" si="75"/>
        <v>803</v>
      </c>
      <c r="S805">
        <f>IFERROR(SEARCH(Crewlist!$P$5,V805)+ROW()/100000,"")</f>
        <v>1.0080499999999999</v>
      </c>
      <c r="T805">
        <f t="shared" si="79"/>
        <v>804</v>
      </c>
      <c r="U805">
        <f t="shared" si="80"/>
        <v>0</v>
      </c>
      <c r="V805" t="str">
        <f t="shared" si="77"/>
        <v xml:space="preserve"> </v>
      </c>
      <c r="Y805" s="162" t="e">
        <f>VLOOKUP(B805,Crewlist!AS:AU,3,FALSE)</f>
        <v>#N/A</v>
      </c>
      <c r="Z805" s="163">
        <f t="shared" si="76"/>
        <v>0</v>
      </c>
    </row>
    <row r="806" spans="2:26">
      <c r="B806" s="202">
        <v>805</v>
      </c>
      <c r="C806" s="169"/>
      <c r="N806" s="201">
        <v>0</v>
      </c>
      <c r="Q806">
        <f t="shared" si="78"/>
        <v>0</v>
      </c>
      <c r="R806">
        <f t="shared" si="75"/>
        <v>804</v>
      </c>
      <c r="S806">
        <f>IFERROR(SEARCH(Crewlist!$P$5,V806)+ROW()/100000,"")</f>
        <v>1.00806</v>
      </c>
      <c r="T806">
        <f t="shared" si="79"/>
        <v>805</v>
      </c>
      <c r="U806">
        <f t="shared" si="80"/>
        <v>0</v>
      </c>
      <c r="V806" t="str">
        <f t="shared" si="77"/>
        <v xml:space="preserve"> </v>
      </c>
      <c r="Y806" s="162" t="e">
        <f>VLOOKUP(B806,Crewlist!AS:AU,3,FALSE)</f>
        <v>#N/A</v>
      </c>
      <c r="Z806" s="163">
        <f t="shared" si="76"/>
        <v>0</v>
      </c>
    </row>
    <row r="807" spans="2:26">
      <c r="B807" s="171">
        <v>806</v>
      </c>
      <c r="C807" s="169"/>
      <c r="N807" s="201">
        <v>0</v>
      </c>
      <c r="Q807">
        <f t="shared" si="78"/>
        <v>0</v>
      </c>
      <c r="R807">
        <f t="shared" si="75"/>
        <v>805</v>
      </c>
      <c r="S807">
        <f>IFERROR(SEARCH(Crewlist!$P$5,V807)+ROW()/100000,"")</f>
        <v>1.00807</v>
      </c>
      <c r="T807">
        <f t="shared" si="79"/>
        <v>806</v>
      </c>
      <c r="U807">
        <f t="shared" si="80"/>
        <v>0</v>
      </c>
      <c r="V807" t="str">
        <f t="shared" si="77"/>
        <v xml:space="preserve"> </v>
      </c>
      <c r="Y807" s="162" t="e">
        <f>VLOOKUP(B807,Crewlist!AS:AU,3,FALSE)</f>
        <v>#N/A</v>
      </c>
      <c r="Z807" s="163">
        <f t="shared" si="76"/>
        <v>0</v>
      </c>
    </row>
    <row r="808" spans="2:26">
      <c r="B808" s="171">
        <v>807</v>
      </c>
      <c r="C808" s="169"/>
      <c r="N808" s="201">
        <v>0</v>
      </c>
      <c r="Q808">
        <f t="shared" si="78"/>
        <v>0</v>
      </c>
      <c r="R808">
        <f t="shared" si="75"/>
        <v>806</v>
      </c>
      <c r="S808">
        <f>IFERROR(SEARCH(Crewlist!$P$5,V808)+ROW()/100000,"")</f>
        <v>1.0080800000000001</v>
      </c>
      <c r="T808">
        <f t="shared" si="79"/>
        <v>807</v>
      </c>
      <c r="U808">
        <f t="shared" si="80"/>
        <v>0</v>
      </c>
      <c r="V808" t="str">
        <f t="shared" si="77"/>
        <v xml:space="preserve"> </v>
      </c>
      <c r="Y808" s="162" t="e">
        <f>VLOOKUP(B808,Crewlist!AS:AU,3,FALSE)</f>
        <v>#N/A</v>
      </c>
      <c r="Z808" s="163">
        <f t="shared" si="76"/>
        <v>0</v>
      </c>
    </row>
    <row r="809" spans="2:26">
      <c r="B809" s="202">
        <v>808</v>
      </c>
      <c r="C809" s="169"/>
      <c r="N809" s="201">
        <v>0</v>
      </c>
      <c r="Q809">
        <f t="shared" si="78"/>
        <v>0</v>
      </c>
      <c r="R809">
        <f t="shared" si="75"/>
        <v>807</v>
      </c>
      <c r="S809">
        <f>IFERROR(SEARCH(Crewlist!$P$5,V809)+ROW()/100000,"")</f>
        <v>1.0080899999999999</v>
      </c>
      <c r="T809">
        <f t="shared" si="79"/>
        <v>808</v>
      </c>
      <c r="U809">
        <f t="shared" si="80"/>
        <v>0</v>
      </c>
      <c r="V809" t="str">
        <f t="shared" si="77"/>
        <v xml:space="preserve"> </v>
      </c>
      <c r="Y809" s="162" t="e">
        <f>VLOOKUP(B809,Crewlist!AS:AU,3,FALSE)</f>
        <v>#N/A</v>
      </c>
      <c r="Z809" s="163">
        <f t="shared" si="76"/>
        <v>0</v>
      </c>
    </row>
    <row r="810" spans="2:26">
      <c r="B810" s="171">
        <v>809</v>
      </c>
      <c r="C810" s="169"/>
      <c r="N810" s="201">
        <v>0</v>
      </c>
      <c r="Q810">
        <f t="shared" si="78"/>
        <v>0</v>
      </c>
      <c r="R810">
        <f t="shared" si="75"/>
        <v>808</v>
      </c>
      <c r="S810">
        <f>IFERROR(SEARCH(Crewlist!$P$5,V810)+ROW()/100000,"")</f>
        <v>1.0081</v>
      </c>
      <c r="T810">
        <f t="shared" si="79"/>
        <v>809</v>
      </c>
      <c r="U810">
        <f t="shared" si="80"/>
        <v>0</v>
      </c>
      <c r="V810" t="str">
        <f t="shared" si="77"/>
        <v xml:space="preserve"> </v>
      </c>
      <c r="Y810" s="162" t="e">
        <f>VLOOKUP(B810,Crewlist!AS:AU,3,FALSE)</f>
        <v>#N/A</v>
      </c>
      <c r="Z810" s="163">
        <f t="shared" si="76"/>
        <v>0</v>
      </c>
    </row>
    <row r="811" spans="2:26">
      <c r="B811" s="171">
        <v>810</v>
      </c>
      <c r="C811" s="169"/>
      <c r="N811" s="201">
        <v>0</v>
      </c>
      <c r="Q811">
        <f t="shared" si="78"/>
        <v>0</v>
      </c>
      <c r="R811">
        <f t="shared" si="75"/>
        <v>809</v>
      </c>
      <c r="S811">
        <f>IFERROR(SEARCH(Crewlist!$P$5,V811)+ROW()/100000,"")</f>
        <v>1.0081100000000001</v>
      </c>
      <c r="T811">
        <f t="shared" si="79"/>
        <v>810</v>
      </c>
      <c r="U811">
        <f t="shared" si="80"/>
        <v>0</v>
      </c>
      <c r="V811" t="str">
        <f t="shared" si="77"/>
        <v xml:space="preserve"> </v>
      </c>
      <c r="Y811" s="162" t="e">
        <f>VLOOKUP(B811,Crewlist!AS:AU,3,FALSE)</f>
        <v>#N/A</v>
      </c>
      <c r="Z811" s="163">
        <f t="shared" si="76"/>
        <v>0</v>
      </c>
    </row>
    <row r="812" spans="2:26">
      <c r="B812" s="202">
        <v>811</v>
      </c>
      <c r="C812" s="169"/>
      <c r="N812" s="201">
        <v>0</v>
      </c>
      <c r="Q812">
        <f t="shared" si="78"/>
        <v>0</v>
      </c>
      <c r="R812">
        <f t="shared" si="75"/>
        <v>810</v>
      </c>
      <c r="S812">
        <f>IFERROR(SEARCH(Crewlist!$P$5,V812)+ROW()/100000,"")</f>
        <v>1.0081199999999999</v>
      </c>
      <c r="T812">
        <f t="shared" si="79"/>
        <v>811</v>
      </c>
      <c r="U812">
        <f t="shared" si="80"/>
        <v>0</v>
      </c>
      <c r="V812" t="str">
        <f t="shared" si="77"/>
        <v xml:space="preserve"> </v>
      </c>
      <c r="Y812" s="162" t="e">
        <f>VLOOKUP(B812,Crewlist!AS:AU,3,FALSE)</f>
        <v>#N/A</v>
      </c>
      <c r="Z812" s="163">
        <f t="shared" si="76"/>
        <v>0</v>
      </c>
    </row>
    <row r="813" spans="2:26">
      <c r="B813" s="171">
        <v>812</v>
      </c>
      <c r="C813" s="169"/>
      <c r="N813" s="201">
        <v>0</v>
      </c>
      <c r="Q813">
        <f t="shared" si="78"/>
        <v>0</v>
      </c>
      <c r="R813">
        <f t="shared" si="75"/>
        <v>811</v>
      </c>
      <c r="S813">
        <f>IFERROR(SEARCH(Crewlist!$P$5,V813)+ROW()/100000,"")</f>
        <v>1.00813</v>
      </c>
      <c r="T813">
        <f t="shared" si="79"/>
        <v>812</v>
      </c>
      <c r="U813">
        <f t="shared" si="80"/>
        <v>0</v>
      </c>
      <c r="V813" t="str">
        <f t="shared" si="77"/>
        <v xml:space="preserve"> </v>
      </c>
      <c r="Y813" s="162" t="e">
        <f>VLOOKUP(B813,Crewlist!AS:AU,3,FALSE)</f>
        <v>#N/A</v>
      </c>
      <c r="Z813" s="163">
        <f t="shared" si="76"/>
        <v>0</v>
      </c>
    </row>
    <row r="814" spans="2:26">
      <c r="B814" s="171">
        <v>813</v>
      </c>
      <c r="C814" s="169"/>
      <c r="N814" s="201">
        <v>0</v>
      </c>
      <c r="Q814">
        <f t="shared" si="78"/>
        <v>0</v>
      </c>
      <c r="R814">
        <f t="shared" si="75"/>
        <v>812</v>
      </c>
      <c r="S814">
        <f>IFERROR(SEARCH(Crewlist!$P$5,V814)+ROW()/100000,"")</f>
        <v>1.00814</v>
      </c>
      <c r="T814">
        <f t="shared" si="79"/>
        <v>813</v>
      </c>
      <c r="U814">
        <f t="shared" si="80"/>
        <v>0</v>
      </c>
      <c r="V814" t="str">
        <f t="shared" si="77"/>
        <v xml:space="preserve"> </v>
      </c>
      <c r="Y814" s="162" t="e">
        <f>VLOOKUP(B814,Crewlist!AS:AU,3,FALSE)</f>
        <v>#N/A</v>
      </c>
      <c r="Z814" s="163">
        <f t="shared" si="76"/>
        <v>0</v>
      </c>
    </row>
    <row r="815" spans="2:26">
      <c r="B815" s="202">
        <v>814</v>
      </c>
      <c r="C815" s="169"/>
      <c r="N815" s="201">
        <v>0</v>
      </c>
      <c r="Q815">
        <f t="shared" si="78"/>
        <v>0</v>
      </c>
      <c r="R815">
        <f t="shared" si="75"/>
        <v>813</v>
      </c>
      <c r="S815">
        <f>IFERROR(SEARCH(Crewlist!$P$5,V815)+ROW()/100000,"")</f>
        <v>1.0081500000000001</v>
      </c>
      <c r="T815">
        <f t="shared" si="79"/>
        <v>814</v>
      </c>
      <c r="U815">
        <f t="shared" si="80"/>
        <v>0</v>
      </c>
      <c r="V815" t="str">
        <f t="shared" si="77"/>
        <v xml:space="preserve"> </v>
      </c>
      <c r="Y815" s="162" t="e">
        <f>VLOOKUP(B815,Crewlist!AS:AU,3,FALSE)</f>
        <v>#N/A</v>
      </c>
      <c r="Z815" s="163">
        <f t="shared" si="76"/>
        <v>0</v>
      </c>
    </row>
    <row r="816" spans="2:26">
      <c r="B816" s="171">
        <v>815</v>
      </c>
      <c r="C816" s="169"/>
      <c r="N816" s="201">
        <v>0</v>
      </c>
      <c r="Q816">
        <f t="shared" si="78"/>
        <v>0</v>
      </c>
      <c r="R816">
        <f t="shared" si="75"/>
        <v>814</v>
      </c>
      <c r="S816">
        <f>IFERROR(SEARCH(Crewlist!$P$5,V816)+ROW()/100000,"")</f>
        <v>1.0081599999999999</v>
      </c>
      <c r="T816">
        <f t="shared" si="79"/>
        <v>815</v>
      </c>
      <c r="U816">
        <f t="shared" si="80"/>
        <v>0</v>
      </c>
      <c r="V816" t="str">
        <f t="shared" si="77"/>
        <v xml:space="preserve"> </v>
      </c>
      <c r="Y816" s="162" t="e">
        <f>VLOOKUP(B816,Crewlist!AS:AU,3,FALSE)</f>
        <v>#N/A</v>
      </c>
      <c r="Z816" s="163">
        <f t="shared" si="76"/>
        <v>0</v>
      </c>
    </row>
    <row r="817" spans="2:26">
      <c r="B817" s="171">
        <v>816</v>
      </c>
      <c r="C817" s="169"/>
      <c r="N817" s="201">
        <v>0</v>
      </c>
      <c r="Q817">
        <f t="shared" si="78"/>
        <v>0</v>
      </c>
      <c r="R817">
        <f t="shared" si="75"/>
        <v>815</v>
      </c>
      <c r="S817">
        <f>IFERROR(SEARCH(Crewlist!$P$5,V817)+ROW()/100000,"")</f>
        <v>1.00817</v>
      </c>
      <c r="T817">
        <f t="shared" si="79"/>
        <v>816</v>
      </c>
      <c r="U817">
        <f t="shared" si="80"/>
        <v>0</v>
      </c>
      <c r="V817" t="str">
        <f t="shared" si="77"/>
        <v xml:space="preserve"> </v>
      </c>
      <c r="Y817" s="162" t="e">
        <f>VLOOKUP(B817,Crewlist!AS:AU,3,FALSE)</f>
        <v>#N/A</v>
      </c>
      <c r="Z817" s="163">
        <f t="shared" si="76"/>
        <v>0</v>
      </c>
    </row>
    <row r="818" spans="2:26">
      <c r="B818" s="202">
        <v>817</v>
      </c>
      <c r="C818" s="169"/>
      <c r="N818" s="201">
        <v>0</v>
      </c>
      <c r="Q818">
        <f t="shared" si="78"/>
        <v>0</v>
      </c>
      <c r="R818">
        <f t="shared" si="75"/>
        <v>816</v>
      </c>
      <c r="S818">
        <f>IFERROR(SEARCH(Crewlist!$P$5,V818)+ROW()/100000,"")</f>
        <v>1.0081800000000001</v>
      </c>
      <c r="T818">
        <f t="shared" si="79"/>
        <v>817</v>
      </c>
      <c r="U818">
        <f t="shared" si="80"/>
        <v>0</v>
      </c>
      <c r="V818" t="str">
        <f t="shared" si="77"/>
        <v xml:space="preserve"> </v>
      </c>
      <c r="Y818" s="162" t="e">
        <f>VLOOKUP(B818,Crewlist!AS:AU,3,FALSE)</f>
        <v>#N/A</v>
      </c>
      <c r="Z818" s="163">
        <f t="shared" si="76"/>
        <v>0</v>
      </c>
    </row>
    <row r="819" spans="2:26">
      <c r="B819" s="171">
        <v>818</v>
      </c>
      <c r="C819" s="169"/>
      <c r="N819" s="201">
        <v>0</v>
      </c>
      <c r="Q819">
        <f t="shared" si="78"/>
        <v>0</v>
      </c>
      <c r="R819">
        <f t="shared" si="75"/>
        <v>817</v>
      </c>
      <c r="S819">
        <f>IFERROR(SEARCH(Crewlist!$P$5,V819)+ROW()/100000,"")</f>
        <v>1.0081899999999999</v>
      </c>
      <c r="T819">
        <f t="shared" si="79"/>
        <v>818</v>
      </c>
      <c r="U819">
        <f t="shared" si="80"/>
        <v>0</v>
      </c>
      <c r="V819" t="str">
        <f t="shared" si="77"/>
        <v xml:space="preserve"> </v>
      </c>
      <c r="Y819" s="162" t="e">
        <f>VLOOKUP(B819,Crewlist!AS:AU,3,FALSE)</f>
        <v>#N/A</v>
      </c>
      <c r="Z819" s="163">
        <f t="shared" si="76"/>
        <v>0</v>
      </c>
    </row>
    <row r="820" spans="2:26">
      <c r="B820" s="171">
        <v>819</v>
      </c>
      <c r="C820" s="169"/>
      <c r="N820" s="201">
        <v>0</v>
      </c>
      <c r="Q820">
        <f t="shared" si="78"/>
        <v>0</v>
      </c>
      <c r="R820">
        <f t="shared" si="75"/>
        <v>818</v>
      </c>
      <c r="S820">
        <f>IFERROR(SEARCH(Crewlist!$P$5,V820)+ROW()/100000,"")</f>
        <v>1.0082</v>
      </c>
      <c r="T820">
        <f t="shared" si="79"/>
        <v>819</v>
      </c>
      <c r="U820">
        <f t="shared" si="80"/>
        <v>0</v>
      </c>
      <c r="V820" t="str">
        <f t="shared" si="77"/>
        <v xml:space="preserve"> </v>
      </c>
      <c r="Y820" s="162" t="e">
        <f>VLOOKUP(B820,Crewlist!AS:AU,3,FALSE)</f>
        <v>#N/A</v>
      </c>
      <c r="Z820" s="163">
        <f t="shared" si="76"/>
        <v>0</v>
      </c>
    </row>
    <row r="821" spans="2:26">
      <c r="B821" s="202">
        <v>820</v>
      </c>
      <c r="C821" s="169"/>
      <c r="N821" s="201">
        <v>0</v>
      </c>
      <c r="Q821">
        <f t="shared" si="78"/>
        <v>0</v>
      </c>
      <c r="R821">
        <f t="shared" si="75"/>
        <v>819</v>
      </c>
      <c r="S821">
        <f>IFERROR(SEARCH(Crewlist!$P$5,V821)+ROW()/100000,"")</f>
        <v>1.0082100000000001</v>
      </c>
      <c r="T821">
        <f t="shared" si="79"/>
        <v>820</v>
      </c>
      <c r="U821">
        <f t="shared" si="80"/>
        <v>0</v>
      </c>
      <c r="V821" t="str">
        <f t="shared" si="77"/>
        <v xml:space="preserve"> </v>
      </c>
      <c r="Y821" s="162" t="e">
        <f>VLOOKUP(B821,Crewlist!AS:AU,3,FALSE)</f>
        <v>#N/A</v>
      </c>
      <c r="Z821" s="163">
        <f t="shared" si="76"/>
        <v>0</v>
      </c>
    </row>
    <row r="822" spans="2:26">
      <c r="B822" s="171">
        <v>821</v>
      </c>
      <c r="C822" s="169"/>
      <c r="N822" s="201">
        <v>0</v>
      </c>
      <c r="Q822">
        <f t="shared" si="78"/>
        <v>0</v>
      </c>
      <c r="R822">
        <f t="shared" si="75"/>
        <v>820</v>
      </c>
      <c r="S822">
        <f>IFERROR(SEARCH(Crewlist!$P$5,V822)+ROW()/100000,"")</f>
        <v>1.0082199999999999</v>
      </c>
      <c r="T822">
        <f t="shared" si="79"/>
        <v>821</v>
      </c>
      <c r="U822">
        <f t="shared" si="80"/>
        <v>0</v>
      </c>
      <c r="V822" t="str">
        <f t="shared" si="77"/>
        <v xml:space="preserve"> </v>
      </c>
      <c r="Y822" s="162" t="e">
        <f>VLOOKUP(B822,Crewlist!AS:AU,3,FALSE)</f>
        <v>#N/A</v>
      </c>
      <c r="Z822" s="163">
        <f t="shared" si="76"/>
        <v>0</v>
      </c>
    </row>
    <row r="823" spans="2:26">
      <c r="B823" s="171">
        <v>822</v>
      </c>
      <c r="C823" s="169"/>
      <c r="N823" s="201">
        <v>0</v>
      </c>
      <c r="Q823">
        <f t="shared" si="78"/>
        <v>0</v>
      </c>
      <c r="R823">
        <f t="shared" si="75"/>
        <v>821</v>
      </c>
      <c r="S823">
        <f>IFERROR(SEARCH(Crewlist!$P$5,V823)+ROW()/100000,"")</f>
        <v>1.00823</v>
      </c>
      <c r="T823">
        <f t="shared" si="79"/>
        <v>822</v>
      </c>
      <c r="U823">
        <f t="shared" si="80"/>
        <v>0</v>
      </c>
      <c r="V823" t="str">
        <f t="shared" si="77"/>
        <v xml:space="preserve"> </v>
      </c>
      <c r="Y823" s="162" t="e">
        <f>VLOOKUP(B823,Crewlist!AS:AU,3,FALSE)</f>
        <v>#N/A</v>
      </c>
      <c r="Z823" s="163">
        <f t="shared" si="76"/>
        <v>0</v>
      </c>
    </row>
    <row r="824" spans="2:26">
      <c r="B824" s="202">
        <v>823</v>
      </c>
      <c r="C824" s="169"/>
      <c r="N824" s="201">
        <v>0</v>
      </c>
      <c r="Q824">
        <f t="shared" si="78"/>
        <v>0</v>
      </c>
      <c r="R824">
        <f t="shared" si="75"/>
        <v>822</v>
      </c>
      <c r="S824">
        <f>IFERROR(SEARCH(Crewlist!$P$5,V824)+ROW()/100000,"")</f>
        <v>1.00824</v>
      </c>
      <c r="T824">
        <f t="shared" si="79"/>
        <v>823</v>
      </c>
      <c r="U824">
        <f t="shared" si="80"/>
        <v>0</v>
      </c>
      <c r="V824" t="str">
        <f t="shared" si="77"/>
        <v xml:space="preserve"> </v>
      </c>
      <c r="Y824" s="162" t="e">
        <f>VLOOKUP(B824,Crewlist!AS:AU,3,FALSE)</f>
        <v>#N/A</v>
      </c>
      <c r="Z824" s="163">
        <f t="shared" si="76"/>
        <v>0</v>
      </c>
    </row>
    <row r="825" spans="2:26">
      <c r="B825" s="171">
        <v>824</v>
      </c>
      <c r="C825" s="169"/>
      <c r="N825" s="201">
        <v>0</v>
      </c>
      <c r="Q825">
        <f t="shared" si="78"/>
        <v>0</v>
      </c>
      <c r="R825">
        <f t="shared" si="75"/>
        <v>823</v>
      </c>
      <c r="S825">
        <f>IFERROR(SEARCH(Crewlist!$P$5,V825)+ROW()/100000,"")</f>
        <v>1.0082500000000001</v>
      </c>
      <c r="T825">
        <f t="shared" si="79"/>
        <v>824</v>
      </c>
      <c r="U825">
        <f t="shared" si="80"/>
        <v>0</v>
      </c>
      <c r="V825" t="str">
        <f t="shared" si="77"/>
        <v xml:space="preserve"> </v>
      </c>
      <c r="Y825" s="162" t="e">
        <f>VLOOKUP(B825,Crewlist!AS:AU,3,FALSE)</f>
        <v>#N/A</v>
      </c>
      <c r="Z825" s="163">
        <f t="shared" si="76"/>
        <v>0</v>
      </c>
    </row>
    <row r="826" spans="2:26">
      <c r="B826" s="171">
        <v>825</v>
      </c>
      <c r="C826" s="169"/>
      <c r="N826" s="201">
        <v>0</v>
      </c>
      <c r="Q826">
        <f t="shared" si="78"/>
        <v>0</v>
      </c>
      <c r="R826">
        <f t="shared" si="75"/>
        <v>824</v>
      </c>
      <c r="S826">
        <f>IFERROR(SEARCH(Crewlist!$P$5,V826)+ROW()/100000,"")</f>
        <v>1.0082599999999999</v>
      </c>
      <c r="T826">
        <f t="shared" si="79"/>
        <v>825</v>
      </c>
      <c r="U826">
        <f t="shared" si="80"/>
        <v>0</v>
      </c>
      <c r="V826" t="str">
        <f t="shared" si="77"/>
        <v xml:space="preserve"> </v>
      </c>
      <c r="Y826" s="162" t="e">
        <f>VLOOKUP(B826,Crewlist!AS:AU,3,FALSE)</f>
        <v>#N/A</v>
      </c>
      <c r="Z826" s="163">
        <f t="shared" si="76"/>
        <v>0</v>
      </c>
    </row>
    <row r="827" spans="2:26">
      <c r="B827" s="202">
        <v>826</v>
      </c>
      <c r="C827" s="169"/>
      <c r="N827" s="201">
        <v>0</v>
      </c>
      <c r="Q827">
        <f t="shared" si="78"/>
        <v>0</v>
      </c>
      <c r="R827">
        <f t="shared" si="75"/>
        <v>825</v>
      </c>
      <c r="S827">
        <f>IFERROR(SEARCH(Crewlist!$P$5,V827)+ROW()/100000,"")</f>
        <v>1.00827</v>
      </c>
      <c r="T827">
        <f t="shared" si="79"/>
        <v>826</v>
      </c>
      <c r="U827">
        <f t="shared" si="80"/>
        <v>0</v>
      </c>
      <c r="V827" t="str">
        <f t="shared" si="77"/>
        <v xml:space="preserve"> </v>
      </c>
      <c r="Y827" s="162" t="e">
        <f>VLOOKUP(B827,Crewlist!AS:AU,3,FALSE)</f>
        <v>#N/A</v>
      </c>
      <c r="Z827" s="163">
        <f t="shared" si="76"/>
        <v>0</v>
      </c>
    </row>
    <row r="828" spans="2:26">
      <c r="B828" s="171">
        <v>827</v>
      </c>
      <c r="C828" s="169"/>
      <c r="N828" s="201">
        <v>0</v>
      </c>
      <c r="Q828">
        <f t="shared" si="78"/>
        <v>0</v>
      </c>
      <c r="R828">
        <f t="shared" si="75"/>
        <v>826</v>
      </c>
      <c r="S828">
        <f>IFERROR(SEARCH(Crewlist!$P$5,V828)+ROW()/100000,"")</f>
        <v>1.0082800000000001</v>
      </c>
      <c r="T828">
        <f t="shared" si="79"/>
        <v>827</v>
      </c>
      <c r="U828">
        <f t="shared" si="80"/>
        <v>0</v>
      </c>
      <c r="V828" t="str">
        <f t="shared" si="77"/>
        <v xml:space="preserve"> </v>
      </c>
      <c r="Y828" s="162" t="e">
        <f>VLOOKUP(B828,Crewlist!AS:AU,3,FALSE)</f>
        <v>#N/A</v>
      </c>
      <c r="Z828" s="163">
        <f t="shared" si="76"/>
        <v>0</v>
      </c>
    </row>
    <row r="829" spans="2:26">
      <c r="B829" s="171">
        <v>828</v>
      </c>
      <c r="C829" s="169"/>
      <c r="N829" s="201">
        <v>0</v>
      </c>
      <c r="Q829">
        <f t="shared" si="78"/>
        <v>0</v>
      </c>
      <c r="R829">
        <f t="shared" si="75"/>
        <v>827</v>
      </c>
      <c r="S829">
        <f>IFERROR(SEARCH(Crewlist!$P$5,V829)+ROW()/100000,"")</f>
        <v>1.0082899999999999</v>
      </c>
      <c r="T829">
        <f t="shared" si="79"/>
        <v>828</v>
      </c>
      <c r="U829">
        <f t="shared" si="80"/>
        <v>0</v>
      </c>
      <c r="V829" t="str">
        <f t="shared" si="77"/>
        <v xml:space="preserve"> </v>
      </c>
      <c r="Y829" s="162" t="e">
        <f>VLOOKUP(B829,Crewlist!AS:AU,3,FALSE)</f>
        <v>#N/A</v>
      </c>
      <c r="Z829" s="163">
        <f t="shared" si="76"/>
        <v>0</v>
      </c>
    </row>
    <row r="830" spans="2:26">
      <c r="B830" s="202">
        <v>829</v>
      </c>
      <c r="C830" s="169"/>
      <c r="N830" s="201">
        <v>0</v>
      </c>
      <c r="Q830">
        <f t="shared" si="78"/>
        <v>0</v>
      </c>
      <c r="R830">
        <f t="shared" si="75"/>
        <v>828</v>
      </c>
      <c r="S830">
        <f>IFERROR(SEARCH(Crewlist!$P$5,V830)+ROW()/100000,"")</f>
        <v>1.0083</v>
      </c>
      <c r="T830">
        <f t="shared" si="79"/>
        <v>829</v>
      </c>
      <c r="U830">
        <f t="shared" si="80"/>
        <v>0</v>
      </c>
      <c r="V830" t="str">
        <f t="shared" si="77"/>
        <v xml:space="preserve"> </v>
      </c>
      <c r="Y830" s="162" t="e">
        <f>VLOOKUP(B830,Crewlist!AS:AU,3,FALSE)</f>
        <v>#N/A</v>
      </c>
      <c r="Z830" s="163">
        <f t="shared" si="76"/>
        <v>0</v>
      </c>
    </row>
    <row r="831" spans="2:26">
      <c r="B831" s="171">
        <v>830</v>
      </c>
      <c r="C831" s="169"/>
      <c r="N831" s="201">
        <v>0</v>
      </c>
      <c r="Q831">
        <f t="shared" si="78"/>
        <v>0</v>
      </c>
      <c r="R831">
        <f t="shared" si="75"/>
        <v>829</v>
      </c>
      <c r="S831">
        <f>IFERROR(SEARCH(Crewlist!$P$5,V831)+ROW()/100000,"")</f>
        <v>1.00831</v>
      </c>
      <c r="T831">
        <f t="shared" si="79"/>
        <v>830</v>
      </c>
      <c r="U831">
        <f t="shared" si="80"/>
        <v>0</v>
      </c>
      <c r="V831" t="str">
        <f t="shared" si="77"/>
        <v xml:space="preserve"> </v>
      </c>
      <c r="Y831" s="162" t="e">
        <f>VLOOKUP(B831,Crewlist!AS:AU,3,FALSE)</f>
        <v>#N/A</v>
      </c>
      <c r="Z831" s="163">
        <f t="shared" si="76"/>
        <v>0</v>
      </c>
    </row>
    <row r="832" spans="2:26">
      <c r="B832" s="171">
        <v>831</v>
      </c>
      <c r="C832" s="169"/>
      <c r="N832" s="201">
        <v>0</v>
      </c>
      <c r="Q832">
        <f t="shared" si="78"/>
        <v>0</v>
      </c>
      <c r="R832">
        <f t="shared" si="75"/>
        <v>830</v>
      </c>
      <c r="S832">
        <f>IFERROR(SEARCH(Crewlist!$P$5,V832)+ROW()/100000,"")</f>
        <v>1.0083200000000001</v>
      </c>
      <c r="T832">
        <f t="shared" si="79"/>
        <v>831</v>
      </c>
      <c r="U832">
        <f t="shared" si="80"/>
        <v>0</v>
      </c>
      <c r="V832" t="str">
        <f t="shared" si="77"/>
        <v xml:space="preserve"> </v>
      </c>
      <c r="Y832" s="162" t="e">
        <f>VLOOKUP(B832,Crewlist!AS:AU,3,FALSE)</f>
        <v>#N/A</v>
      </c>
      <c r="Z832" s="163">
        <f t="shared" si="76"/>
        <v>0</v>
      </c>
    </row>
    <row r="833" spans="2:26">
      <c r="B833" s="202">
        <v>832</v>
      </c>
      <c r="C833" s="169"/>
      <c r="N833" s="201">
        <v>0</v>
      </c>
      <c r="Q833">
        <f t="shared" si="78"/>
        <v>0</v>
      </c>
      <c r="R833">
        <f t="shared" si="75"/>
        <v>831</v>
      </c>
      <c r="S833">
        <f>IFERROR(SEARCH(Crewlist!$P$5,V833)+ROW()/100000,"")</f>
        <v>1.0083299999999999</v>
      </c>
      <c r="T833">
        <f t="shared" si="79"/>
        <v>832</v>
      </c>
      <c r="U833">
        <f t="shared" si="80"/>
        <v>0</v>
      </c>
      <c r="V833" t="str">
        <f t="shared" si="77"/>
        <v xml:space="preserve"> </v>
      </c>
      <c r="Y833" s="162" t="e">
        <f>VLOOKUP(B833,Crewlist!AS:AU,3,FALSE)</f>
        <v>#N/A</v>
      </c>
      <c r="Z833" s="163">
        <f t="shared" si="76"/>
        <v>0</v>
      </c>
    </row>
    <row r="834" spans="2:26">
      <c r="B834" s="171">
        <v>833</v>
      </c>
      <c r="C834" s="169"/>
      <c r="N834" s="201">
        <v>0</v>
      </c>
      <c r="Q834">
        <f t="shared" si="78"/>
        <v>0</v>
      </c>
      <c r="R834">
        <f t="shared" ref="R834:R897" si="81">IFERROR(RANK(S834,$S$2:$S$1998,1),"")</f>
        <v>832</v>
      </c>
      <c r="S834">
        <f>IFERROR(SEARCH(Crewlist!$P$5,V834)+ROW()/100000,"")</f>
        <v>1.00834</v>
      </c>
      <c r="T834">
        <f t="shared" si="79"/>
        <v>833</v>
      </c>
      <c r="U834">
        <f t="shared" si="80"/>
        <v>0</v>
      </c>
      <c r="V834" t="str">
        <f t="shared" si="77"/>
        <v xml:space="preserve"> </v>
      </c>
      <c r="Y834" s="162" t="e">
        <f>VLOOKUP(B834,Crewlist!AS:AU,3,FALSE)</f>
        <v>#N/A</v>
      </c>
      <c r="Z834" s="163">
        <f t="shared" ref="Z834:Z897" si="82">IF(ISNUMBER(SEARCH("",Y834)),Y834,N834)</f>
        <v>0</v>
      </c>
    </row>
    <row r="835" spans="2:26">
      <c r="B835" s="171">
        <v>834</v>
      </c>
      <c r="C835" s="169"/>
      <c r="N835" s="201">
        <v>0</v>
      </c>
      <c r="Q835">
        <f t="shared" si="78"/>
        <v>0</v>
      </c>
      <c r="R835">
        <f t="shared" si="81"/>
        <v>833</v>
      </c>
      <c r="S835">
        <f>IFERROR(SEARCH(Crewlist!$P$5,V835)+ROW()/100000,"")</f>
        <v>1.0083500000000001</v>
      </c>
      <c r="T835">
        <f t="shared" si="79"/>
        <v>834</v>
      </c>
      <c r="U835">
        <f t="shared" si="80"/>
        <v>0</v>
      </c>
      <c r="V835" t="str">
        <f t="shared" ref="V835:V898" si="83">CONCATENATE(C835," ",D835)</f>
        <v xml:space="preserve"> </v>
      </c>
      <c r="Y835" s="162" t="e">
        <f>VLOOKUP(B835,Crewlist!AS:AU,3,FALSE)</f>
        <v>#N/A</v>
      </c>
      <c r="Z835" s="163">
        <f t="shared" si="82"/>
        <v>0</v>
      </c>
    </row>
    <row r="836" spans="2:26">
      <c r="B836" s="202">
        <v>835</v>
      </c>
      <c r="C836" s="169"/>
      <c r="N836" s="201">
        <v>0</v>
      </c>
      <c r="Q836">
        <f t="shared" si="78"/>
        <v>0</v>
      </c>
      <c r="R836">
        <f t="shared" si="81"/>
        <v>834</v>
      </c>
      <c r="S836">
        <f>IFERROR(SEARCH(Crewlist!$P$5,V836)+ROW()/100000,"")</f>
        <v>1.0083599999999999</v>
      </c>
      <c r="T836">
        <f t="shared" si="79"/>
        <v>835</v>
      </c>
      <c r="U836">
        <f t="shared" si="80"/>
        <v>0</v>
      </c>
      <c r="V836" t="str">
        <f t="shared" si="83"/>
        <v xml:space="preserve"> </v>
      </c>
      <c r="Y836" s="162" t="e">
        <f>VLOOKUP(B836,Crewlist!AS:AU,3,FALSE)</f>
        <v>#N/A</v>
      </c>
      <c r="Z836" s="163">
        <f t="shared" si="82"/>
        <v>0</v>
      </c>
    </row>
    <row r="837" spans="2:26">
      <c r="B837" s="171">
        <v>836</v>
      </c>
      <c r="C837" s="169"/>
      <c r="N837" s="201">
        <v>0</v>
      </c>
      <c r="Q837">
        <f t="shared" si="78"/>
        <v>0</v>
      </c>
      <c r="R837">
        <f t="shared" si="81"/>
        <v>835</v>
      </c>
      <c r="S837">
        <f>IFERROR(SEARCH(Crewlist!$P$5,V837)+ROW()/100000,"")</f>
        <v>1.00837</v>
      </c>
      <c r="T837">
        <f t="shared" si="79"/>
        <v>836</v>
      </c>
      <c r="U837">
        <f t="shared" si="80"/>
        <v>0</v>
      </c>
      <c r="V837" t="str">
        <f t="shared" si="83"/>
        <v xml:space="preserve"> </v>
      </c>
      <c r="Y837" s="162" t="e">
        <f>VLOOKUP(B837,Crewlist!AS:AU,3,FALSE)</f>
        <v>#N/A</v>
      </c>
      <c r="Z837" s="163">
        <f t="shared" si="82"/>
        <v>0</v>
      </c>
    </row>
    <row r="838" spans="2:26">
      <c r="B838" s="171">
        <v>837</v>
      </c>
      <c r="C838" s="169"/>
      <c r="N838" s="201">
        <v>0</v>
      </c>
      <c r="Q838">
        <f t="shared" si="78"/>
        <v>0</v>
      </c>
      <c r="R838">
        <f t="shared" si="81"/>
        <v>836</v>
      </c>
      <c r="S838">
        <f>IFERROR(SEARCH(Crewlist!$P$5,V838)+ROW()/100000,"")</f>
        <v>1.0083800000000001</v>
      </c>
      <c r="T838">
        <f t="shared" si="79"/>
        <v>837</v>
      </c>
      <c r="U838">
        <f t="shared" si="80"/>
        <v>0</v>
      </c>
      <c r="V838" t="str">
        <f t="shared" si="83"/>
        <v xml:space="preserve"> </v>
      </c>
      <c r="Y838" s="162" t="e">
        <f>VLOOKUP(B838,Crewlist!AS:AU,3,FALSE)</f>
        <v>#N/A</v>
      </c>
      <c r="Z838" s="163">
        <f t="shared" si="82"/>
        <v>0</v>
      </c>
    </row>
    <row r="839" spans="2:26">
      <c r="B839" s="202">
        <v>838</v>
      </c>
      <c r="C839" s="169"/>
      <c r="N839" s="201">
        <v>0</v>
      </c>
      <c r="Q839">
        <f t="shared" si="78"/>
        <v>0</v>
      </c>
      <c r="R839">
        <f t="shared" si="81"/>
        <v>837</v>
      </c>
      <c r="S839">
        <f>IFERROR(SEARCH(Crewlist!$P$5,V839)+ROW()/100000,"")</f>
        <v>1.0083899999999999</v>
      </c>
      <c r="T839">
        <f t="shared" si="79"/>
        <v>838</v>
      </c>
      <c r="U839">
        <f t="shared" si="80"/>
        <v>0</v>
      </c>
      <c r="V839" t="str">
        <f t="shared" si="83"/>
        <v xml:space="preserve"> </v>
      </c>
      <c r="Y839" s="162" t="e">
        <f>VLOOKUP(B839,Crewlist!AS:AU,3,FALSE)</f>
        <v>#N/A</v>
      </c>
      <c r="Z839" s="163">
        <f t="shared" si="82"/>
        <v>0</v>
      </c>
    </row>
    <row r="840" spans="2:26">
      <c r="B840" s="171">
        <v>839</v>
      </c>
      <c r="C840" s="169"/>
      <c r="N840" s="201">
        <v>0</v>
      </c>
      <c r="Q840">
        <f t="shared" si="78"/>
        <v>0</v>
      </c>
      <c r="R840">
        <f t="shared" si="81"/>
        <v>838</v>
      </c>
      <c r="S840">
        <f>IFERROR(SEARCH(Crewlist!$P$5,V840)+ROW()/100000,"")</f>
        <v>1.0084</v>
      </c>
      <c r="T840">
        <f t="shared" si="79"/>
        <v>839</v>
      </c>
      <c r="U840">
        <f t="shared" si="80"/>
        <v>0</v>
      </c>
      <c r="V840" t="str">
        <f t="shared" si="83"/>
        <v xml:space="preserve"> </v>
      </c>
      <c r="Y840" s="162" t="e">
        <f>VLOOKUP(B840,Crewlist!AS:AU,3,FALSE)</f>
        <v>#N/A</v>
      </c>
      <c r="Z840" s="163">
        <f t="shared" si="82"/>
        <v>0</v>
      </c>
    </row>
    <row r="841" spans="2:26">
      <c r="B841" s="171">
        <v>840</v>
      </c>
      <c r="C841" s="169"/>
      <c r="N841" s="201">
        <v>0</v>
      </c>
      <c r="Q841">
        <f t="shared" ref="Q841:Q904" si="84">IF(C841&lt;&gt; "",B841,0)</f>
        <v>0</v>
      </c>
      <c r="R841">
        <f t="shared" si="81"/>
        <v>839</v>
      </c>
      <c r="S841">
        <f>IFERROR(SEARCH(Crewlist!$P$5,V841)+ROW()/100000,"")</f>
        <v>1.00841</v>
      </c>
      <c r="T841">
        <f t="shared" ref="T841:T904" si="85">B841</f>
        <v>840</v>
      </c>
      <c r="U841">
        <f t="shared" ref="U841:U904" si="86">C841</f>
        <v>0</v>
      </c>
      <c r="V841" t="str">
        <f t="shared" si="83"/>
        <v xml:space="preserve"> </v>
      </c>
      <c r="Y841" s="162" t="e">
        <f>VLOOKUP(B841,Crewlist!AS:AU,3,FALSE)</f>
        <v>#N/A</v>
      </c>
      <c r="Z841" s="163">
        <f t="shared" si="82"/>
        <v>0</v>
      </c>
    </row>
    <row r="842" spans="2:26">
      <c r="B842" s="202">
        <v>841</v>
      </c>
      <c r="C842" s="169"/>
      <c r="N842" s="201">
        <v>0</v>
      </c>
      <c r="Q842">
        <f t="shared" si="84"/>
        <v>0</v>
      </c>
      <c r="R842">
        <f t="shared" si="81"/>
        <v>840</v>
      </c>
      <c r="S842">
        <f>IFERROR(SEARCH(Crewlist!$P$5,V842)+ROW()/100000,"")</f>
        <v>1.0084200000000001</v>
      </c>
      <c r="T842">
        <f t="shared" si="85"/>
        <v>841</v>
      </c>
      <c r="U842">
        <f t="shared" si="86"/>
        <v>0</v>
      </c>
      <c r="V842" t="str">
        <f t="shared" si="83"/>
        <v xml:space="preserve"> </v>
      </c>
      <c r="Y842" s="162" t="e">
        <f>VLOOKUP(B842,Crewlist!AS:AU,3,FALSE)</f>
        <v>#N/A</v>
      </c>
      <c r="Z842" s="163">
        <f t="shared" si="82"/>
        <v>0</v>
      </c>
    </row>
    <row r="843" spans="2:26">
      <c r="B843" s="171">
        <v>842</v>
      </c>
      <c r="C843" s="169"/>
      <c r="N843" s="201">
        <v>0</v>
      </c>
      <c r="Q843">
        <f t="shared" si="84"/>
        <v>0</v>
      </c>
      <c r="R843">
        <f t="shared" si="81"/>
        <v>841</v>
      </c>
      <c r="S843">
        <f>IFERROR(SEARCH(Crewlist!$P$5,V843)+ROW()/100000,"")</f>
        <v>1.0084299999999999</v>
      </c>
      <c r="T843">
        <f t="shared" si="85"/>
        <v>842</v>
      </c>
      <c r="U843">
        <f t="shared" si="86"/>
        <v>0</v>
      </c>
      <c r="V843" t="str">
        <f t="shared" si="83"/>
        <v xml:space="preserve"> </v>
      </c>
      <c r="Y843" s="162" t="e">
        <f>VLOOKUP(B843,Crewlist!AS:AU,3,FALSE)</f>
        <v>#N/A</v>
      </c>
      <c r="Z843" s="163">
        <f t="shared" si="82"/>
        <v>0</v>
      </c>
    </row>
    <row r="844" spans="2:26">
      <c r="B844" s="171">
        <v>843</v>
      </c>
      <c r="C844" s="169"/>
      <c r="N844" s="201">
        <v>0</v>
      </c>
      <c r="Q844">
        <f t="shared" si="84"/>
        <v>0</v>
      </c>
      <c r="R844">
        <f t="shared" si="81"/>
        <v>842</v>
      </c>
      <c r="S844">
        <f>IFERROR(SEARCH(Crewlist!$P$5,V844)+ROW()/100000,"")</f>
        <v>1.00844</v>
      </c>
      <c r="T844">
        <f t="shared" si="85"/>
        <v>843</v>
      </c>
      <c r="U844">
        <f t="shared" si="86"/>
        <v>0</v>
      </c>
      <c r="V844" t="str">
        <f t="shared" si="83"/>
        <v xml:space="preserve"> </v>
      </c>
      <c r="Y844" s="162" t="e">
        <f>VLOOKUP(B844,Crewlist!AS:AU,3,FALSE)</f>
        <v>#N/A</v>
      </c>
      <c r="Z844" s="163">
        <f t="shared" si="82"/>
        <v>0</v>
      </c>
    </row>
    <row r="845" spans="2:26">
      <c r="B845" s="202">
        <v>844</v>
      </c>
      <c r="C845" s="169"/>
      <c r="N845" s="201">
        <v>0</v>
      </c>
      <c r="Q845">
        <f t="shared" si="84"/>
        <v>0</v>
      </c>
      <c r="R845">
        <f t="shared" si="81"/>
        <v>843</v>
      </c>
      <c r="S845">
        <f>IFERROR(SEARCH(Crewlist!$P$5,V845)+ROW()/100000,"")</f>
        <v>1.0084500000000001</v>
      </c>
      <c r="T845">
        <f t="shared" si="85"/>
        <v>844</v>
      </c>
      <c r="U845">
        <f t="shared" si="86"/>
        <v>0</v>
      </c>
      <c r="V845" t="str">
        <f t="shared" si="83"/>
        <v xml:space="preserve"> </v>
      </c>
      <c r="Y845" s="162" t="e">
        <f>VLOOKUP(B845,Crewlist!AS:AU,3,FALSE)</f>
        <v>#N/A</v>
      </c>
      <c r="Z845" s="163">
        <f t="shared" si="82"/>
        <v>0</v>
      </c>
    </row>
    <row r="846" spans="2:26">
      <c r="B846" s="171">
        <v>845</v>
      </c>
      <c r="C846" s="169"/>
      <c r="N846" s="201">
        <v>0</v>
      </c>
      <c r="Q846">
        <f t="shared" si="84"/>
        <v>0</v>
      </c>
      <c r="R846">
        <f t="shared" si="81"/>
        <v>844</v>
      </c>
      <c r="S846">
        <f>IFERROR(SEARCH(Crewlist!$P$5,V846)+ROW()/100000,"")</f>
        <v>1.0084599999999999</v>
      </c>
      <c r="T846">
        <f t="shared" si="85"/>
        <v>845</v>
      </c>
      <c r="U846">
        <f t="shared" si="86"/>
        <v>0</v>
      </c>
      <c r="V846" t="str">
        <f t="shared" si="83"/>
        <v xml:space="preserve"> </v>
      </c>
      <c r="Y846" s="162" t="e">
        <f>VLOOKUP(B846,Crewlist!AS:AU,3,FALSE)</f>
        <v>#N/A</v>
      </c>
      <c r="Z846" s="163">
        <f t="shared" si="82"/>
        <v>0</v>
      </c>
    </row>
    <row r="847" spans="2:26">
      <c r="B847" s="171">
        <v>846</v>
      </c>
      <c r="C847" s="169"/>
      <c r="N847" s="201">
        <v>0</v>
      </c>
      <c r="Q847">
        <f t="shared" si="84"/>
        <v>0</v>
      </c>
      <c r="R847">
        <f t="shared" si="81"/>
        <v>845</v>
      </c>
      <c r="S847">
        <f>IFERROR(SEARCH(Crewlist!$P$5,V847)+ROW()/100000,"")</f>
        <v>1.00847</v>
      </c>
      <c r="T847">
        <f t="shared" si="85"/>
        <v>846</v>
      </c>
      <c r="U847">
        <f t="shared" si="86"/>
        <v>0</v>
      </c>
      <c r="V847" t="str">
        <f t="shared" si="83"/>
        <v xml:space="preserve"> </v>
      </c>
      <c r="Y847" s="162" t="e">
        <f>VLOOKUP(B847,Crewlist!AS:AU,3,FALSE)</f>
        <v>#N/A</v>
      </c>
      <c r="Z847" s="163">
        <f t="shared" si="82"/>
        <v>0</v>
      </c>
    </row>
    <row r="848" spans="2:26">
      <c r="B848" s="202">
        <v>847</v>
      </c>
      <c r="C848" s="169"/>
      <c r="N848" s="201">
        <v>0</v>
      </c>
      <c r="Q848">
        <f t="shared" si="84"/>
        <v>0</v>
      </c>
      <c r="R848">
        <f t="shared" si="81"/>
        <v>846</v>
      </c>
      <c r="S848">
        <f>IFERROR(SEARCH(Crewlist!$P$5,V848)+ROW()/100000,"")</f>
        <v>1.00848</v>
      </c>
      <c r="T848">
        <f t="shared" si="85"/>
        <v>847</v>
      </c>
      <c r="U848">
        <f t="shared" si="86"/>
        <v>0</v>
      </c>
      <c r="V848" t="str">
        <f t="shared" si="83"/>
        <v xml:space="preserve"> </v>
      </c>
      <c r="Y848" s="162" t="e">
        <f>VLOOKUP(B848,Crewlist!AS:AU,3,FALSE)</f>
        <v>#N/A</v>
      </c>
      <c r="Z848" s="163">
        <f t="shared" si="82"/>
        <v>0</v>
      </c>
    </row>
    <row r="849" spans="2:26">
      <c r="B849" s="171">
        <v>848</v>
      </c>
      <c r="C849" s="169"/>
      <c r="N849" s="201">
        <v>0</v>
      </c>
      <c r="Q849">
        <f t="shared" si="84"/>
        <v>0</v>
      </c>
      <c r="R849">
        <f t="shared" si="81"/>
        <v>847</v>
      </c>
      <c r="S849">
        <f>IFERROR(SEARCH(Crewlist!$P$5,V849)+ROW()/100000,"")</f>
        <v>1.0084900000000001</v>
      </c>
      <c r="T849">
        <f t="shared" si="85"/>
        <v>848</v>
      </c>
      <c r="U849">
        <f t="shared" si="86"/>
        <v>0</v>
      </c>
      <c r="V849" t="str">
        <f t="shared" si="83"/>
        <v xml:space="preserve"> </v>
      </c>
      <c r="Y849" s="162" t="e">
        <f>VLOOKUP(B849,Crewlist!AS:AU,3,FALSE)</f>
        <v>#N/A</v>
      </c>
      <c r="Z849" s="163">
        <f t="shared" si="82"/>
        <v>0</v>
      </c>
    </row>
    <row r="850" spans="2:26">
      <c r="B850" s="171">
        <v>849</v>
      </c>
      <c r="C850" s="169"/>
      <c r="N850" s="201">
        <v>0</v>
      </c>
      <c r="Q850">
        <f t="shared" si="84"/>
        <v>0</v>
      </c>
      <c r="R850">
        <f t="shared" si="81"/>
        <v>848</v>
      </c>
      <c r="S850">
        <f>IFERROR(SEARCH(Crewlist!$P$5,V850)+ROW()/100000,"")</f>
        <v>1.0085</v>
      </c>
      <c r="T850">
        <f t="shared" si="85"/>
        <v>849</v>
      </c>
      <c r="U850">
        <f t="shared" si="86"/>
        <v>0</v>
      </c>
      <c r="V850" t="str">
        <f t="shared" si="83"/>
        <v xml:space="preserve"> </v>
      </c>
      <c r="Y850" s="162" t="e">
        <f>VLOOKUP(B850,Crewlist!AS:AU,3,FALSE)</f>
        <v>#N/A</v>
      </c>
      <c r="Z850" s="163">
        <f t="shared" si="82"/>
        <v>0</v>
      </c>
    </row>
    <row r="851" spans="2:26">
      <c r="B851" s="202">
        <v>850</v>
      </c>
      <c r="C851" s="169"/>
      <c r="N851" s="201">
        <v>0</v>
      </c>
      <c r="Q851">
        <f t="shared" si="84"/>
        <v>0</v>
      </c>
      <c r="R851">
        <f t="shared" si="81"/>
        <v>849</v>
      </c>
      <c r="S851">
        <f>IFERROR(SEARCH(Crewlist!$P$5,V851)+ROW()/100000,"")</f>
        <v>1.00851</v>
      </c>
      <c r="T851">
        <f t="shared" si="85"/>
        <v>850</v>
      </c>
      <c r="U851">
        <f t="shared" si="86"/>
        <v>0</v>
      </c>
      <c r="V851" t="str">
        <f t="shared" si="83"/>
        <v xml:space="preserve"> </v>
      </c>
      <c r="Y851" s="162" t="e">
        <f>VLOOKUP(B851,Crewlist!AS:AU,3,FALSE)</f>
        <v>#N/A</v>
      </c>
      <c r="Z851" s="163">
        <f t="shared" si="82"/>
        <v>0</v>
      </c>
    </row>
    <row r="852" spans="2:26">
      <c r="B852" s="171">
        <v>851</v>
      </c>
      <c r="C852" s="169"/>
      <c r="N852" s="201">
        <v>0</v>
      </c>
      <c r="Q852">
        <f t="shared" si="84"/>
        <v>0</v>
      </c>
      <c r="R852">
        <f t="shared" si="81"/>
        <v>850</v>
      </c>
      <c r="S852">
        <f>IFERROR(SEARCH(Crewlist!$P$5,V852)+ROW()/100000,"")</f>
        <v>1.0085200000000001</v>
      </c>
      <c r="T852">
        <f t="shared" si="85"/>
        <v>851</v>
      </c>
      <c r="U852">
        <f t="shared" si="86"/>
        <v>0</v>
      </c>
      <c r="V852" t="str">
        <f t="shared" si="83"/>
        <v xml:space="preserve"> </v>
      </c>
      <c r="Y852" s="162" t="e">
        <f>VLOOKUP(B852,Crewlist!AS:AU,3,FALSE)</f>
        <v>#N/A</v>
      </c>
      <c r="Z852" s="163">
        <f t="shared" si="82"/>
        <v>0</v>
      </c>
    </row>
    <row r="853" spans="2:26">
      <c r="B853" s="171">
        <v>852</v>
      </c>
      <c r="C853" s="169"/>
      <c r="N853" s="201">
        <v>0</v>
      </c>
      <c r="Q853">
        <f t="shared" si="84"/>
        <v>0</v>
      </c>
      <c r="R853">
        <f t="shared" si="81"/>
        <v>851</v>
      </c>
      <c r="S853">
        <f>IFERROR(SEARCH(Crewlist!$P$5,V853)+ROW()/100000,"")</f>
        <v>1.0085299999999999</v>
      </c>
      <c r="T853">
        <f t="shared" si="85"/>
        <v>852</v>
      </c>
      <c r="U853">
        <f t="shared" si="86"/>
        <v>0</v>
      </c>
      <c r="V853" t="str">
        <f t="shared" si="83"/>
        <v xml:space="preserve"> </v>
      </c>
      <c r="Y853" s="162" t="e">
        <f>VLOOKUP(B853,Crewlist!AS:AU,3,FALSE)</f>
        <v>#N/A</v>
      </c>
      <c r="Z853" s="163">
        <f t="shared" si="82"/>
        <v>0</v>
      </c>
    </row>
    <row r="854" spans="2:26">
      <c r="B854" s="202">
        <v>853</v>
      </c>
      <c r="C854" s="169"/>
      <c r="N854" s="201">
        <v>0</v>
      </c>
      <c r="Q854">
        <f t="shared" si="84"/>
        <v>0</v>
      </c>
      <c r="R854">
        <f t="shared" si="81"/>
        <v>852</v>
      </c>
      <c r="S854">
        <f>IFERROR(SEARCH(Crewlist!$P$5,V854)+ROW()/100000,"")</f>
        <v>1.00854</v>
      </c>
      <c r="T854">
        <f t="shared" si="85"/>
        <v>853</v>
      </c>
      <c r="U854">
        <f t="shared" si="86"/>
        <v>0</v>
      </c>
      <c r="V854" t="str">
        <f t="shared" si="83"/>
        <v xml:space="preserve"> </v>
      </c>
      <c r="Y854" s="162" t="e">
        <f>VLOOKUP(B854,Crewlist!AS:AU,3,FALSE)</f>
        <v>#N/A</v>
      </c>
      <c r="Z854" s="163">
        <f t="shared" si="82"/>
        <v>0</v>
      </c>
    </row>
    <row r="855" spans="2:26">
      <c r="B855" s="171">
        <v>854</v>
      </c>
      <c r="C855" s="169"/>
      <c r="N855" s="201">
        <v>0</v>
      </c>
      <c r="Q855">
        <f t="shared" si="84"/>
        <v>0</v>
      </c>
      <c r="R855">
        <f t="shared" si="81"/>
        <v>853</v>
      </c>
      <c r="S855">
        <f>IFERROR(SEARCH(Crewlist!$P$5,V855)+ROW()/100000,"")</f>
        <v>1.0085500000000001</v>
      </c>
      <c r="T855">
        <f t="shared" si="85"/>
        <v>854</v>
      </c>
      <c r="U855">
        <f t="shared" si="86"/>
        <v>0</v>
      </c>
      <c r="V855" t="str">
        <f t="shared" si="83"/>
        <v xml:space="preserve"> </v>
      </c>
      <c r="Y855" s="162" t="e">
        <f>VLOOKUP(B855,Crewlist!AS:AU,3,FALSE)</f>
        <v>#N/A</v>
      </c>
      <c r="Z855" s="163">
        <f t="shared" si="82"/>
        <v>0</v>
      </c>
    </row>
    <row r="856" spans="2:26">
      <c r="B856" s="171">
        <v>855</v>
      </c>
      <c r="C856" s="169"/>
      <c r="N856" s="201">
        <v>0</v>
      </c>
      <c r="Q856">
        <f t="shared" si="84"/>
        <v>0</v>
      </c>
      <c r="R856">
        <f t="shared" si="81"/>
        <v>854</v>
      </c>
      <c r="S856">
        <f>IFERROR(SEARCH(Crewlist!$P$5,V856)+ROW()/100000,"")</f>
        <v>1.0085599999999999</v>
      </c>
      <c r="T856">
        <f t="shared" si="85"/>
        <v>855</v>
      </c>
      <c r="U856">
        <f t="shared" si="86"/>
        <v>0</v>
      </c>
      <c r="V856" t="str">
        <f t="shared" si="83"/>
        <v xml:space="preserve"> </v>
      </c>
      <c r="Y856" s="162" t="e">
        <f>VLOOKUP(B856,Crewlist!AS:AU,3,FALSE)</f>
        <v>#N/A</v>
      </c>
      <c r="Z856" s="163">
        <f t="shared" si="82"/>
        <v>0</v>
      </c>
    </row>
    <row r="857" spans="2:26">
      <c r="B857" s="202">
        <v>856</v>
      </c>
      <c r="C857" s="169"/>
      <c r="N857" s="201">
        <v>0</v>
      </c>
      <c r="Q857">
        <f t="shared" si="84"/>
        <v>0</v>
      </c>
      <c r="R857">
        <f t="shared" si="81"/>
        <v>855</v>
      </c>
      <c r="S857">
        <f>IFERROR(SEARCH(Crewlist!$P$5,V857)+ROW()/100000,"")</f>
        <v>1.00857</v>
      </c>
      <c r="T857">
        <f t="shared" si="85"/>
        <v>856</v>
      </c>
      <c r="U857">
        <f t="shared" si="86"/>
        <v>0</v>
      </c>
      <c r="V857" t="str">
        <f t="shared" si="83"/>
        <v xml:space="preserve"> </v>
      </c>
      <c r="Y857" s="162" t="e">
        <f>VLOOKUP(B857,Crewlist!AS:AU,3,FALSE)</f>
        <v>#N/A</v>
      </c>
      <c r="Z857" s="163">
        <f t="shared" si="82"/>
        <v>0</v>
      </c>
    </row>
    <row r="858" spans="2:26">
      <c r="B858" s="171">
        <v>857</v>
      </c>
      <c r="C858" s="169"/>
      <c r="N858" s="201">
        <v>0</v>
      </c>
      <c r="Q858">
        <f t="shared" si="84"/>
        <v>0</v>
      </c>
      <c r="R858">
        <f t="shared" si="81"/>
        <v>856</v>
      </c>
      <c r="S858">
        <f>IFERROR(SEARCH(Crewlist!$P$5,V858)+ROW()/100000,"")</f>
        <v>1.00858</v>
      </c>
      <c r="T858">
        <f t="shared" si="85"/>
        <v>857</v>
      </c>
      <c r="U858">
        <f t="shared" si="86"/>
        <v>0</v>
      </c>
      <c r="V858" t="str">
        <f t="shared" si="83"/>
        <v xml:space="preserve"> </v>
      </c>
      <c r="Y858" s="162" t="e">
        <f>VLOOKUP(B858,Crewlist!AS:AU,3,FALSE)</f>
        <v>#N/A</v>
      </c>
      <c r="Z858" s="163">
        <f t="shared" si="82"/>
        <v>0</v>
      </c>
    </row>
    <row r="859" spans="2:26">
      <c r="B859" s="171">
        <v>858</v>
      </c>
      <c r="C859" s="169"/>
      <c r="N859" s="201">
        <v>0</v>
      </c>
      <c r="Q859">
        <f t="shared" si="84"/>
        <v>0</v>
      </c>
      <c r="R859">
        <f t="shared" si="81"/>
        <v>857</v>
      </c>
      <c r="S859">
        <f>IFERROR(SEARCH(Crewlist!$P$5,V859)+ROW()/100000,"")</f>
        <v>1.0085900000000001</v>
      </c>
      <c r="T859">
        <f t="shared" si="85"/>
        <v>858</v>
      </c>
      <c r="U859">
        <f t="shared" si="86"/>
        <v>0</v>
      </c>
      <c r="V859" t="str">
        <f t="shared" si="83"/>
        <v xml:space="preserve"> </v>
      </c>
      <c r="Y859" s="162" t="e">
        <f>VLOOKUP(B859,Crewlist!AS:AU,3,FALSE)</f>
        <v>#N/A</v>
      </c>
      <c r="Z859" s="163">
        <f t="shared" si="82"/>
        <v>0</v>
      </c>
    </row>
    <row r="860" spans="2:26">
      <c r="B860" s="202">
        <v>859</v>
      </c>
      <c r="C860" s="169"/>
      <c r="N860" s="201">
        <v>0</v>
      </c>
      <c r="Q860">
        <f t="shared" si="84"/>
        <v>0</v>
      </c>
      <c r="R860">
        <f t="shared" si="81"/>
        <v>858</v>
      </c>
      <c r="S860">
        <f>IFERROR(SEARCH(Crewlist!$P$5,V860)+ROW()/100000,"")</f>
        <v>1.0085999999999999</v>
      </c>
      <c r="T860">
        <f t="shared" si="85"/>
        <v>859</v>
      </c>
      <c r="U860">
        <f t="shared" si="86"/>
        <v>0</v>
      </c>
      <c r="V860" t="str">
        <f t="shared" si="83"/>
        <v xml:space="preserve"> </v>
      </c>
      <c r="Y860" s="162" t="e">
        <f>VLOOKUP(B860,Crewlist!AS:AU,3,FALSE)</f>
        <v>#N/A</v>
      </c>
      <c r="Z860" s="163">
        <f t="shared" si="82"/>
        <v>0</v>
      </c>
    </row>
    <row r="861" spans="2:26">
      <c r="B861" s="171">
        <v>860</v>
      </c>
      <c r="C861" s="169"/>
      <c r="N861" s="201">
        <v>0</v>
      </c>
      <c r="Q861">
        <f t="shared" si="84"/>
        <v>0</v>
      </c>
      <c r="R861">
        <f t="shared" si="81"/>
        <v>859</v>
      </c>
      <c r="S861">
        <f>IFERROR(SEARCH(Crewlist!$P$5,V861)+ROW()/100000,"")</f>
        <v>1.00861</v>
      </c>
      <c r="T861">
        <f t="shared" si="85"/>
        <v>860</v>
      </c>
      <c r="U861">
        <f t="shared" si="86"/>
        <v>0</v>
      </c>
      <c r="V861" t="str">
        <f t="shared" si="83"/>
        <v xml:space="preserve"> </v>
      </c>
      <c r="Y861" s="162" t="e">
        <f>VLOOKUP(B861,Crewlist!AS:AU,3,FALSE)</f>
        <v>#N/A</v>
      </c>
      <c r="Z861" s="163">
        <f t="shared" si="82"/>
        <v>0</v>
      </c>
    </row>
    <row r="862" spans="2:26">
      <c r="B862" s="171">
        <v>861</v>
      </c>
      <c r="C862" s="169"/>
      <c r="N862" s="201">
        <v>0</v>
      </c>
      <c r="Q862">
        <f t="shared" si="84"/>
        <v>0</v>
      </c>
      <c r="R862">
        <f t="shared" si="81"/>
        <v>860</v>
      </c>
      <c r="S862">
        <f>IFERROR(SEARCH(Crewlist!$P$5,V862)+ROW()/100000,"")</f>
        <v>1.0086200000000001</v>
      </c>
      <c r="T862">
        <f t="shared" si="85"/>
        <v>861</v>
      </c>
      <c r="U862">
        <f t="shared" si="86"/>
        <v>0</v>
      </c>
      <c r="V862" t="str">
        <f t="shared" si="83"/>
        <v xml:space="preserve"> </v>
      </c>
      <c r="Y862" s="162" t="e">
        <f>VLOOKUP(B862,Crewlist!AS:AU,3,FALSE)</f>
        <v>#N/A</v>
      </c>
      <c r="Z862" s="163">
        <f t="shared" si="82"/>
        <v>0</v>
      </c>
    </row>
    <row r="863" spans="2:26">
      <c r="B863" s="202">
        <v>862</v>
      </c>
      <c r="C863" s="169"/>
      <c r="N863" s="201">
        <v>0</v>
      </c>
      <c r="Q863">
        <f t="shared" si="84"/>
        <v>0</v>
      </c>
      <c r="R863">
        <f t="shared" si="81"/>
        <v>861</v>
      </c>
      <c r="S863">
        <f>IFERROR(SEARCH(Crewlist!$P$5,V863)+ROW()/100000,"")</f>
        <v>1.0086299999999999</v>
      </c>
      <c r="T863">
        <f t="shared" si="85"/>
        <v>862</v>
      </c>
      <c r="U863">
        <f t="shared" si="86"/>
        <v>0</v>
      </c>
      <c r="V863" t="str">
        <f t="shared" si="83"/>
        <v xml:space="preserve"> </v>
      </c>
      <c r="Y863" s="162" t="e">
        <f>VLOOKUP(B863,Crewlist!AS:AU,3,FALSE)</f>
        <v>#N/A</v>
      </c>
      <c r="Z863" s="163">
        <f t="shared" si="82"/>
        <v>0</v>
      </c>
    </row>
    <row r="864" spans="2:26">
      <c r="B864" s="171">
        <v>863</v>
      </c>
      <c r="C864" s="169"/>
      <c r="N864" s="201">
        <v>0</v>
      </c>
      <c r="Q864">
        <f t="shared" si="84"/>
        <v>0</v>
      </c>
      <c r="R864">
        <f t="shared" si="81"/>
        <v>862</v>
      </c>
      <c r="S864">
        <f>IFERROR(SEARCH(Crewlist!$P$5,V864)+ROW()/100000,"")</f>
        <v>1.00864</v>
      </c>
      <c r="T864">
        <f t="shared" si="85"/>
        <v>863</v>
      </c>
      <c r="U864">
        <f t="shared" si="86"/>
        <v>0</v>
      </c>
      <c r="V864" t="str">
        <f t="shared" si="83"/>
        <v xml:space="preserve"> </v>
      </c>
      <c r="Y864" s="162" t="e">
        <f>VLOOKUP(B864,Crewlist!AS:AU,3,FALSE)</f>
        <v>#N/A</v>
      </c>
      <c r="Z864" s="163">
        <f t="shared" si="82"/>
        <v>0</v>
      </c>
    </row>
    <row r="865" spans="2:26">
      <c r="B865" s="171">
        <v>864</v>
      </c>
      <c r="C865" s="169"/>
      <c r="N865" s="201">
        <v>0</v>
      </c>
      <c r="Q865">
        <f t="shared" si="84"/>
        <v>0</v>
      </c>
      <c r="R865">
        <f t="shared" si="81"/>
        <v>863</v>
      </c>
      <c r="S865">
        <f>IFERROR(SEARCH(Crewlist!$P$5,V865)+ROW()/100000,"")</f>
        <v>1.00865</v>
      </c>
      <c r="T865">
        <f t="shared" si="85"/>
        <v>864</v>
      </c>
      <c r="U865">
        <f t="shared" si="86"/>
        <v>0</v>
      </c>
      <c r="V865" t="str">
        <f t="shared" si="83"/>
        <v xml:space="preserve"> </v>
      </c>
      <c r="Y865" s="162" t="e">
        <f>VLOOKUP(B865,Crewlist!AS:AU,3,FALSE)</f>
        <v>#N/A</v>
      </c>
      <c r="Z865" s="163">
        <f t="shared" si="82"/>
        <v>0</v>
      </c>
    </row>
    <row r="866" spans="2:26">
      <c r="B866" s="202">
        <v>865</v>
      </c>
      <c r="C866" s="169"/>
      <c r="N866" s="201">
        <v>0</v>
      </c>
      <c r="Q866">
        <f t="shared" si="84"/>
        <v>0</v>
      </c>
      <c r="R866">
        <f t="shared" si="81"/>
        <v>864</v>
      </c>
      <c r="S866">
        <f>IFERROR(SEARCH(Crewlist!$P$5,V866)+ROW()/100000,"")</f>
        <v>1.0086599999999999</v>
      </c>
      <c r="T866">
        <f t="shared" si="85"/>
        <v>865</v>
      </c>
      <c r="U866">
        <f t="shared" si="86"/>
        <v>0</v>
      </c>
      <c r="V866" t="str">
        <f t="shared" si="83"/>
        <v xml:space="preserve"> </v>
      </c>
      <c r="Y866" s="162" t="e">
        <f>VLOOKUP(B866,Crewlist!AS:AU,3,FALSE)</f>
        <v>#N/A</v>
      </c>
      <c r="Z866" s="163">
        <f t="shared" si="82"/>
        <v>0</v>
      </c>
    </row>
    <row r="867" spans="2:26">
      <c r="B867" s="171">
        <v>866</v>
      </c>
      <c r="C867" s="169"/>
      <c r="N867" s="201">
        <v>0</v>
      </c>
      <c r="Q867">
        <f t="shared" si="84"/>
        <v>0</v>
      </c>
      <c r="R867">
        <f t="shared" si="81"/>
        <v>865</v>
      </c>
      <c r="S867">
        <f>IFERROR(SEARCH(Crewlist!$P$5,V867)+ROW()/100000,"")</f>
        <v>1.00867</v>
      </c>
      <c r="T867">
        <f t="shared" si="85"/>
        <v>866</v>
      </c>
      <c r="U867">
        <f t="shared" si="86"/>
        <v>0</v>
      </c>
      <c r="V867" t="str">
        <f t="shared" si="83"/>
        <v xml:space="preserve"> </v>
      </c>
      <c r="Y867" s="162" t="e">
        <f>VLOOKUP(B867,Crewlist!AS:AU,3,FALSE)</f>
        <v>#N/A</v>
      </c>
      <c r="Z867" s="163">
        <f t="shared" si="82"/>
        <v>0</v>
      </c>
    </row>
    <row r="868" spans="2:26">
      <c r="B868" s="171">
        <v>867</v>
      </c>
      <c r="C868" s="169"/>
      <c r="N868" s="201">
        <v>0</v>
      </c>
      <c r="Q868">
        <f t="shared" si="84"/>
        <v>0</v>
      </c>
      <c r="R868">
        <f t="shared" si="81"/>
        <v>866</v>
      </c>
      <c r="S868">
        <f>IFERROR(SEARCH(Crewlist!$P$5,V868)+ROW()/100000,"")</f>
        <v>1.00868</v>
      </c>
      <c r="T868">
        <f t="shared" si="85"/>
        <v>867</v>
      </c>
      <c r="U868">
        <f t="shared" si="86"/>
        <v>0</v>
      </c>
      <c r="V868" t="str">
        <f t="shared" si="83"/>
        <v xml:space="preserve"> </v>
      </c>
      <c r="Y868" s="162" t="e">
        <f>VLOOKUP(B868,Crewlist!AS:AU,3,FALSE)</f>
        <v>#N/A</v>
      </c>
      <c r="Z868" s="163">
        <f t="shared" si="82"/>
        <v>0</v>
      </c>
    </row>
    <row r="869" spans="2:26">
      <c r="B869" s="202">
        <v>868</v>
      </c>
      <c r="C869" s="169"/>
      <c r="N869" s="201">
        <v>0</v>
      </c>
      <c r="Q869">
        <f t="shared" si="84"/>
        <v>0</v>
      </c>
      <c r="R869">
        <f t="shared" si="81"/>
        <v>867</v>
      </c>
      <c r="S869">
        <f>IFERROR(SEARCH(Crewlist!$P$5,V869)+ROW()/100000,"")</f>
        <v>1.0086900000000001</v>
      </c>
      <c r="T869">
        <f t="shared" si="85"/>
        <v>868</v>
      </c>
      <c r="U869">
        <f t="shared" si="86"/>
        <v>0</v>
      </c>
      <c r="V869" t="str">
        <f t="shared" si="83"/>
        <v xml:space="preserve"> </v>
      </c>
      <c r="Y869" s="162" t="e">
        <f>VLOOKUP(B869,Crewlist!AS:AU,3,FALSE)</f>
        <v>#N/A</v>
      </c>
      <c r="Z869" s="163">
        <f t="shared" si="82"/>
        <v>0</v>
      </c>
    </row>
    <row r="870" spans="2:26">
      <c r="B870" s="171">
        <v>869</v>
      </c>
      <c r="C870" s="169"/>
      <c r="N870" s="201">
        <v>0</v>
      </c>
      <c r="Q870">
        <f t="shared" si="84"/>
        <v>0</v>
      </c>
      <c r="R870">
        <f t="shared" si="81"/>
        <v>868</v>
      </c>
      <c r="S870">
        <f>IFERROR(SEARCH(Crewlist!$P$5,V870)+ROW()/100000,"")</f>
        <v>1.0086999999999999</v>
      </c>
      <c r="T870">
        <f t="shared" si="85"/>
        <v>869</v>
      </c>
      <c r="U870">
        <f t="shared" si="86"/>
        <v>0</v>
      </c>
      <c r="V870" t="str">
        <f t="shared" si="83"/>
        <v xml:space="preserve"> </v>
      </c>
      <c r="Y870" s="162" t="e">
        <f>VLOOKUP(B870,Crewlist!AS:AU,3,FALSE)</f>
        <v>#N/A</v>
      </c>
      <c r="Z870" s="163">
        <f t="shared" si="82"/>
        <v>0</v>
      </c>
    </row>
    <row r="871" spans="2:26">
      <c r="B871" s="171">
        <v>870</v>
      </c>
      <c r="C871" s="169"/>
      <c r="N871" s="201">
        <v>0</v>
      </c>
      <c r="Q871">
        <f t="shared" si="84"/>
        <v>0</v>
      </c>
      <c r="R871">
        <f t="shared" si="81"/>
        <v>869</v>
      </c>
      <c r="S871">
        <f>IFERROR(SEARCH(Crewlist!$P$5,V871)+ROW()/100000,"")</f>
        <v>1.00871</v>
      </c>
      <c r="T871">
        <f t="shared" si="85"/>
        <v>870</v>
      </c>
      <c r="U871">
        <f t="shared" si="86"/>
        <v>0</v>
      </c>
      <c r="V871" t="str">
        <f t="shared" si="83"/>
        <v xml:space="preserve"> </v>
      </c>
      <c r="Y871" s="162" t="e">
        <f>VLOOKUP(B871,Crewlist!AS:AU,3,FALSE)</f>
        <v>#N/A</v>
      </c>
      <c r="Z871" s="163">
        <f t="shared" si="82"/>
        <v>0</v>
      </c>
    </row>
    <row r="872" spans="2:26">
      <c r="B872" s="202">
        <v>871</v>
      </c>
      <c r="C872" s="169"/>
      <c r="N872" s="201">
        <v>0</v>
      </c>
      <c r="Q872">
        <f t="shared" si="84"/>
        <v>0</v>
      </c>
      <c r="R872">
        <f t="shared" si="81"/>
        <v>870</v>
      </c>
      <c r="S872">
        <f>IFERROR(SEARCH(Crewlist!$P$5,V872)+ROW()/100000,"")</f>
        <v>1.0087200000000001</v>
      </c>
      <c r="T872">
        <f t="shared" si="85"/>
        <v>871</v>
      </c>
      <c r="U872">
        <f t="shared" si="86"/>
        <v>0</v>
      </c>
      <c r="V872" t="str">
        <f t="shared" si="83"/>
        <v xml:space="preserve"> </v>
      </c>
      <c r="Y872" s="162" t="e">
        <f>VLOOKUP(B872,Crewlist!AS:AU,3,FALSE)</f>
        <v>#N/A</v>
      </c>
      <c r="Z872" s="163">
        <f t="shared" si="82"/>
        <v>0</v>
      </c>
    </row>
    <row r="873" spans="2:26">
      <c r="B873" s="171">
        <v>872</v>
      </c>
      <c r="C873" s="169"/>
      <c r="N873" s="201">
        <v>0</v>
      </c>
      <c r="Q873">
        <f t="shared" si="84"/>
        <v>0</v>
      </c>
      <c r="R873">
        <f t="shared" si="81"/>
        <v>871</v>
      </c>
      <c r="S873">
        <f>IFERROR(SEARCH(Crewlist!$P$5,V873)+ROW()/100000,"")</f>
        <v>1.0087299999999999</v>
      </c>
      <c r="T873">
        <f t="shared" si="85"/>
        <v>872</v>
      </c>
      <c r="U873">
        <f t="shared" si="86"/>
        <v>0</v>
      </c>
      <c r="V873" t="str">
        <f t="shared" si="83"/>
        <v xml:space="preserve"> </v>
      </c>
      <c r="Y873" s="162" t="e">
        <f>VLOOKUP(B873,Crewlist!AS:AU,3,FALSE)</f>
        <v>#N/A</v>
      </c>
      <c r="Z873" s="163">
        <f t="shared" si="82"/>
        <v>0</v>
      </c>
    </row>
    <row r="874" spans="2:26">
      <c r="B874" s="171">
        <v>873</v>
      </c>
      <c r="C874" s="169"/>
      <c r="N874" s="201">
        <v>0</v>
      </c>
      <c r="Q874">
        <f t="shared" si="84"/>
        <v>0</v>
      </c>
      <c r="R874">
        <f t="shared" si="81"/>
        <v>872</v>
      </c>
      <c r="S874">
        <f>IFERROR(SEARCH(Crewlist!$P$5,V874)+ROW()/100000,"")</f>
        <v>1.00874</v>
      </c>
      <c r="T874">
        <f t="shared" si="85"/>
        <v>873</v>
      </c>
      <c r="U874">
        <f t="shared" si="86"/>
        <v>0</v>
      </c>
      <c r="V874" t="str">
        <f t="shared" si="83"/>
        <v xml:space="preserve"> </v>
      </c>
      <c r="Y874" s="162" t="e">
        <f>VLOOKUP(B874,Crewlist!AS:AU,3,FALSE)</f>
        <v>#N/A</v>
      </c>
      <c r="Z874" s="163">
        <f t="shared" si="82"/>
        <v>0</v>
      </c>
    </row>
    <row r="875" spans="2:26">
      <c r="B875" s="202">
        <v>874</v>
      </c>
      <c r="C875" s="169"/>
      <c r="N875" s="201">
        <v>0</v>
      </c>
      <c r="Q875">
        <f t="shared" si="84"/>
        <v>0</v>
      </c>
      <c r="R875">
        <f t="shared" si="81"/>
        <v>873</v>
      </c>
      <c r="S875">
        <f>IFERROR(SEARCH(Crewlist!$P$5,V875)+ROW()/100000,"")</f>
        <v>1.00875</v>
      </c>
      <c r="T875">
        <f t="shared" si="85"/>
        <v>874</v>
      </c>
      <c r="U875">
        <f t="shared" si="86"/>
        <v>0</v>
      </c>
      <c r="V875" t="str">
        <f t="shared" si="83"/>
        <v xml:space="preserve"> </v>
      </c>
      <c r="Y875" s="162" t="e">
        <f>VLOOKUP(B875,Crewlist!AS:AU,3,FALSE)</f>
        <v>#N/A</v>
      </c>
      <c r="Z875" s="163">
        <f t="shared" si="82"/>
        <v>0</v>
      </c>
    </row>
    <row r="876" spans="2:26">
      <c r="B876" s="171">
        <v>875</v>
      </c>
      <c r="C876" s="169"/>
      <c r="N876" s="201">
        <v>0</v>
      </c>
      <c r="Q876">
        <f t="shared" si="84"/>
        <v>0</v>
      </c>
      <c r="R876">
        <f t="shared" si="81"/>
        <v>874</v>
      </c>
      <c r="S876">
        <f>IFERROR(SEARCH(Crewlist!$P$5,V876)+ROW()/100000,"")</f>
        <v>1.0087600000000001</v>
      </c>
      <c r="T876">
        <f t="shared" si="85"/>
        <v>875</v>
      </c>
      <c r="U876">
        <f t="shared" si="86"/>
        <v>0</v>
      </c>
      <c r="V876" t="str">
        <f t="shared" si="83"/>
        <v xml:space="preserve"> </v>
      </c>
      <c r="Y876" s="162" t="e">
        <f>VLOOKUP(B876,Crewlist!AS:AU,3,FALSE)</f>
        <v>#N/A</v>
      </c>
      <c r="Z876" s="163">
        <f t="shared" si="82"/>
        <v>0</v>
      </c>
    </row>
    <row r="877" spans="2:26">
      <c r="B877" s="171">
        <v>876</v>
      </c>
      <c r="C877" s="169"/>
      <c r="N877" s="201">
        <v>0</v>
      </c>
      <c r="Q877">
        <f t="shared" si="84"/>
        <v>0</v>
      </c>
      <c r="R877">
        <f t="shared" si="81"/>
        <v>875</v>
      </c>
      <c r="S877">
        <f>IFERROR(SEARCH(Crewlist!$P$5,V877)+ROW()/100000,"")</f>
        <v>1.0087699999999999</v>
      </c>
      <c r="T877">
        <f t="shared" si="85"/>
        <v>876</v>
      </c>
      <c r="U877">
        <f t="shared" si="86"/>
        <v>0</v>
      </c>
      <c r="V877" t="str">
        <f t="shared" si="83"/>
        <v xml:space="preserve"> </v>
      </c>
      <c r="Y877" s="162" t="e">
        <f>VLOOKUP(B877,Crewlist!AS:AU,3,FALSE)</f>
        <v>#N/A</v>
      </c>
      <c r="Z877" s="163">
        <f t="shared" si="82"/>
        <v>0</v>
      </c>
    </row>
    <row r="878" spans="2:26">
      <c r="B878" s="202">
        <v>877</v>
      </c>
      <c r="C878" s="169"/>
      <c r="N878" s="201">
        <v>0</v>
      </c>
      <c r="Q878">
        <f t="shared" si="84"/>
        <v>0</v>
      </c>
      <c r="R878">
        <f t="shared" si="81"/>
        <v>876</v>
      </c>
      <c r="S878">
        <f>IFERROR(SEARCH(Crewlist!$P$5,V878)+ROW()/100000,"")</f>
        <v>1.00878</v>
      </c>
      <c r="T878">
        <f t="shared" si="85"/>
        <v>877</v>
      </c>
      <c r="U878">
        <f t="shared" si="86"/>
        <v>0</v>
      </c>
      <c r="V878" t="str">
        <f t="shared" si="83"/>
        <v xml:space="preserve"> </v>
      </c>
      <c r="Y878" s="162" t="e">
        <f>VLOOKUP(B878,Crewlist!AS:AU,3,FALSE)</f>
        <v>#N/A</v>
      </c>
      <c r="Z878" s="163">
        <f t="shared" si="82"/>
        <v>0</v>
      </c>
    </row>
    <row r="879" spans="2:26">
      <c r="B879" s="171">
        <v>878</v>
      </c>
      <c r="C879" s="169"/>
      <c r="N879" s="201">
        <v>0</v>
      </c>
      <c r="Q879">
        <f t="shared" si="84"/>
        <v>0</v>
      </c>
      <c r="R879">
        <f t="shared" si="81"/>
        <v>877</v>
      </c>
      <c r="S879">
        <f>IFERROR(SEARCH(Crewlist!$P$5,V879)+ROW()/100000,"")</f>
        <v>1.0087900000000001</v>
      </c>
      <c r="T879">
        <f t="shared" si="85"/>
        <v>878</v>
      </c>
      <c r="U879">
        <f t="shared" si="86"/>
        <v>0</v>
      </c>
      <c r="V879" t="str">
        <f t="shared" si="83"/>
        <v xml:space="preserve"> </v>
      </c>
      <c r="Y879" s="162" t="e">
        <f>VLOOKUP(B879,Crewlist!AS:AU,3,FALSE)</f>
        <v>#N/A</v>
      </c>
      <c r="Z879" s="163">
        <f t="shared" si="82"/>
        <v>0</v>
      </c>
    </row>
    <row r="880" spans="2:26">
      <c r="B880" s="171">
        <v>879</v>
      </c>
      <c r="C880" s="169"/>
      <c r="N880" s="201">
        <v>0</v>
      </c>
      <c r="Q880">
        <f t="shared" si="84"/>
        <v>0</v>
      </c>
      <c r="R880">
        <f t="shared" si="81"/>
        <v>878</v>
      </c>
      <c r="S880">
        <f>IFERROR(SEARCH(Crewlist!$P$5,V880)+ROW()/100000,"")</f>
        <v>1.0087999999999999</v>
      </c>
      <c r="T880">
        <f t="shared" si="85"/>
        <v>879</v>
      </c>
      <c r="U880">
        <f t="shared" si="86"/>
        <v>0</v>
      </c>
      <c r="V880" t="str">
        <f t="shared" si="83"/>
        <v xml:space="preserve"> </v>
      </c>
      <c r="Y880" s="162" t="e">
        <f>VLOOKUP(B880,Crewlist!AS:AU,3,FALSE)</f>
        <v>#N/A</v>
      </c>
      <c r="Z880" s="163">
        <f t="shared" si="82"/>
        <v>0</v>
      </c>
    </row>
    <row r="881" spans="2:26">
      <c r="B881" s="202">
        <v>880</v>
      </c>
      <c r="C881" s="169"/>
      <c r="N881" s="201">
        <v>0</v>
      </c>
      <c r="Q881">
        <f t="shared" si="84"/>
        <v>0</v>
      </c>
      <c r="R881">
        <f t="shared" si="81"/>
        <v>879</v>
      </c>
      <c r="S881">
        <f>IFERROR(SEARCH(Crewlist!$P$5,V881)+ROW()/100000,"")</f>
        <v>1.00881</v>
      </c>
      <c r="T881">
        <f t="shared" si="85"/>
        <v>880</v>
      </c>
      <c r="U881">
        <f t="shared" si="86"/>
        <v>0</v>
      </c>
      <c r="V881" t="str">
        <f t="shared" si="83"/>
        <v xml:space="preserve"> </v>
      </c>
      <c r="Y881" s="162" t="e">
        <f>VLOOKUP(B881,Crewlist!AS:AU,3,FALSE)</f>
        <v>#N/A</v>
      </c>
      <c r="Z881" s="163">
        <f t="shared" si="82"/>
        <v>0</v>
      </c>
    </row>
    <row r="882" spans="2:26">
      <c r="B882" s="171">
        <v>881</v>
      </c>
      <c r="C882" s="169"/>
      <c r="N882" s="201">
        <v>0</v>
      </c>
      <c r="Q882">
        <f t="shared" si="84"/>
        <v>0</v>
      </c>
      <c r="R882">
        <f t="shared" si="81"/>
        <v>880</v>
      </c>
      <c r="S882">
        <f>IFERROR(SEARCH(Crewlist!$P$5,V882)+ROW()/100000,"")</f>
        <v>1.0088200000000001</v>
      </c>
      <c r="T882">
        <f t="shared" si="85"/>
        <v>881</v>
      </c>
      <c r="U882">
        <f t="shared" si="86"/>
        <v>0</v>
      </c>
      <c r="V882" t="str">
        <f t="shared" si="83"/>
        <v xml:space="preserve"> </v>
      </c>
      <c r="Y882" s="162" t="e">
        <f>VLOOKUP(B882,Crewlist!AS:AU,3,FALSE)</f>
        <v>#N/A</v>
      </c>
      <c r="Z882" s="163">
        <f t="shared" si="82"/>
        <v>0</v>
      </c>
    </row>
    <row r="883" spans="2:26">
      <c r="B883" s="171">
        <v>882</v>
      </c>
      <c r="C883" s="169"/>
      <c r="N883" s="201">
        <v>0</v>
      </c>
      <c r="Q883">
        <f t="shared" si="84"/>
        <v>0</v>
      </c>
      <c r="R883">
        <f t="shared" si="81"/>
        <v>881</v>
      </c>
      <c r="S883">
        <f>IFERROR(SEARCH(Crewlist!$P$5,V883)+ROW()/100000,"")</f>
        <v>1.0088299999999999</v>
      </c>
      <c r="T883">
        <f t="shared" si="85"/>
        <v>882</v>
      </c>
      <c r="U883">
        <f t="shared" si="86"/>
        <v>0</v>
      </c>
      <c r="V883" t="str">
        <f t="shared" si="83"/>
        <v xml:space="preserve"> </v>
      </c>
      <c r="Y883" s="162" t="e">
        <f>VLOOKUP(B883,Crewlist!AS:AU,3,FALSE)</f>
        <v>#N/A</v>
      </c>
      <c r="Z883" s="163">
        <f t="shared" si="82"/>
        <v>0</v>
      </c>
    </row>
    <row r="884" spans="2:26">
      <c r="B884" s="202">
        <v>883</v>
      </c>
      <c r="C884" s="169"/>
      <c r="N884" s="201">
        <v>0</v>
      </c>
      <c r="Q884">
        <f t="shared" si="84"/>
        <v>0</v>
      </c>
      <c r="R884">
        <f t="shared" si="81"/>
        <v>882</v>
      </c>
      <c r="S884">
        <f>IFERROR(SEARCH(Crewlist!$P$5,V884)+ROW()/100000,"")</f>
        <v>1.00884</v>
      </c>
      <c r="T884">
        <f t="shared" si="85"/>
        <v>883</v>
      </c>
      <c r="U884">
        <f t="shared" si="86"/>
        <v>0</v>
      </c>
      <c r="V884" t="str">
        <f t="shared" si="83"/>
        <v xml:space="preserve"> </v>
      </c>
      <c r="Y884" s="162" t="e">
        <f>VLOOKUP(B884,Crewlist!AS:AU,3,FALSE)</f>
        <v>#N/A</v>
      </c>
      <c r="Z884" s="163">
        <f t="shared" si="82"/>
        <v>0</v>
      </c>
    </row>
    <row r="885" spans="2:26">
      <c r="B885" s="171">
        <v>884</v>
      </c>
      <c r="C885" s="169"/>
      <c r="N885" s="201">
        <v>0</v>
      </c>
      <c r="Q885">
        <f t="shared" si="84"/>
        <v>0</v>
      </c>
      <c r="R885">
        <f t="shared" si="81"/>
        <v>883</v>
      </c>
      <c r="S885">
        <f>IFERROR(SEARCH(Crewlist!$P$5,V885)+ROW()/100000,"")</f>
        <v>1.00885</v>
      </c>
      <c r="T885">
        <f t="shared" si="85"/>
        <v>884</v>
      </c>
      <c r="U885">
        <f t="shared" si="86"/>
        <v>0</v>
      </c>
      <c r="V885" t="str">
        <f t="shared" si="83"/>
        <v xml:space="preserve"> </v>
      </c>
      <c r="Y885" s="162" t="e">
        <f>VLOOKUP(B885,Crewlist!AS:AU,3,FALSE)</f>
        <v>#N/A</v>
      </c>
      <c r="Z885" s="163">
        <f t="shared" si="82"/>
        <v>0</v>
      </c>
    </row>
    <row r="886" spans="2:26">
      <c r="B886" s="171">
        <v>885</v>
      </c>
      <c r="C886" s="169"/>
      <c r="N886" s="201">
        <v>0</v>
      </c>
      <c r="Q886">
        <f t="shared" si="84"/>
        <v>0</v>
      </c>
      <c r="R886">
        <f t="shared" si="81"/>
        <v>884</v>
      </c>
      <c r="S886">
        <f>IFERROR(SEARCH(Crewlist!$P$5,V886)+ROW()/100000,"")</f>
        <v>1.0088600000000001</v>
      </c>
      <c r="T886">
        <f t="shared" si="85"/>
        <v>885</v>
      </c>
      <c r="U886">
        <f t="shared" si="86"/>
        <v>0</v>
      </c>
      <c r="V886" t="str">
        <f t="shared" si="83"/>
        <v xml:space="preserve"> </v>
      </c>
      <c r="Y886" s="162" t="e">
        <f>VLOOKUP(B886,Crewlist!AS:AU,3,FALSE)</f>
        <v>#N/A</v>
      </c>
      <c r="Z886" s="163">
        <f t="shared" si="82"/>
        <v>0</v>
      </c>
    </row>
    <row r="887" spans="2:26">
      <c r="B887" s="202">
        <v>886</v>
      </c>
      <c r="C887" s="169"/>
      <c r="N887" s="201">
        <v>0</v>
      </c>
      <c r="Q887">
        <f t="shared" si="84"/>
        <v>0</v>
      </c>
      <c r="R887">
        <f t="shared" si="81"/>
        <v>885</v>
      </c>
      <c r="S887">
        <f>IFERROR(SEARCH(Crewlist!$P$5,V887)+ROW()/100000,"")</f>
        <v>1.0088699999999999</v>
      </c>
      <c r="T887">
        <f t="shared" si="85"/>
        <v>886</v>
      </c>
      <c r="U887">
        <f t="shared" si="86"/>
        <v>0</v>
      </c>
      <c r="V887" t="str">
        <f t="shared" si="83"/>
        <v xml:space="preserve"> </v>
      </c>
      <c r="Y887" s="162" t="e">
        <f>VLOOKUP(B887,Crewlist!AS:AU,3,FALSE)</f>
        <v>#N/A</v>
      </c>
      <c r="Z887" s="163">
        <f t="shared" si="82"/>
        <v>0</v>
      </c>
    </row>
    <row r="888" spans="2:26">
      <c r="B888" s="171">
        <v>887</v>
      </c>
      <c r="C888" s="169"/>
      <c r="N888" s="201">
        <v>0</v>
      </c>
      <c r="Q888">
        <f t="shared" si="84"/>
        <v>0</v>
      </c>
      <c r="R888">
        <f t="shared" si="81"/>
        <v>886</v>
      </c>
      <c r="S888">
        <f>IFERROR(SEARCH(Crewlist!$P$5,V888)+ROW()/100000,"")</f>
        <v>1.00888</v>
      </c>
      <c r="T888">
        <f t="shared" si="85"/>
        <v>887</v>
      </c>
      <c r="U888">
        <f t="shared" si="86"/>
        <v>0</v>
      </c>
      <c r="V888" t="str">
        <f t="shared" si="83"/>
        <v xml:space="preserve"> </v>
      </c>
      <c r="Y888" s="162" t="e">
        <f>VLOOKUP(B888,Crewlist!AS:AU,3,FALSE)</f>
        <v>#N/A</v>
      </c>
      <c r="Z888" s="163">
        <f t="shared" si="82"/>
        <v>0</v>
      </c>
    </row>
    <row r="889" spans="2:26">
      <c r="B889" s="171">
        <v>888</v>
      </c>
      <c r="C889" s="169"/>
      <c r="N889" s="201">
        <v>0</v>
      </c>
      <c r="Q889">
        <f t="shared" si="84"/>
        <v>0</v>
      </c>
      <c r="R889">
        <f t="shared" si="81"/>
        <v>887</v>
      </c>
      <c r="S889">
        <f>IFERROR(SEARCH(Crewlist!$P$5,V889)+ROW()/100000,"")</f>
        <v>1.0088900000000001</v>
      </c>
      <c r="T889">
        <f t="shared" si="85"/>
        <v>888</v>
      </c>
      <c r="U889">
        <f t="shared" si="86"/>
        <v>0</v>
      </c>
      <c r="V889" t="str">
        <f t="shared" si="83"/>
        <v xml:space="preserve"> </v>
      </c>
      <c r="Y889" s="162" t="e">
        <f>VLOOKUP(B889,Crewlist!AS:AU,3,FALSE)</f>
        <v>#N/A</v>
      </c>
      <c r="Z889" s="163">
        <f t="shared" si="82"/>
        <v>0</v>
      </c>
    </row>
    <row r="890" spans="2:26">
      <c r="B890" s="202">
        <v>889</v>
      </c>
      <c r="C890" s="169"/>
      <c r="N890" s="201">
        <v>0</v>
      </c>
      <c r="Q890">
        <f t="shared" si="84"/>
        <v>0</v>
      </c>
      <c r="R890">
        <f t="shared" si="81"/>
        <v>888</v>
      </c>
      <c r="S890">
        <f>IFERROR(SEARCH(Crewlist!$P$5,V890)+ROW()/100000,"")</f>
        <v>1.0088999999999999</v>
      </c>
      <c r="T890">
        <f t="shared" si="85"/>
        <v>889</v>
      </c>
      <c r="U890">
        <f t="shared" si="86"/>
        <v>0</v>
      </c>
      <c r="V890" t="str">
        <f t="shared" si="83"/>
        <v xml:space="preserve"> </v>
      </c>
      <c r="Y890" s="162" t="e">
        <f>VLOOKUP(B890,Crewlist!AS:AU,3,FALSE)</f>
        <v>#N/A</v>
      </c>
      <c r="Z890" s="163">
        <f t="shared" si="82"/>
        <v>0</v>
      </c>
    </row>
    <row r="891" spans="2:26">
      <c r="B891" s="171">
        <v>890</v>
      </c>
      <c r="C891" s="169"/>
      <c r="N891" s="201">
        <v>0</v>
      </c>
      <c r="Q891">
        <f t="shared" si="84"/>
        <v>0</v>
      </c>
      <c r="R891">
        <f t="shared" si="81"/>
        <v>889</v>
      </c>
      <c r="S891">
        <f>IFERROR(SEARCH(Crewlist!$P$5,V891)+ROW()/100000,"")</f>
        <v>1.00891</v>
      </c>
      <c r="T891">
        <f t="shared" si="85"/>
        <v>890</v>
      </c>
      <c r="U891">
        <f t="shared" si="86"/>
        <v>0</v>
      </c>
      <c r="V891" t="str">
        <f t="shared" si="83"/>
        <v xml:space="preserve"> </v>
      </c>
      <c r="Y891" s="162" t="e">
        <f>VLOOKUP(B891,Crewlist!AS:AU,3,FALSE)</f>
        <v>#N/A</v>
      </c>
      <c r="Z891" s="163">
        <f t="shared" si="82"/>
        <v>0</v>
      </c>
    </row>
    <row r="892" spans="2:26">
      <c r="B892" s="171">
        <v>891</v>
      </c>
      <c r="C892" s="169"/>
      <c r="N892" s="201">
        <v>0</v>
      </c>
      <c r="Q892">
        <f t="shared" si="84"/>
        <v>0</v>
      </c>
      <c r="R892">
        <f t="shared" si="81"/>
        <v>890</v>
      </c>
      <c r="S892">
        <f>IFERROR(SEARCH(Crewlist!$P$5,V892)+ROW()/100000,"")</f>
        <v>1.00892</v>
      </c>
      <c r="T892">
        <f t="shared" si="85"/>
        <v>891</v>
      </c>
      <c r="U892">
        <f t="shared" si="86"/>
        <v>0</v>
      </c>
      <c r="V892" t="str">
        <f t="shared" si="83"/>
        <v xml:space="preserve"> </v>
      </c>
      <c r="Y892" s="162" t="e">
        <f>VLOOKUP(B892,Crewlist!AS:AU,3,FALSE)</f>
        <v>#N/A</v>
      </c>
      <c r="Z892" s="163">
        <f t="shared" si="82"/>
        <v>0</v>
      </c>
    </row>
    <row r="893" spans="2:26">
      <c r="B893" s="202">
        <v>892</v>
      </c>
      <c r="C893" s="169"/>
      <c r="N893" s="201">
        <v>0</v>
      </c>
      <c r="Q893">
        <f t="shared" si="84"/>
        <v>0</v>
      </c>
      <c r="R893">
        <f t="shared" si="81"/>
        <v>891</v>
      </c>
      <c r="S893">
        <f>IFERROR(SEARCH(Crewlist!$P$5,V893)+ROW()/100000,"")</f>
        <v>1.0089300000000001</v>
      </c>
      <c r="T893">
        <f t="shared" si="85"/>
        <v>892</v>
      </c>
      <c r="U893">
        <f t="shared" si="86"/>
        <v>0</v>
      </c>
      <c r="V893" t="str">
        <f t="shared" si="83"/>
        <v xml:space="preserve"> </v>
      </c>
      <c r="Y893" s="162" t="e">
        <f>VLOOKUP(B893,Crewlist!AS:AU,3,FALSE)</f>
        <v>#N/A</v>
      </c>
      <c r="Z893" s="163">
        <f t="shared" si="82"/>
        <v>0</v>
      </c>
    </row>
    <row r="894" spans="2:26">
      <c r="B894" s="171">
        <v>893</v>
      </c>
      <c r="C894" s="169"/>
      <c r="N894" s="201">
        <v>0</v>
      </c>
      <c r="Q894">
        <f t="shared" si="84"/>
        <v>0</v>
      </c>
      <c r="R894">
        <f t="shared" si="81"/>
        <v>892</v>
      </c>
      <c r="S894">
        <f>IFERROR(SEARCH(Crewlist!$P$5,V894)+ROW()/100000,"")</f>
        <v>1.0089399999999999</v>
      </c>
      <c r="T894">
        <f t="shared" si="85"/>
        <v>893</v>
      </c>
      <c r="U894">
        <f t="shared" si="86"/>
        <v>0</v>
      </c>
      <c r="V894" t="str">
        <f t="shared" si="83"/>
        <v xml:space="preserve"> </v>
      </c>
      <c r="Y894" s="162" t="e">
        <f>VLOOKUP(B894,Crewlist!AS:AU,3,FALSE)</f>
        <v>#N/A</v>
      </c>
      <c r="Z894" s="163">
        <f t="shared" si="82"/>
        <v>0</v>
      </c>
    </row>
    <row r="895" spans="2:26">
      <c r="B895" s="171">
        <v>894</v>
      </c>
      <c r="C895" s="169"/>
      <c r="N895" s="201">
        <v>0</v>
      </c>
      <c r="Q895">
        <f t="shared" si="84"/>
        <v>0</v>
      </c>
      <c r="R895">
        <f t="shared" si="81"/>
        <v>893</v>
      </c>
      <c r="S895">
        <f>IFERROR(SEARCH(Crewlist!$P$5,V895)+ROW()/100000,"")</f>
        <v>1.00895</v>
      </c>
      <c r="T895">
        <f t="shared" si="85"/>
        <v>894</v>
      </c>
      <c r="U895">
        <f t="shared" si="86"/>
        <v>0</v>
      </c>
      <c r="V895" t="str">
        <f t="shared" si="83"/>
        <v xml:space="preserve"> </v>
      </c>
      <c r="Y895" s="162" t="e">
        <f>VLOOKUP(B895,Crewlist!AS:AU,3,FALSE)</f>
        <v>#N/A</v>
      </c>
      <c r="Z895" s="163">
        <f t="shared" si="82"/>
        <v>0</v>
      </c>
    </row>
    <row r="896" spans="2:26">
      <c r="B896" s="202">
        <v>895</v>
      </c>
      <c r="C896" s="169"/>
      <c r="N896" s="201">
        <v>0</v>
      </c>
      <c r="Q896">
        <f t="shared" si="84"/>
        <v>0</v>
      </c>
      <c r="R896">
        <f t="shared" si="81"/>
        <v>894</v>
      </c>
      <c r="S896">
        <f>IFERROR(SEARCH(Crewlist!$P$5,V896)+ROW()/100000,"")</f>
        <v>1.0089600000000001</v>
      </c>
      <c r="T896">
        <f t="shared" si="85"/>
        <v>895</v>
      </c>
      <c r="U896">
        <f t="shared" si="86"/>
        <v>0</v>
      </c>
      <c r="V896" t="str">
        <f t="shared" si="83"/>
        <v xml:space="preserve"> </v>
      </c>
      <c r="Y896" s="162" t="e">
        <f>VLOOKUP(B896,Crewlist!AS:AU,3,FALSE)</f>
        <v>#N/A</v>
      </c>
      <c r="Z896" s="163">
        <f t="shared" si="82"/>
        <v>0</v>
      </c>
    </row>
    <row r="897" spans="2:26">
      <c r="B897" s="171">
        <v>896</v>
      </c>
      <c r="C897" s="169"/>
      <c r="N897" s="201">
        <v>0</v>
      </c>
      <c r="Q897">
        <f t="shared" si="84"/>
        <v>0</v>
      </c>
      <c r="R897">
        <f t="shared" si="81"/>
        <v>895</v>
      </c>
      <c r="S897">
        <f>IFERROR(SEARCH(Crewlist!$P$5,V897)+ROW()/100000,"")</f>
        <v>1.0089699999999999</v>
      </c>
      <c r="T897">
        <f t="shared" si="85"/>
        <v>896</v>
      </c>
      <c r="U897">
        <f t="shared" si="86"/>
        <v>0</v>
      </c>
      <c r="V897" t="str">
        <f t="shared" si="83"/>
        <v xml:space="preserve"> </v>
      </c>
      <c r="Y897" s="162" t="e">
        <f>VLOOKUP(B897,Crewlist!AS:AU,3,FALSE)</f>
        <v>#N/A</v>
      </c>
      <c r="Z897" s="163">
        <f t="shared" si="82"/>
        <v>0</v>
      </c>
    </row>
    <row r="898" spans="2:26">
      <c r="B898" s="171">
        <v>897</v>
      </c>
      <c r="C898" s="169"/>
      <c r="N898" s="201">
        <v>0</v>
      </c>
      <c r="Q898">
        <f t="shared" si="84"/>
        <v>0</v>
      </c>
      <c r="R898">
        <f t="shared" ref="R898:R961" si="87">IFERROR(RANK(S898,$S$2:$S$1998,1),"")</f>
        <v>896</v>
      </c>
      <c r="S898">
        <f>IFERROR(SEARCH(Crewlist!$P$5,V898)+ROW()/100000,"")</f>
        <v>1.00898</v>
      </c>
      <c r="T898">
        <f t="shared" si="85"/>
        <v>897</v>
      </c>
      <c r="U898">
        <f t="shared" si="86"/>
        <v>0</v>
      </c>
      <c r="V898" t="str">
        <f t="shared" si="83"/>
        <v xml:space="preserve"> </v>
      </c>
      <c r="Y898" s="162" t="e">
        <f>VLOOKUP(B898,Crewlist!AS:AU,3,FALSE)</f>
        <v>#N/A</v>
      </c>
      <c r="Z898" s="163">
        <f t="shared" ref="Z898:Z961" si="88">IF(ISNUMBER(SEARCH("",Y898)),Y898,N898)</f>
        <v>0</v>
      </c>
    </row>
    <row r="899" spans="2:26">
      <c r="B899" s="202">
        <v>898</v>
      </c>
      <c r="C899" s="169"/>
      <c r="N899" s="201">
        <v>0</v>
      </c>
      <c r="Q899">
        <f t="shared" si="84"/>
        <v>0</v>
      </c>
      <c r="R899">
        <f t="shared" si="87"/>
        <v>897</v>
      </c>
      <c r="S899">
        <f>IFERROR(SEARCH(Crewlist!$P$5,V899)+ROW()/100000,"")</f>
        <v>1.0089900000000001</v>
      </c>
      <c r="T899">
        <f t="shared" si="85"/>
        <v>898</v>
      </c>
      <c r="U899">
        <f t="shared" si="86"/>
        <v>0</v>
      </c>
      <c r="V899" t="str">
        <f t="shared" ref="V899:V962" si="89">CONCATENATE(C899," ",D899)</f>
        <v xml:space="preserve"> </v>
      </c>
      <c r="Y899" s="162" t="e">
        <f>VLOOKUP(B899,Crewlist!AS:AU,3,FALSE)</f>
        <v>#N/A</v>
      </c>
      <c r="Z899" s="163">
        <f t="shared" si="88"/>
        <v>0</v>
      </c>
    </row>
    <row r="900" spans="2:26">
      <c r="B900" s="171">
        <v>899</v>
      </c>
      <c r="C900" s="169"/>
      <c r="N900" s="201">
        <v>0</v>
      </c>
      <c r="Q900">
        <f t="shared" si="84"/>
        <v>0</v>
      </c>
      <c r="R900">
        <f t="shared" si="87"/>
        <v>898</v>
      </c>
      <c r="S900">
        <f>IFERROR(SEARCH(Crewlist!$P$5,V900)+ROW()/100000,"")</f>
        <v>1.0089999999999999</v>
      </c>
      <c r="T900">
        <f t="shared" si="85"/>
        <v>899</v>
      </c>
      <c r="U900">
        <f t="shared" si="86"/>
        <v>0</v>
      </c>
      <c r="V900" t="str">
        <f t="shared" si="89"/>
        <v xml:space="preserve"> </v>
      </c>
      <c r="Y900" s="162" t="e">
        <f>VLOOKUP(B900,Crewlist!AS:AU,3,FALSE)</f>
        <v>#N/A</v>
      </c>
      <c r="Z900" s="163">
        <f t="shared" si="88"/>
        <v>0</v>
      </c>
    </row>
    <row r="901" spans="2:26">
      <c r="B901" s="171">
        <v>900</v>
      </c>
      <c r="C901" s="169"/>
      <c r="N901" s="201">
        <v>0</v>
      </c>
      <c r="Q901">
        <f t="shared" si="84"/>
        <v>0</v>
      </c>
      <c r="R901">
        <f t="shared" si="87"/>
        <v>899</v>
      </c>
      <c r="S901">
        <f>IFERROR(SEARCH(Crewlist!$P$5,V901)+ROW()/100000,"")</f>
        <v>1.00901</v>
      </c>
      <c r="T901">
        <f t="shared" si="85"/>
        <v>900</v>
      </c>
      <c r="U901">
        <f t="shared" si="86"/>
        <v>0</v>
      </c>
      <c r="V901" t="str">
        <f t="shared" si="89"/>
        <v xml:space="preserve"> </v>
      </c>
      <c r="Y901" s="162" t="e">
        <f>VLOOKUP(B901,Crewlist!AS:AU,3,FALSE)</f>
        <v>#N/A</v>
      </c>
      <c r="Z901" s="163">
        <f t="shared" si="88"/>
        <v>0</v>
      </c>
    </row>
    <row r="902" spans="2:26">
      <c r="B902" s="202">
        <v>901</v>
      </c>
      <c r="C902" s="169"/>
      <c r="N902" s="201">
        <v>0</v>
      </c>
      <c r="Q902">
        <f t="shared" si="84"/>
        <v>0</v>
      </c>
      <c r="R902">
        <f t="shared" si="87"/>
        <v>900</v>
      </c>
      <c r="S902">
        <f>IFERROR(SEARCH(Crewlist!$P$5,V902)+ROW()/100000,"")</f>
        <v>1.00902</v>
      </c>
      <c r="T902">
        <f t="shared" si="85"/>
        <v>901</v>
      </c>
      <c r="U902">
        <f t="shared" si="86"/>
        <v>0</v>
      </c>
      <c r="V902" t="str">
        <f t="shared" si="89"/>
        <v xml:space="preserve"> </v>
      </c>
      <c r="Y902" s="162" t="e">
        <f>VLOOKUP(B902,Crewlist!AS:AU,3,FALSE)</f>
        <v>#N/A</v>
      </c>
      <c r="Z902" s="163">
        <f t="shared" si="88"/>
        <v>0</v>
      </c>
    </row>
    <row r="903" spans="2:26">
      <c r="B903" s="171">
        <v>902</v>
      </c>
      <c r="C903" s="169"/>
      <c r="N903" s="201">
        <v>0</v>
      </c>
      <c r="Q903">
        <f t="shared" si="84"/>
        <v>0</v>
      </c>
      <c r="R903">
        <f t="shared" si="87"/>
        <v>901</v>
      </c>
      <c r="S903">
        <f>IFERROR(SEARCH(Crewlist!$P$5,V903)+ROW()/100000,"")</f>
        <v>1.0090300000000001</v>
      </c>
      <c r="T903">
        <f t="shared" si="85"/>
        <v>902</v>
      </c>
      <c r="U903">
        <f t="shared" si="86"/>
        <v>0</v>
      </c>
      <c r="V903" t="str">
        <f t="shared" si="89"/>
        <v xml:space="preserve"> </v>
      </c>
      <c r="Y903" s="162" t="e">
        <f>VLOOKUP(B903,Crewlist!AS:AU,3,FALSE)</f>
        <v>#N/A</v>
      </c>
      <c r="Z903" s="163">
        <f t="shared" si="88"/>
        <v>0</v>
      </c>
    </row>
    <row r="904" spans="2:26">
      <c r="B904" s="171">
        <v>903</v>
      </c>
      <c r="C904" s="169"/>
      <c r="N904" s="201">
        <v>0</v>
      </c>
      <c r="Q904">
        <f t="shared" si="84"/>
        <v>0</v>
      </c>
      <c r="R904">
        <f t="shared" si="87"/>
        <v>902</v>
      </c>
      <c r="S904">
        <f>IFERROR(SEARCH(Crewlist!$P$5,V904)+ROW()/100000,"")</f>
        <v>1.0090399999999999</v>
      </c>
      <c r="T904">
        <f t="shared" si="85"/>
        <v>903</v>
      </c>
      <c r="U904">
        <f t="shared" si="86"/>
        <v>0</v>
      </c>
      <c r="V904" t="str">
        <f t="shared" si="89"/>
        <v xml:space="preserve"> </v>
      </c>
      <c r="Y904" s="162" t="e">
        <f>VLOOKUP(B904,Crewlist!AS:AU,3,FALSE)</f>
        <v>#N/A</v>
      </c>
      <c r="Z904" s="163">
        <f t="shared" si="88"/>
        <v>0</v>
      </c>
    </row>
    <row r="905" spans="2:26">
      <c r="B905" s="202">
        <v>904</v>
      </c>
      <c r="C905" s="169"/>
      <c r="N905" s="201">
        <v>0</v>
      </c>
      <c r="Q905">
        <f t="shared" ref="Q905:Q968" si="90">IF(C905&lt;&gt; "",B905,0)</f>
        <v>0</v>
      </c>
      <c r="R905">
        <f t="shared" si="87"/>
        <v>903</v>
      </c>
      <c r="S905">
        <f>IFERROR(SEARCH(Crewlist!$P$5,V905)+ROW()/100000,"")</f>
        <v>1.00905</v>
      </c>
      <c r="T905">
        <f t="shared" ref="T905:T968" si="91">B905</f>
        <v>904</v>
      </c>
      <c r="U905">
        <f t="shared" ref="U905:U968" si="92">C905</f>
        <v>0</v>
      </c>
      <c r="V905" t="str">
        <f t="shared" si="89"/>
        <v xml:space="preserve"> </v>
      </c>
      <c r="Y905" s="162" t="e">
        <f>VLOOKUP(B905,Crewlist!AS:AU,3,FALSE)</f>
        <v>#N/A</v>
      </c>
      <c r="Z905" s="163">
        <f t="shared" si="88"/>
        <v>0</v>
      </c>
    </row>
    <row r="906" spans="2:26">
      <c r="B906" s="171">
        <v>905</v>
      </c>
      <c r="C906" s="169"/>
      <c r="N906" s="201">
        <v>0</v>
      </c>
      <c r="Q906">
        <f t="shared" si="90"/>
        <v>0</v>
      </c>
      <c r="R906">
        <f t="shared" si="87"/>
        <v>904</v>
      </c>
      <c r="S906">
        <f>IFERROR(SEARCH(Crewlist!$P$5,V906)+ROW()/100000,"")</f>
        <v>1.0090600000000001</v>
      </c>
      <c r="T906">
        <f t="shared" si="91"/>
        <v>905</v>
      </c>
      <c r="U906">
        <f t="shared" si="92"/>
        <v>0</v>
      </c>
      <c r="V906" t="str">
        <f t="shared" si="89"/>
        <v xml:space="preserve"> </v>
      </c>
      <c r="Y906" s="162" t="e">
        <f>VLOOKUP(B906,Crewlist!AS:AU,3,FALSE)</f>
        <v>#N/A</v>
      </c>
      <c r="Z906" s="163">
        <f t="shared" si="88"/>
        <v>0</v>
      </c>
    </row>
    <row r="907" spans="2:26">
      <c r="B907" s="171">
        <v>906</v>
      </c>
      <c r="C907" s="169"/>
      <c r="N907" s="201">
        <v>0</v>
      </c>
      <c r="Q907">
        <f t="shared" si="90"/>
        <v>0</v>
      </c>
      <c r="R907">
        <f t="shared" si="87"/>
        <v>905</v>
      </c>
      <c r="S907">
        <f>IFERROR(SEARCH(Crewlist!$P$5,V907)+ROW()/100000,"")</f>
        <v>1.0090699999999999</v>
      </c>
      <c r="T907">
        <f t="shared" si="91"/>
        <v>906</v>
      </c>
      <c r="U907">
        <f t="shared" si="92"/>
        <v>0</v>
      </c>
      <c r="V907" t="str">
        <f t="shared" si="89"/>
        <v xml:space="preserve"> </v>
      </c>
      <c r="Y907" s="162" t="e">
        <f>VLOOKUP(B907,Crewlist!AS:AU,3,FALSE)</f>
        <v>#N/A</v>
      </c>
      <c r="Z907" s="163">
        <f t="shared" si="88"/>
        <v>0</v>
      </c>
    </row>
    <row r="908" spans="2:26">
      <c r="B908" s="202">
        <v>907</v>
      </c>
      <c r="C908" s="169"/>
      <c r="N908" s="201">
        <v>0</v>
      </c>
      <c r="Q908">
        <f t="shared" si="90"/>
        <v>0</v>
      </c>
      <c r="R908">
        <f t="shared" si="87"/>
        <v>906</v>
      </c>
      <c r="S908">
        <f>IFERROR(SEARCH(Crewlist!$P$5,V908)+ROW()/100000,"")</f>
        <v>1.00908</v>
      </c>
      <c r="T908">
        <f t="shared" si="91"/>
        <v>907</v>
      </c>
      <c r="U908">
        <f t="shared" si="92"/>
        <v>0</v>
      </c>
      <c r="V908" t="str">
        <f t="shared" si="89"/>
        <v xml:space="preserve"> </v>
      </c>
      <c r="Y908" s="162" t="e">
        <f>VLOOKUP(B908,Crewlist!AS:AU,3,FALSE)</f>
        <v>#N/A</v>
      </c>
      <c r="Z908" s="163">
        <f t="shared" si="88"/>
        <v>0</v>
      </c>
    </row>
    <row r="909" spans="2:26">
      <c r="B909" s="171">
        <v>908</v>
      </c>
      <c r="C909" s="169"/>
      <c r="N909" s="201">
        <v>0</v>
      </c>
      <c r="Q909">
        <f t="shared" si="90"/>
        <v>0</v>
      </c>
      <c r="R909">
        <f t="shared" si="87"/>
        <v>907</v>
      </c>
      <c r="S909">
        <f>IFERROR(SEARCH(Crewlist!$P$5,V909)+ROW()/100000,"")</f>
        <v>1.00909</v>
      </c>
      <c r="T909">
        <f t="shared" si="91"/>
        <v>908</v>
      </c>
      <c r="U909">
        <f t="shared" si="92"/>
        <v>0</v>
      </c>
      <c r="V909" t="str">
        <f t="shared" si="89"/>
        <v xml:space="preserve"> </v>
      </c>
      <c r="Y909" s="162" t="e">
        <f>VLOOKUP(B909,Crewlist!AS:AU,3,FALSE)</f>
        <v>#N/A</v>
      </c>
      <c r="Z909" s="163">
        <f t="shared" si="88"/>
        <v>0</v>
      </c>
    </row>
    <row r="910" spans="2:26">
      <c r="B910" s="171">
        <v>909</v>
      </c>
      <c r="C910" s="169"/>
      <c r="N910" s="201">
        <v>0</v>
      </c>
      <c r="Q910">
        <f t="shared" si="90"/>
        <v>0</v>
      </c>
      <c r="R910">
        <f t="shared" si="87"/>
        <v>908</v>
      </c>
      <c r="S910">
        <f>IFERROR(SEARCH(Crewlist!$P$5,V910)+ROW()/100000,"")</f>
        <v>1.0091000000000001</v>
      </c>
      <c r="T910">
        <f t="shared" si="91"/>
        <v>909</v>
      </c>
      <c r="U910">
        <f t="shared" si="92"/>
        <v>0</v>
      </c>
      <c r="V910" t="str">
        <f t="shared" si="89"/>
        <v xml:space="preserve"> </v>
      </c>
      <c r="Y910" s="162" t="e">
        <f>VLOOKUP(B910,Crewlist!AS:AU,3,FALSE)</f>
        <v>#N/A</v>
      </c>
      <c r="Z910" s="163">
        <f t="shared" si="88"/>
        <v>0</v>
      </c>
    </row>
    <row r="911" spans="2:26">
      <c r="B911" s="202">
        <v>910</v>
      </c>
      <c r="C911" s="169"/>
      <c r="N911" s="201">
        <v>0</v>
      </c>
      <c r="Q911">
        <f t="shared" si="90"/>
        <v>0</v>
      </c>
      <c r="R911">
        <f t="shared" si="87"/>
        <v>909</v>
      </c>
      <c r="S911">
        <f>IFERROR(SEARCH(Crewlist!$P$5,V911)+ROW()/100000,"")</f>
        <v>1.00911</v>
      </c>
      <c r="T911">
        <f t="shared" si="91"/>
        <v>910</v>
      </c>
      <c r="U911">
        <f t="shared" si="92"/>
        <v>0</v>
      </c>
      <c r="V911" t="str">
        <f t="shared" si="89"/>
        <v xml:space="preserve"> </v>
      </c>
      <c r="Y911" s="162" t="e">
        <f>VLOOKUP(B911,Crewlist!AS:AU,3,FALSE)</f>
        <v>#N/A</v>
      </c>
      <c r="Z911" s="163">
        <f t="shared" si="88"/>
        <v>0</v>
      </c>
    </row>
    <row r="912" spans="2:26">
      <c r="B912" s="171">
        <v>911</v>
      </c>
      <c r="C912" s="169"/>
      <c r="N912" s="201">
        <v>0</v>
      </c>
      <c r="Q912">
        <f t="shared" si="90"/>
        <v>0</v>
      </c>
      <c r="R912">
        <f t="shared" si="87"/>
        <v>910</v>
      </c>
      <c r="S912">
        <f>IFERROR(SEARCH(Crewlist!$P$5,V912)+ROW()/100000,"")</f>
        <v>1.00912</v>
      </c>
      <c r="T912">
        <f t="shared" si="91"/>
        <v>911</v>
      </c>
      <c r="U912">
        <f t="shared" si="92"/>
        <v>0</v>
      </c>
      <c r="V912" t="str">
        <f t="shared" si="89"/>
        <v xml:space="preserve"> </v>
      </c>
      <c r="Y912" s="162" t="e">
        <f>VLOOKUP(B912,Crewlist!AS:AU,3,FALSE)</f>
        <v>#N/A</v>
      </c>
      <c r="Z912" s="163">
        <f t="shared" si="88"/>
        <v>0</v>
      </c>
    </row>
    <row r="913" spans="2:26">
      <c r="B913" s="171">
        <v>912</v>
      </c>
      <c r="C913" s="169"/>
      <c r="N913" s="201">
        <v>0</v>
      </c>
      <c r="Q913">
        <f t="shared" si="90"/>
        <v>0</v>
      </c>
      <c r="R913">
        <f t="shared" si="87"/>
        <v>911</v>
      </c>
      <c r="S913">
        <f>IFERROR(SEARCH(Crewlist!$P$5,V913)+ROW()/100000,"")</f>
        <v>1.0091300000000001</v>
      </c>
      <c r="T913">
        <f t="shared" si="91"/>
        <v>912</v>
      </c>
      <c r="U913">
        <f t="shared" si="92"/>
        <v>0</v>
      </c>
      <c r="V913" t="str">
        <f t="shared" si="89"/>
        <v xml:space="preserve"> </v>
      </c>
      <c r="Y913" s="162" t="e">
        <f>VLOOKUP(B913,Crewlist!AS:AU,3,FALSE)</f>
        <v>#N/A</v>
      </c>
      <c r="Z913" s="163">
        <f t="shared" si="88"/>
        <v>0</v>
      </c>
    </row>
    <row r="914" spans="2:26">
      <c r="B914" s="202">
        <v>913</v>
      </c>
      <c r="C914" s="169"/>
      <c r="N914" s="201">
        <v>0</v>
      </c>
      <c r="Q914">
        <f t="shared" si="90"/>
        <v>0</v>
      </c>
      <c r="R914">
        <f t="shared" si="87"/>
        <v>912</v>
      </c>
      <c r="S914">
        <f>IFERROR(SEARCH(Crewlist!$P$5,V914)+ROW()/100000,"")</f>
        <v>1.0091399999999999</v>
      </c>
      <c r="T914">
        <f t="shared" si="91"/>
        <v>913</v>
      </c>
      <c r="U914">
        <f t="shared" si="92"/>
        <v>0</v>
      </c>
      <c r="V914" t="str">
        <f t="shared" si="89"/>
        <v xml:space="preserve"> </v>
      </c>
      <c r="Y914" s="162" t="e">
        <f>VLOOKUP(B914,Crewlist!AS:AU,3,FALSE)</f>
        <v>#N/A</v>
      </c>
      <c r="Z914" s="163">
        <f t="shared" si="88"/>
        <v>0</v>
      </c>
    </row>
    <row r="915" spans="2:26">
      <c r="B915" s="171">
        <v>914</v>
      </c>
      <c r="C915" s="169"/>
      <c r="N915" s="201">
        <v>0</v>
      </c>
      <c r="Q915">
        <f t="shared" si="90"/>
        <v>0</v>
      </c>
      <c r="R915">
        <f t="shared" si="87"/>
        <v>913</v>
      </c>
      <c r="S915">
        <f>IFERROR(SEARCH(Crewlist!$P$5,V915)+ROW()/100000,"")</f>
        <v>1.00915</v>
      </c>
      <c r="T915">
        <f t="shared" si="91"/>
        <v>914</v>
      </c>
      <c r="U915">
        <f t="shared" si="92"/>
        <v>0</v>
      </c>
      <c r="V915" t="str">
        <f t="shared" si="89"/>
        <v xml:space="preserve"> </v>
      </c>
      <c r="Y915" s="162" t="e">
        <f>VLOOKUP(B915,Crewlist!AS:AU,3,FALSE)</f>
        <v>#N/A</v>
      </c>
      <c r="Z915" s="163">
        <f t="shared" si="88"/>
        <v>0</v>
      </c>
    </row>
    <row r="916" spans="2:26">
      <c r="B916" s="171">
        <v>915</v>
      </c>
      <c r="C916" s="169"/>
      <c r="N916" s="201">
        <v>0</v>
      </c>
      <c r="Q916">
        <f t="shared" si="90"/>
        <v>0</v>
      </c>
      <c r="R916">
        <f t="shared" si="87"/>
        <v>914</v>
      </c>
      <c r="S916">
        <f>IFERROR(SEARCH(Crewlist!$P$5,V916)+ROW()/100000,"")</f>
        <v>1.0091600000000001</v>
      </c>
      <c r="T916">
        <f t="shared" si="91"/>
        <v>915</v>
      </c>
      <c r="U916">
        <f t="shared" si="92"/>
        <v>0</v>
      </c>
      <c r="V916" t="str">
        <f t="shared" si="89"/>
        <v xml:space="preserve"> </v>
      </c>
      <c r="Y916" s="162" t="e">
        <f>VLOOKUP(B916,Crewlist!AS:AU,3,FALSE)</f>
        <v>#N/A</v>
      </c>
      <c r="Z916" s="163">
        <f t="shared" si="88"/>
        <v>0</v>
      </c>
    </row>
    <row r="917" spans="2:26">
      <c r="B917" s="202">
        <v>916</v>
      </c>
      <c r="C917" s="169"/>
      <c r="N917" s="201">
        <v>0</v>
      </c>
      <c r="Q917">
        <f t="shared" si="90"/>
        <v>0</v>
      </c>
      <c r="R917">
        <f t="shared" si="87"/>
        <v>915</v>
      </c>
      <c r="S917">
        <f>IFERROR(SEARCH(Crewlist!$P$5,V917)+ROW()/100000,"")</f>
        <v>1.0091699999999999</v>
      </c>
      <c r="T917">
        <f t="shared" si="91"/>
        <v>916</v>
      </c>
      <c r="U917">
        <f t="shared" si="92"/>
        <v>0</v>
      </c>
      <c r="V917" t="str">
        <f t="shared" si="89"/>
        <v xml:space="preserve"> </v>
      </c>
      <c r="Y917" s="162" t="e">
        <f>VLOOKUP(B917,Crewlist!AS:AU,3,FALSE)</f>
        <v>#N/A</v>
      </c>
      <c r="Z917" s="163">
        <f t="shared" si="88"/>
        <v>0</v>
      </c>
    </row>
    <row r="918" spans="2:26">
      <c r="B918" s="171">
        <v>917</v>
      </c>
      <c r="C918" s="169"/>
      <c r="N918" s="201">
        <v>0</v>
      </c>
      <c r="Q918">
        <f t="shared" si="90"/>
        <v>0</v>
      </c>
      <c r="R918">
        <f t="shared" si="87"/>
        <v>916</v>
      </c>
      <c r="S918">
        <f>IFERROR(SEARCH(Crewlist!$P$5,V918)+ROW()/100000,"")</f>
        <v>1.00918</v>
      </c>
      <c r="T918">
        <f t="shared" si="91"/>
        <v>917</v>
      </c>
      <c r="U918">
        <f t="shared" si="92"/>
        <v>0</v>
      </c>
      <c r="V918" t="str">
        <f t="shared" si="89"/>
        <v xml:space="preserve"> </v>
      </c>
      <c r="Y918" s="162" t="e">
        <f>VLOOKUP(B918,Crewlist!AS:AU,3,FALSE)</f>
        <v>#N/A</v>
      </c>
      <c r="Z918" s="163">
        <f t="shared" si="88"/>
        <v>0</v>
      </c>
    </row>
    <row r="919" spans="2:26">
      <c r="B919" s="171">
        <v>918</v>
      </c>
      <c r="C919" s="169"/>
      <c r="N919" s="201">
        <v>0</v>
      </c>
      <c r="Q919">
        <f t="shared" si="90"/>
        <v>0</v>
      </c>
      <c r="R919">
        <f t="shared" si="87"/>
        <v>917</v>
      </c>
      <c r="S919">
        <f>IFERROR(SEARCH(Crewlist!$P$5,V919)+ROW()/100000,"")</f>
        <v>1.00919</v>
      </c>
      <c r="T919">
        <f t="shared" si="91"/>
        <v>918</v>
      </c>
      <c r="U919">
        <f t="shared" si="92"/>
        <v>0</v>
      </c>
      <c r="V919" t="str">
        <f t="shared" si="89"/>
        <v xml:space="preserve"> </v>
      </c>
      <c r="Y919" s="162" t="e">
        <f>VLOOKUP(B919,Crewlist!AS:AU,3,FALSE)</f>
        <v>#N/A</v>
      </c>
      <c r="Z919" s="163">
        <f t="shared" si="88"/>
        <v>0</v>
      </c>
    </row>
    <row r="920" spans="2:26">
      <c r="B920" s="202">
        <v>919</v>
      </c>
      <c r="C920" s="169"/>
      <c r="N920" s="201">
        <v>0</v>
      </c>
      <c r="Q920">
        <f t="shared" si="90"/>
        <v>0</v>
      </c>
      <c r="R920">
        <f t="shared" si="87"/>
        <v>918</v>
      </c>
      <c r="S920">
        <f>IFERROR(SEARCH(Crewlist!$P$5,V920)+ROW()/100000,"")</f>
        <v>1.0092000000000001</v>
      </c>
      <c r="T920">
        <f t="shared" si="91"/>
        <v>919</v>
      </c>
      <c r="U920">
        <f t="shared" si="92"/>
        <v>0</v>
      </c>
      <c r="V920" t="str">
        <f t="shared" si="89"/>
        <v xml:space="preserve"> </v>
      </c>
      <c r="Y920" s="162" t="e">
        <f>VLOOKUP(B920,Crewlist!AS:AU,3,FALSE)</f>
        <v>#N/A</v>
      </c>
      <c r="Z920" s="163">
        <f t="shared" si="88"/>
        <v>0</v>
      </c>
    </row>
    <row r="921" spans="2:26">
      <c r="B921" s="171">
        <v>920</v>
      </c>
      <c r="C921" s="169"/>
      <c r="N921" s="201">
        <v>0</v>
      </c>
      <c r="Q921">
        <f t="shared" si="90"/>
        <v>0</v>
      </c>
      <c r="R921">
        <f t="shared" si="87"/>
        <v>919</v>
      </c>
      <c r="S921">
        <f>IFERROR(SEARCH(Crewlist!$P$5,V921)+ROW()/100000,"")</f>
        <v>1.0092099999999999</v>
      </c>
      <c r="T921">
        <f t="shared" si="91"/>
        <v>920</v>
      </c>
      <c r="U921">
        <f t="shared" si="92"/>
        <v>0</v>
      </c>
      <c r="V921" t="str">
        <f t="shared" si="89"/>
        <v xml:space="preserve"> </v>
      </c>
      <c r="Y921" s="162" t="e">
        <f>VLOOKUP(B921,Crewlist!AS:AU,3,FALSE)</f>
        <v>#N/A</v>
      </c>
      <c r="Z921" s="163">
        <f t="shared" si="88"/>
        <v>0</v>
      </c>
    </row>
    <row r="922" spans="2:26">
      <c r="B922" s="171">
        <v>921</v>
      </c>
      <c r="C922" s="169"/>
      <c r="N922" s="201">
        <v>0</v>
      </c>
      <c r="Q922">
        <f t="shared" si="90"/>
        <v>0</v>
      </c>
      <c r="R922">
        <f t="shared" si="87"/>
        <v>920</v>
      </c>
      <c r="S922">
        <f>IFERROR(SEARCH(Crewlist!$P$5,V922)+ROW()/100000,"")</f>
        <v>1.00922</v>
      </c>
      <c r="T922">
        <f t="shared" si="91"/>
        <v>921</v>
      </c>
      <c r="U922">
        <f t="shared" si="92"/>
        <v>0</v>
      </c>
      <c r="V922" t="str">
        <f t="shared" si="89"/>
        <v xml:space="preserve"> </v>
      </c>
      <c r="Y922" s="162" t="e">
        <f>VLOOKUP(B922,Crewlist!AS:AU,3,FALSE)</f>
        <v>#N/A</v>
      </c>
      <c r="Z922" s="163">
        <f t="shared" si="88"/>
        <v>0</v>
      </c>
    </row>
    <row r="923" spans="2:26">
      <c r="B923" s="202">
        <v>922</v>
      </c>
      <c r="C923" s="169"/>
      <c r="N923" s="201">
        <v>0</v>
      </c>
      <c r="Q923">
        <f t="shared" si="90"/>
        <v>0</v>
      </c>
      <c r="R923">
        <f t="shared" si="87"/>
        <v>921</v>
      </c>
      <c r="S923">
        <f>IFERROR(SEARCH(Crewlist!$P$5,V923)+ROW()/100000,"")</f>
        <v>1.0092300000000001</v>
      </c>
      <c r="T923">
        <f t="shared" si="91"/>
        <v>922</v>
      </c>
      <c r="U923">
        <f t="shared" si="92"/>
        <v>0</v>
      </c>
      <c r="V923" t="str">
        <f t="shared" si="89"/>
        <v xml:space="preserve"> </v>
      </c>
      <c r="Y923" s="162" t="e">
        <f>VLOOKUP(B923,Crewlist!AS:AU,3,FALSE)</f>
        <v>#N/A</v>
      </c>
      <c r="Z923" s="163">
        <f t="shared" si="88"/>
        <v>0</v>
      </c>
    </row>
    <row r="924" spans="2:26">
      <c r="B924" s="171">
        <v>923</v>
      </c>
      <c r="C924" s="169"/>
      <c r="N924" s="201">
        <v>0</v>
      </c>
      <c r="Q924">
        <f t="shared" si="90"/>
        <v>0</v>
      </c>
      <c r="R924">
        <f t="shared" si="87"/>
        <v>922</v>
      </c>
      <c r="S924">
        <f>IFERROR(SEARCH(Crewlist!$P$5,V924)+ROW()/100000,"")</f>
        <v>1.0092399999999999</v>
      </c>
      <c r="T924">
        <f t="shared" si="91"/>
        <v>923</v>
      </c>
      <c r="U924">
        <f t="shared" si="92"/>
        <v>0</v>
      </c>
      <c r="V924" t="str">
        <f t="shared" si="89"/>
        <v xml:space="preserve"> </v>
      </c>
      <c r="Y924" s="162" t="e">
        <f>VLOOKUP(B924,Crewlist!AS:AU,3,FALSE)</f>
        <v>#N/A</v>
      </c>
      <c r="Z924" s="163">
        <f t="shared" si="88"/>
        <v>0</v>
      </c>
    </row>
    <row r="925" spans="2:26">
      <c r="B925" s="171">
        <v>924</v>
      </c>
      <c r="C925" s="169"/>
      <c r="N925" s="201">
        <v>0</v>
      </c>
      <c r="Q925">
        <f t="shared" si="90"/>
        <v>0</v>
      </c>
      <c r="R925">
        <f t="shared" si="87"/>
        <v>923</v>
      </c>
      <c r="S925">
        <f>IFERROR(SEARCH(Crewlist!$P$5,V925)+ROW()/100000,"")</f>
        <v>1.00925</v>
      </c>
      <c r="T925">
        <f t="shared" si="91"/>
        <v>924</v>
      </c>
      <c r="U925">
        <f t="shared" si="92"/>
        <v>0</v>
      </c>
      <c r="V925" t="str">
        <f t="shared" si="89"/>
        <v xml:space="preserve"> </v>
      </c>
      <c r="Y925" s="162" t="e">
        <f>VLOOKUP(B925,Crewlist!AS:AU,3,FALSE)</f>
        <v>#N/A</v>
      </c>
      <c r="Z925" s="163">
        <f t="shared" si="88"/>
        <v>0</v>
      </c>
    </row>
    <row r="926" spans="2:26">
      <c r="B926" s="202">
        <v>925</v>
      </c>
      <c r="C926" s="169"/>
      <c r="N926" s="201">
        <v>0</v>
      </c>
      <c r="Q926">
        <f t="shared" si="90"/>
        <v>0</v>
      </c>
      <c r="R926">
        <f t="shared" si="87"/>
        <v>924</v>
      </c>
      <c r="S926">
        <f>IFERROR(SEARCH(Crewlist!$P$5,V926)+ROW()/100000,"")</f>
        <v>1.00926</v>
      </c>
      <c r="T926">
        <f t="shared" si="91"/>
        <v>925</v>
      </c>
      <c r="U926">
        <f t="shared" si="92"/>
        <v>0</v>
      </c>
      <c r="V926" t="str">
        <f t="shared" si="89"/>
        <v xml:space="preserve"> </v>
      </c>
      <c r="Y926" s="162" t="e">
        <f>VLOOKUP(B926,Crewlist!AS:AU,3,FALSE)</f>
        <v>#N/A</v>
      </c>
      <c r="Z926" s="163">
        <f t="shared" si="88"/>
        <v>0</v>
      </c>
    </row>
    <row r="927" spans="2:26">
      <c r="B927" s="171">
        <v>926</v>
      </c>
      <c r="C927" s="169"/>
      <c r="N927" s="201">
        <v>0</v>
      </c>
      <c r="Q927">
        <f t="shared" si="90"/>
        <v>0</v>
      </c>
      <c r="R927">
        <f t="shared" si="87"/>
        <v>925</v>
      </c>
      <c r="S927">
        <f>IFERROR(SEARCH(Crewlist!$P$5,V927)+ROW()/100000,"")</f>
        <v>1.0092699999999999</v>
      </c>
      <c r="T927">
        <f t="shared" si="91"/>
        <v>926</v>
      </c>
      <c r="U927">
        <f t="shared" si="92"/>
        <v>0</v>
      </c>
      <c r="V927" t="str">
        <f t="shared" si="89"/>
        <v xml:space="preserve"> </v>
      </c>
      <c r="Y927" s="162" t="e">
        <f>VLOOKUP(B927,Crewlist!AS:AU,3,FALSE)</f>
        <v>#N/A</v>
      </c>
      <c r="Z927" s="163">
        <f t="shared" si="88"/>
        <v>0</v>
      </c>
    </row>
    <row r="928" spans="2:26">
      <c r="B928" s="171">
        <v>927</v>
      </c>
      <c r="C928" s="169"/>
      <c r="N928" s="201">
        <v>0</v>
      </c>
      <c r="Q928">
        <f t="shared" si="90"/>
        <v>0</v>
      </c>
      <c r="R928">
        <f t="shared" si="87"/>
        <v>926</v>
      </c>
      <c r="S928">
        <f>IFERROR(SEARCH(Crewlist!$P$5,V928)+ROW()/100000,"")</f>
        <v>1.00928</v>
      </c>
      <c r="T928">
        <f t="shared" si="91"/>
        <v>927</v>
      </c>
      <c r="U928">
        <f t="shared" si="92"/>
        <v>0</v>
      </c>
      <c r="V928" t="str">
        <f t="shared" si="89"/>
        <v xml:space="preserve"> </v>
      </c>
      <c r="Y928" s="162" t="e">
        <f>VLOOKUP(B928,Crewlist!AS:AU,3,FALSE)</f>
        <v>#N/A</v>
      </c>
      <c r="Z928" s="163">
        <f t="shared" si="88"/>
        <v>0</v>
      </c>
    </row>
    <row r="929" spans="2:26">
      <c r="B929" s="202">
        <v>928</v>
      </c>
      <c r="C929" s="169"/>
      <c r="N929" s="201">
        <v>0</v>
      </c>
      <c r="Q929">
        <f t="shared" si="90"/>
        <v>0</v>
      </c>
      <c r="R929">
        <f t="shared" si="87"/>
        <v>927</v>
      </c>
      <c r="S929">
        <f>IFERROR(SEARCH(Crewlist!$P$5,V929)+ROW()/100000,"")</f>
        <v>1.00929</v>
      </c>
      <c r="T929">
        <f t="shared" si="91"/>
        <v>928</v>
      </c>
      <c r="U929">
        <f t="shared" si="92"/>
        <v>0</v>
      </c>
      <c r="V929" t="str">
        <f t="shared" si="89"/>
        <v xml:space="preserve"> </v>
      </c>
      <c r="Y929" s="162" t="e">
        <f>VLOOKUP(B929,Crewlist!AS:AU,3,FALSE)</f>
        <v>#N/A</v>
      </c>
      <c r="Z929" s="163">
        <f t="shared" si="88"/>
        <v>0</v>
      </c>
    </row>
    <row r="930" spans="2:26">
      <c r="B930" s="171">
        <v>929</v>
      </c>
      <c r="C930" s="169"/>
      <c r="N930" s="201">
        <v>0</v>
      </c>
      <c r="Q930">
        <f t="shared" si="90"/>
        <v>0</v>
      </c>
      <c r="R930">
        <f t="shared" si="87"/>
        <v>928</v>
      </c>
      <c r="S930">
        <f>IFERROR(SEARCH(Crewlist!$P$5,V930)+ROW()/100000,"")</f>
        <v>1.0093000000000001</v>
      </c>
      <c r="T930">
        <f t="shared" si="91"/>
        <v>929</v>
      </c>
      <c r="U930">
        <f t="shared" si="92"/>
        <v>0</v>
      </c>
      <c r="V930" t="str">
        <f t="shared" si="89"/>
        <v xml:space="preserve"> </v>
      </c>
      <c r="Y930" s="162" t="e">
        <f>VLOOKUP(B930,Crewlist!AS:AU,3,FALSE)</f>
        <v>#N/A</v>
      </c>
      <c r="Z930" s="163">
        <f t="shared" si="88"/>
        <v>0</v>
      </c>
    </row>
    <row r="931" spans="2:26">
      <c r="B931" s="171">
        <v>930</v>
      </c>
      <c r="C931" s="169"/>
      <c r="N931" s="201">
        <v>0</v>
      </c>
      <c r="Q931">
        <f t="shared" si="90"/>
        <v>0</v>
      </c>
      <c r="R931">
        <f t="shared" si="87"/>
        <v>929</v>
      </c>
      <c r="S931">
        <f>IFERROR(SEARCH(Crewlist!$P$5,V931)+ROW()/100000,"")</f>
        <v>1.0093099999999999</v>
      </c>
      <c r="T931">
        <f t="shared" si="91"/>
        <v>930</v>
      </c>
      <c r="U931">
        <f t="shared" si="92"/>
        <v>0</v>
      </c>
      <c r="V931" t="str">
        <f t="shared" si="89"/>
        <v xml:space="preserve"> </v>
      </c>
      <c r="Y931" s="162" t="e">
        <f>VLOOKUP(B931,Crewlist!AS:AU,3,FALSE)</f>
        <v>#N/A</v>
      </c>
      <c r="Z931" s="163">
        <f t="shared" si="88"/>
        <v>0</v>
      </c>
    </row>
    <row r="932" spans="2:26">
      <c r="B932" s="202">
        <v>931</v>
      </c>
      <c r="C932" s="169"/>
      <c r="N932" s="201">
        <v>0</v>
      </c>
      <c r="Q932">
        <f t="shared" si="90"/>
        <v>0</v>
      </c>
      <c r="R932">
        <f t="shared" si="87"/>
        <v>930</v>
      </c>
      <c r="S932">
        <f>IFERROR(SEARCH(Crewlist!$P$5,V932)+ROW()/100000,"")</f>
        <v>1.00932</v>
      </c>
      <c r="T932">
        <f t="shared" si="91"/>
        <v>931</v>
      </c>
      <c r="U932">
        <f t="shared" si="92"/>
        <v>0</v>
      </c>
      <c r="V932" t="str">
        <f t="shared" si="89"/>
        <v xml:space="preserve"> </v>
      </c>
      <c r="Y932" s="162" t="e">
        <f>VLOOKUP(B932,Crewlist!AS:AU,3,FALSE)</f>
        <v>#N/A</v>
      </c>
      <c r="Z932" s="163">
        <f t="shared" si="88"/>
        <v>0</v>
      </c>
    </row>
    <row r="933" spans="2:26">
      <c r="B933" s="171">
        <v>932</v>
      </c>
      <c r="C933" s="169"/>
      <c r="N933" s="201">
        <v>0</v>
      </c>
      <c r="Q933">
        <f t="shared" si="90"/>
        <v>0</v>
      </c>
      <c r="R933">
        <f t="shared" si="87"/>
        <v>931</v>
      </c>
      <c r="S933">
        <f>IFERROR(SEARCH(Crewlist!$P$5,V933)+ROW()/100000,"")</f>
        <v>1.0093300000000001</v>
      </c>
      <c r="T933">
        <f t="shared" si="91"/>
        <v>932</v>
      </c>
      <c r="U933">
        <f t="shared" si="92"/>
        <v>0</v>
      </c>
      <c r="V933" t="str">
        <f t="shared" si="89"/>
        <v xml:space="preserve"> </v>
      </c>
      <c r="Y933" s="162" t="e">
        <f>VLOOKUP(B933,Crewlist!AS:AU,3,FALSE)</f>
        <v>#N/A</v>
      </c>
      <c r="Z933" s="163">
        <f t="shared" si="88"/>
        <v>0</v>
      </c>
    </row>
    <row r="934" spans="2:26">
      <c r="B934" s="171">
        <v>933</v>
      </c>
      <c r="C934" s="169"/>
      <c r="N934" s="201">
        <v>0</v>
      </c>
      <c r="Q934">
        <f t="shared" si="90"/>
        <v>0</v>
      </c>
      <c r="R934">
        <f t="shared" si="87"/>
        <v>932</v>
      </c>
      <c r="S934">
        <f>IFERROR(SEARCH(Crewlist!$P$5,V934)+ROW()/100000,"")</f>
        <v>1.0093399999999999</v>
      </c>
      <c r="T934">
        <f t="shared" si="91"/>
        <v>933</v>
      </c>
      <c r="U934">
        <f t="shared" si="92"/>
        <v>0</v>
      </c>
      <c r="V934" t="str">
        <f t="shared" si="89"/>
        <v xml:space="preserve"> </v>
      </c>
      <c r="Y934" s="162" t="e">
        <f>VLOOKUP(B934,Crewlist!AS:AU,3,FALSE)</f>
        <v>#N/A</v>
      </c>
      <c r="Z934" s="163">
        <f t="shared" si="88"/>
        <v>0</v>
      </c>
    </row>
    <row r="935" spans="2:26">
      <c r="B935" s="202">
        <v>934</v>
      </c>
      <c r="C935" s="169"/>
      <c r="N935" s="201">
        <v>0</v>
      </c>
      <c r="Q935">
        <f t="shared" si="90"/>
        <v>0</v>
      </c>
      <c r="R935">
        <f t="shared" si="87"/>
        <v>933</v>
      </c>
      <c r="S935">
        <f>IFERROR(SEARCH(Crewlist!$P$5,V935)+ROW()/100000,"")</f>
        <v>1.00935</v>
      </c>
      <c r="T935">
        <f t="shared" si="91"/>
        <v>934</v>
      </c>
      <c r="U935">
        <f t="shared" si="92"/>
        <v>0</v>
      </c>
      <c r="V935" t="str">
        <f t="shared" si="89"/>
        <v xml:space="preserve"> </v>
      </c>
      <c r="Y935" s="162" t="e">
        <f>VLOOKUP(B935,Crewlist!AS:AU,3,FALSE)</f>
        <v>#N/A</v>
      </c>
      <c r="Z935" s="163">
        <f t="shared" si="88"/>
        <v>0</v>
      </c>
    </row>
    <row r="936" spans="2:26">
      <c r="B936" s="171">
        <v>935</v>
      </c>
      <c r="C936" s="169"/>
      <c r="N936" s="201">
        <v>0</v>
      </c>
      <c r="Q936">
        <f t="shared" si="90"/>
        <v>0</v>
      </c>
      <c r="R936">
        <f t="shared" si="87"/>
        <v>934</v>
      </c>
      <c r="S936">
        <f>IFERROR(SEARCH(Crewlist!$P$5,V936)+ROW()/100000,"")</f>
        <v>1.00936</v>
      </c>
      <c r="T936">
        <f t="shared" si="91"/>
        <v>935</v>
      </c>
      <c r="U936">
        <f t="shared" si="92"/>
        <v>0</v>
      </c>
      <c r="V936" t="str">
        <f t="shared" si="89"/>
        <v xml:space="preserve"> </v>
      </c>
      <c r="Y936" s="162" t="e">
        <f>VLOOKUP(B936,Crewlist!AS:AU,3,FALSE)</f>
        <v>#N/A</v>
      </c>
      <c r="Z936" s="163">
        <f t="shared" si="88"/>
        <v>0</v>
      </c>
    </row>
    <row r="937" spans="2:26">
      <c r="B937" s="171">
        <v>936</v>
      </c>
      <c r="C937" s="169"/>
      <c r="N937" s="201">
        <v>0</v>
      </c>
      <c r="Q937">
        <f t="shared" si="90"/>
        <v>0</v>
      </c>
      <c r="R937">
        <f t="shared" si="87"/>
        <v>935</v>
      </c>
      <c r="S937">
        <f>IFERROR(SEARCH(Crewlist!$P$5,V937)+ROW()/100000,"")</f>
        <v>1.0093700000000001</v>
      </c>
      <c r="T937">
        <f t="shared" si="91"/>
        <v>936</v>
      </c>
      <c r="U937">
        <f t="shared" si="92"/>
        <v>0</v>
      </c>
      <c r="V937" t="str">
        <f t="shared" si="89"/>
        <v xml:space="preserve"> </v>
      </c>
      <c r="Y937" s="162" t="e">
        <f>VLOOKUP(B937,Crewlist!AS:AU,3,FALSE)</f>
        <v>#N/A</v>
      </c>
      <c r="Z937" s="163">
        <f t="shared" si="88"/>
        <v>0</v>
      </c>
    </row>
    <row r="938" spans="2:26">
      <c r="B938" s="202">
        <v>937</v>
      </c>
      <c r="C938" s="169"/>
      <c r="N938" s="201">
        <v>0</v>
      </c>
      <c r="Q938">
        <f t="shared" si="90"/>
        <v>0</v>
      </c>
      <c r="R938">
        <f t="shared" si="87"/>
        <v>936</v>
      </c>
      <c r="S938">
        <f>IFERROR(SEARCH(Crewlist!$P$5,V938)+ROW()/100000,"")</f>
        <v>1.0093799999999999</v>
      </c>
      <c r="T938">
        <f t="shared" si="91"/>
        <v>937</v>
      </c>
      <c r="U938">
        <f t="shared" si="92"/>
        <v>0</v>
      </c>
      <c r="V938" t="str">
        <f t="shared" si="89"/>
        <v xml:space="preserve"> </v>
      </c>
      <c r="Y938" s="162" t="e">
        <f>VLOOKUP(B938,Crewlist!AS:AU,3,FALSE)</f>
        <v>#N/A</v>
      </c>
      <c r="Z938" s="163">
        <f t="shared" si="88"/>
        <v>0</v>
      </c>
    </row>
    <row r="939" spans="2:26">
      <c r="B939" s="171">
        <v>938</v>
      </c>
      <c r="C939" s="169"/>
      <c r="N939" s="201">
        <v>0</v>
      </c>
      <c r="Q939">
        <f t="shared" si="90"/>
        <v>0</v>
      </c>
      <c r="R939">
        <f t="shared" si="87"/>
        <v>937</v>
      </c>
      <c r="S939">
        <f>IFERROR(SEARCH(Crewlist!$P$5,V939)+ROW()/100000,"")</f>
        <v>1.00939</v>
      </c>
      <c r="T939">
        <f t="shared" si="91"/>
        <v>938</v>
      </c>
      <c r="U939">
        <f t="shared" si="92"/>
        <v>0</v>
      </c>
      <c r="V939" t="str">
        <f t="shared" si="89"/>
        <v xml:space="preserve"> </v>
      </c>
      <c r="Y939" s="162" t="e">
        <f>VLOOKUP(B939,Crewlist!AS:AU,3,FALSE)</f>
        <v>#N/A</v>
      </c>
      <c r="Z939" s="163">
        <f t="shared" si="88"/>
        <v>0</v>
      </c>
    </row>
    <row r="940" spans="2:26">
      <c r="B940" s="171">
        <v>939</v>
      </c>
      <c r="C940" s="169"/>
      <c r="N940" s="201">
        <v>0</v>
      </c>
      <c r="Q940">
        <f t="shared" si="90"/>
        <v>0</v>
      </c>
      <c r="R940">
        <f t="shared" si="87"/>
        <v>938</v>
      </c>
      <c r="S940">
        <f>IFERROR(SEARCH(Crewlist!$P$5,V940)+ROW()/100000,"")</f>
        <v>1.0094000000000001</v>
      </c>
      <c r="T940">
        <f t="shared" si="91"/>
        <v>939</v>
      </c>
      <c r="U940">
        <f t="shared" si="92"/>
        <v>0</v>
      </c>
      <c r="V940" t="str">
        <f t="shared" si="89"/>
        <v xml:space="preserve"> </v>
      </c>
      <c r="Y940" s="162" t="e">
        <f>VLOOKUP(B940,Crewlist!AS:AU,3,FALSE)</f>
        <v>#N/A</v>
      </c>
      <c r="Z940" s="163">
        <f t="shared" si="88"/>
        <v>0</v>
      </c>
    </row>
    <row r="941" spans="2:26">
      <c r="B941" s="202">
        <v>940</v>
      </c>
      <c r="C941" s="169"/>
      <c r="N941" s="201">
        <v>0</v>
      </c>
      <c r="Q941">
        <f t="shared" si="90"/>
        <v>0</v>
      </c>
      <c r="R941">
        <f t="shared" si="87"/>
        <v>939</v>
      </c>
      <c r="S941">
        <f>IFERROR(SEARCH(Crewlist!$P$5,V941)+ROW()/100000,"")</f>
        <v>1.0094099999999999</v>
      </c>
      <c r="T941">
        <f t="shared" si="91"/>
        <v>940</v>
      </c>
      <c r="U941">
        <f t="shared" si="92"/>
        <v>0</v>
      </c>
      <c r="V941" t="str">
        <f t="shared" si="89"/>
        <v xml:space="preserve"> </v>
      </c>
      <c r="Y941" s="162" t="e">
        <f>VLOOKUP(B941,Crewlist!AS:AU,3,FALSE)</f>
        <v>#N/A</v>
      </c>
      <c r="Z941" s="163">
        <f t="shared" si="88"/>
        <v>0</v>
      </c>
    </row>
    <row r="942" spans="2:26">
      <c r="B942" s="171">
        <v>941</v>
      </c>
      <c r="C942" s="169"/>
      <c r="N942" s="201">
        <v>0</v>
      </c>
      <c r="Q942">
        <f t="shared" si="90"/>
        <v>0</v>
      </c>
      <c r="R942">
        <f t="shared" si="87"/>
        <v>940</v>
      </c>
      <c r="S942">
        <f>IFERROR(SEARCH(Crewlist!$P$5,V942)+ROW()/100000,"")</f>
        <v>1.00942</v>
      </c>
      <c r="T942">
        <f t="shared" si="91"/>
        <v>941</v>
      </c>
      <c r="U942">
        <f t="shared" si="92"/>
        <v>0</v>
      </c>
      <c r="V942" t="str">
        <f t="shared" si="89"/>
        <v xml:space="preserve"> </v>
      </c>
      <c r="Y942" s="162" t="e">
        <f>VLOOKUP(B942,Crewlist!AS:AU,3,FALSE)</f>
        <v>#N/A</v>
      </c>
      <c r="Z942" s="163">
        <f t="shared" si="88"/>
        <v>0</v>
      </c>
    </row>
    <row r="943" spans="2:26">
      <c r="B943" s="171">
        <v>942</v>
      </c>
      <c r="C943" s="169"/>
      <c r="N943" s="201">
        <v>0</v>
      </c>
      <c r="Q943">
        <f t="shared" si="90"/>
        <v>0</v>
      </c>
      <c r="R943">
        <f t="shared" si="87"/>
        <v>941</v>
      </c>
      <c r="S943">
        <f>IFERROR(SEARCH(Crewlist!$P$5,V943)+ROW()/100000,"")</f>
        <v>1.00943</v>
      </c>
      <c r="T943">
        <f t="shared" si="91"/>
        <v>942</v>
      </c>
      <c r="U943">
        <f t="shared" si="92"/>
        <v>0</v>
      </c>
      <c r="V943" t="str">
        <f t="shared" si="89"/>
        <v xml:space="preserve"> </v>
      </c>
      <c r="Y943" s="162" t="e">
        <f>VLOOKUP(B943,Crewlist!AS:AU,3,FALSE)</f>
        <v>#N/A</v>
      </c>
      <c r="Z943" s="163">
        <f t="shared" si="88"/>
        <v>0</v>
      </c>
    </row>
    <row r="944" spans="2:26">
      <c r="B944" s="202">
        <v>943</v>
      </c>
      <c r="C944" s="169"/>
      <c r="N944" s="201">
        <v>0</v>
      </c>
      <c r="Q944">
        <f t="shared" si="90"/>
        <v>0</v>
      </c>
      <c r="R944">
        <f t="shared" si="87"/>
        <v>942</v>
      </c>
      <c r="S944">
        <f>IFERROR(SEARCH(Crewlist!$P$5,V944)+ROW()/100000,"")</f>
        <v>1.0094399999999999</v>
      </c>
      <c r="T944">
        <f t="shared" si="91"/>
        <v>943</v>
      </c>
      <c r="U944">
        <f t="shared" si="92"/>
        <v>0</v>
      </c>
      <c r="V944" t="str">
        <f t="shared" si="89"/>
        <v xml:space="preserve"> </v>
      </c>
      <c r="Y944" s="162" t="e">
        <f>VLOOKUP(B944,Crewlist!AS:AU,3,FALSE)</f>
        <v>#N/A</v>
      </c>
      <c r="Z944" s="163">
        <f t="shared" si="88"/>
        <v>0</v>
      </c>
    </row>
    <row r="945" spans="2:26">
      <c r="B945" s="171">
        <v>944</v>
      </c>
      <c r="C945" s="169"/>
      <c r="N945" s="201">
        <v>0</v>
      </c>
      <c r="Q945">
        <f t="shared" si="90"/>
        <v>0</v>
      </c>
      <c r="R945">
        <f t="shared" si="87"/>
        <v>943</v>
      </c>
      <c r="S945">
        <f>IFERROR(SEARCH(Crewlist!$P$5,V945)+ROW()/100000,"")</f>
        <v>1.00945</v>
      </c>
      <c r="T945">
        <f t="shared" si="91"/>
        <v>944</v>
      </c>
      <c r="U945">
        <f t="shared" si="92"/>
        <v>0</v>
      </c>
      <c r="V945" t="str">
        <f t="shared" si="89"/>
        <v xml:space="preserve"> </v>
      </c>
      <c r="Y945" s="162" t="e">
        <f>VLOOKUP(B945,Crewlist!AS:AU,3,FALSE)</f>
        <v>#N/A</v>
      </c>
      <c r="Z945" s="163">
        <f t="shared" si="88"/>
        <v>0</v>
      </c>
    </row>
    <row r="946" spans="2:26">
      <c r="B946" s="171">
        <v>945</v>
      </c>
      <c r="C946" s="169"/>
      <c r="N946" s="201">
        <v>0</v>
      </c>
      <c r="Q946">
        <f t="shared" si="90"/>
        <v>0</v>
      </c>
      <c r="R946">
        <f t="shared" si="87"/>
        <v>944</v>
      </c>
      <c r="S946">
        <f>IFERROR(SEARCH(Crewlist!$P$5,V946)+ROW()/100000,"")</f>
        <v>1.00946</v>
      </c>
      <c r="T946">
        <f t="shared" si="91"/>
        <v>945</v>
      </c>
      <c r="U946">
        <f t="shared" si="92"/>
        <v>0</v>
      </c>
      <c r="V946" t="str">
        <f t="shared" si="89"/>
        <v xml:space="preserve"> </v>
      </c>
      <c r="Y946" s="162" t="e">
        <f>VLOOKUP(B946,Crewlist!AS:AU,3,FALSE)</f>
        <v>#N/A</v>
      </c>
      <c r="Z946" s="163">
        <f t="shared" si="88"/>
        <v>0</v>
      </c>
    </row>
    <row r="947" spans="2:26">
      <c r="B947" s="202">
        <v>946</v>
      </c>
      <c r="C947" s="169"/>
      <c r="N947" s="201">
        <v>0</v>
      </c>
      <c r="Q947">
        <f t="shared" si="90"/>
        <v>0</v>
      </c>
      <c r="R947">
        <f t="shared" si="87"/>
        <v>945</v>
      </c>
      <c r="S947">
        <f>IFERROR(SEARCH(Crewlist!$P$5,V947)+ROW()/100000,"")</f>
        <v>1.0094700000000001</v>
      </c>
      <c r="T947">
        <f t="shared" si="91"/>
        <v>946</v>
      </c>
      <c r="U947">
        <f t="shared" si="92"/>
        <v>0</v>
      </c>
      <c r="V947" t="str">
        <f t="shared" si="89"/>
        <v xml:space="preserve"> </v>
      </c>
      <c r="Y947" s="162" t="e">
        <f>VLOOKUP(B947,Crewlist!AS:AU,3,FALSE)</f>
        <v>#N/A</v>
      </c>
      <c r="Z947" s="163">
        <f t="shared" si="88"/>
        <v>0</v>
      </c>
    </row>
    <row r="948" spans="2:26">
      <c r="B948" s="171">
        <v>947</v>
      </c>
      <c r="C948" s="169"/>
      <c r="N948" s="201">
        <v>0</v>
      </c>
      <c r="Q948">
        <f t="shared" si="90"/>
        <v>0</v>
      </c>
      <c r="R948">
        <f t="shared" si="87"/>
        <v>946</v>
      </c>
      <c r="S948">
        <f>IFERROR(SEARCH(Crewlist!$P$5,V948)+ROW()/100000,"")</f>
        <v>1.0094799999999999</v>
      </c>
      <c r="T948">
        <f t="shared" si="91"/>
        <v>947</v>
      </c>
      <c r="U948">
        <f t="shared" si="92"/>
        <v>0</v>
      </c>
      <c r="V948" t="str">
        <f t="shared" si="89"/>
        <v xml:space="preserve"> </v>
      </c>
      <c r="Y948" s="162" t="e">
        <f>VLOOKUP(B948,Crewlist!AS:AU,3,FALSE)</f>
        <v>#N/A</v>
      </c>
      <c r="Z948" s="163">
        <f t="shared" si="88"/>
        <v>0</v>
      </c>
    </row>
    <row r="949" spans="2:26">
      <c r="B949" s="171">
        <v>948</v>
      </c>
      <c r="C949" s="169"/>
      <c r="N949" s="201">
        <v>0</v>
      </c>
      <c r="Q949">
        <f t="shared" si="90"/>
        <v>0</v>
      </c>
      <c r="R949">
        <f t="shared" si="87"/>
        <v>947</v>
      </c>
      <c r="S949">
        <f>IFERROR(SEARCH(Crewlist!$P$5,V949)+ROW()/100000,"")</f>
        <v>1.00949</v>
      </c>
      <c r="T949">
        <f t="shared" si="91"/>
        <v>948</v>
      </c>
      <c r="U949">
        <f t="shared" si="92"/>
        <v>0</v>
      </c>
      <c r="V949" t="str">
        <f t="shared" si="89"/>
        <v xml:space="preserve"> </v>
      </c>
      <c r="Y949" s="162" t="e">
        <f>VLOOKUP(B949,Crewlist!AS:AU,3,FALSE)</f>
        <v>#N/A</v>
      </c>
      <c r="Z949" s="163">
        <f t="shared" si="88"/>
        <v>0</v>
      </c>
    </row>
    <row r="950" spans="2:26">
      <c r="B950" s="202">
        <v>949</v>
      </c>
      <c r="C950" s="169"/>
      <c r="N950" s="201">
        <v>0</v>
      </c>
      <c r="Q950">
        <f t="shared" si="90"/>
        <v>0</v>
      </c>
      <c r="R950">
        <f t="shared" si="87"/>
        <v>948</v>
      </c>
      <c r="S950">
        <f>IFERROR(SEARCH(Crewlist!$P$5,V950)+ROW()/100000,"")</f>
        <v>1.0095000000000001</v>
      </c>
      <c r="T950">
        <f t="shared" si="91"/>
        <v>949</v>
      </c>
      <c r="U950">
        <f t="shared" si="92"/>
        <v>0</v>
      </c>
      <c r="V950" t="str">
        <f t="shared" si="89"/>
        <v xml:space="preserve"> </v>
      </c>
      <c r="Y950" s="162" t="e">
        <f>VLOOKUP(B950,Crewlist!AS:AU,3,FALSE)</f>
        <v>#N/A</v>
      </c>
      <c r="Z950" s="163">
        <f t="shared" si="88"/>
        <v>0</v>
      </c>
    </row>
    <row r="951" spans="2:26">
      <c r="B951" s="171">
        <v>950</v>
      </c>
      <c r="C951" s="169"/>
      <c r="N951" s="201">
        <v>0</v>
      </c>
      <c r="Q951">
        <f t="shared" si="90"/>
        <v>0</v>
      </c>
      <c r="R951">
        <f t="shared" si="87"/>
        <v>949</v>
      </c>
      <c r="S951">
        <f>IFERROR(SEARCH(Crewlist!$P$5,V951)+ROW()/100000,"")</f>
        <v>1.0095099999999999</v>
      </c>
      <c r="T951">
        <f t="shared" si="91"/>
        <v>950</v>
      </c>
      <c r="U951">
        <f t="shared" si="92"/>
        <v>0</v>
      </c>
      <c r="V951" t="str">
        <f t="shared" si="89"/>
        <v xml:space="preserve"> </v>
      </c>
      <c r="Y951" s="162" t="e">
        <f>VLOOKUP(B951,Crewlist!AS:AU,3,FALSE)</f>
        <v>#N/A</v>
      </c>
      <c r="Z951" s="163">
        <f t="shared" si="88"/>
        <v>0</v>
      </c>
    </row>
    <row r="952" spans="2:26">
      <c r="B952" s="171">
        <v>951</v>
      </c>
      <c r="C952" s="169"/>
      <c r="N952" s="201">
        <v>0</v>
      </c>
      <c r="Q952">
        <f t="shared" si="90"/>
        <v>0</v>
      </c>
      <c r="R952">
        <f t="shared" si="87"/>
        <v>950</v>
      </c>
      <c r="S952">
        <f>IFERROR(SEARCH(Crewlist!$P$5,V952)+ROW()/100000,"")</f>
        <v>1.00952</v>
      </c>
      <c r="T952">
        <f t="shared" si="91"/>
        <v>951</v>
      </c>
      <c r="U952">
        <f t="shared" si="92"/>
        <v>0</v>
      </c>
      <c r="V952" t="str">
        <f t="shared" si="89"/>
        <v xml:space="preserve"> </v>
      </c>
      <c r="Y952" s="162" t="e">
        <f>VLOOKUP(B952,Crewlist!AS:AU,3,FALSE)</f>
        <v>#N/A</v>
      </c>
      <c r="Z952" s="163">
        <f t="shared" si="88"/>
        <v>0</v>
      </c>
    </row>
    <row r="953" spans="2:26">
      <c r="B953" s="202">
        <v>952</v>
      </c>
      <c r="C953" s="169"/>
      <c r="N953" s="201">
        <v>0</v>
      </c>
      <c r="Q953">
        <f t="shared" si="90"/>
        <v>0</v>
      </c>
      <c r="R953">
        <f t="shared" si="87"/>
        <v>951</v>
      </c>
      <c r="S953">
        <f>IFERROR(SEARCH(Crewlist!$P$5,V953)+ROW()/100000,"")</f>
        <v>1.00953</v>
      </c>
      <c r="T953">
        <f t="shared" si="91"/>
        <v>952</v>
      </c>
      <c r="U953">
        <f t="shared" si="92"/>
        <v>0</v>
      </c>
      <c r="V953" t="str">
        <f t="shared" si="89"/>
        <v xml:space="preserve"> </v>
      </c>
      <c r="Y953" s="162" t="e">
        <f>VLOOKUP(B953,Crewlist!AS:AU,3,FALSE)</f>
        <v>#N/A</v>
      </c>
      <c r="Z953" s="163">
        <f t="shared" si="88"/>
        <v>0</v>
      </c>
    </row>
    <row r="954" spans="2:26">
      <c r="B954" s="171">
        <v>953</v>
      </c>
      <c r="C954" s="169"/>
      <c r="N954" s="201">
        <v>0</v>
      </c>
      <c r="Q954">
        <f t="shared" si="90"/>
        <v>0</v>
      </c>
      <c r="R954">
        <f t="shared" si="87"/>
        <v>952</v>
      </c>
      <c r="S954">
        <f>IFERROR(SEARCH(Crewlist!$P$5,V954)+ROW()/100000,"")</f>
        <v>1.0095400000000001</v>
      </c>
      <c r="T954">
        <f t="shared" si="91"/>
        <v>953</v>
      </c>
      <c r="U954">
        <f t="shared" si="92"/>
        <v>0</v>
      </c>
      <c r="V954" t="str">
        <f t="shared" si="89"/>
        <v xml:space="preserve"> </v>
      </c>
      <c r="Y954" s="162" t="e">
        <f>VLOOKUP(B954,Crewlist!AS:AU,3,FALSE)</f>
        <v>#N/A</v>
      </c>
      <c r="Z954" s="163">
        <f t="shared" si="88"/>
        <v>0</v>
      </c>
    </row>
    <row r="955" spans="2:26">
      <c r="B955" s="171">
        <v>954</v>
      </c>
      <c r="C955" s="169"/>
      <c r="N955" s="201">
        <v>0</v>
      </c>
      <c r="Q955">
        <f t="shared" si="90"/>
        <v>0</v>
      </c>
      <c r="R955">
        <f t="shared" si="87"/>
        <v>953</v>
      </c>
      <c r="S955">
        <f>IFERROR(SEARCH(Crewlist!$P$5,V955)+ROW()/100000,"")</f>
        <v>1.0095499999999999</v>
      </c>
      <c r="T955">
        <f t="shared" si="91"/>
        <v>954</v>
      </c>
      <c r="U955">
        <f t="shared" si="92"/>
        <v>0</v>
      </c>
      <c r="V955" t="str">
        <f t="shared" si="89"/>
        <v xml:space="preserve"> </v>
      </c>
      <c r="Y955" s="162" t="e">
        <f>VLOOKUP(B955,Crewlist!AS:AU,3,FALSE)</f>
        <v>#N/A</v>
      </c>
      <c r="Z955" s="163">
        <f t="shared" si="88"/>
        <v>0</v>
      </c>
    </row>
    <row r="956" spans="2:26">
      <c r="B956" s="202">
        <v>955</v>
      </c>
      <c r="C956" s="169"/>
      <c r="N956" s="201">
        <v>0</v>
      </c>
      <c r="Q956">
        <f t="shared" si="90"/>
        <v>0</v>
      </c>
      <c r="R956">
        <f t="shared" si="87"/>
        <v>954</v>
      </c>
      <c r="S956">
        <f>IFERROR(SEARCH(Crewlist!$P$5,V956)+ROW()/100000,"")</f>
        <v>1.00956</v>
      </c>
      <c r="T956">
        <f t="shared" si="91"/>
        <v>955</v>
      </c>
      <c r="U956">
        <f t="shared" si="92"/>
        <v>0</v>
      </c>
      <c r="V956" t="str">
        <f t="shared" si="89"/>
        <v xml:space="preserve"> </v>
      </c>
      <c r="Y956" s="162" t="e">
        <f>VLOOKUP(B956,Crewlist!AS:AU,3,FALSE)</f>
        <v>#N/A</v>
      </c>
      <c r="Z956" s="163">
        <f t="shared" si="88"/>
        <v>0</v>
      </c>
    </row>
    <row r="957" spans="2:26">
      <c r="B957" s="171">
        <v>956</v>
      </c>
      <c r="C957" s="169"/>
      <c r="N957" s="201">
        <v>0</v>
      </c>
      <c r="Q957">
        <f t="shared" si="90"/>
        <v>0</v>
      </c>
      <c r="R957">
        <f t="shared" si="87"/>
        <v>955</v>
      </c>
      <c r="S957">
        <f>IFERROR(SEARCH(Crewlist!$P$5,V957)+ROW()/100000,"")</f>
        <v>1.0095700000000001</v>
      </c>
      <c r="T957">
        <f t="shared" si="91"/>
        <v>956</v>
      </c>
      <c r="U957">
        <f t="shared" si="92"/>
        <v>0</v>
      </c>
      <c r="V957" t="str">
        <f t="shared" si="89"/>
        <v xml:space="preserve"> </v>
      </c>
      <c r="Y957" s="162" t="e">
        <f>VLOOKUP(B957,Crewlist!AS:AU,3,FALSE)</f>
        <v>#N/A</v>
      </c>
      <c r="Z957" s="163">
        <f t="shared" si="88"/>
        <v>0</v>
      </c>
    </row>
    <row r="958" spans="2:26">
      <c r="B958" s="171">
        <v>957</v>
      </c>
      <c r="C958" s="169"/>
      <c r="N958" s="201">
        <v>0</v>
      </c>
      <c r="Q958">
        <f t="shared" si="90"/>
        <v>0</v>
      </c>
      <c r="R958">
        <f t="shared" si="87"/>
        <v>956</v>
      </c>
      <c r="S958">
        <f>IFERROR(SEARCH(Crewlist!$P$5,V958)+ROW()/100000,"")</f>
        <v>1.0095799999999999</v>
      </c>
      <c r="T958">
        <f t="shared" si="91"/>
        <v>957</v>
      </c>
      <c r="U958">
        <f t="shared" si="92"/>
        <v>0</v>
      </c>
      <c r="V958" t="str">
        <f t="shared" si="89"/>
        <v xml:space="preserve"> </v>
      </c>
      <c r="Y958" s="162" t="e">
        <f>VLOOKUP(B958,Crewlist!AS:AU,3,FALSE)</f>
        <v>#N/A</v>
      </c>
      <c r="Z958" s="163">
        <f t="shared" si="88"/>
        <v>0</v>
      </c>
    </row>
    <row r="959" spans="2:26">
      <c r="B959" s="202">
        <v>958</v>
      </c>
      <c r="C959" s="169"/>
      <c r="N959" s="201">
        <v>0</v>
      </c>
      <c r="Q959">
        <f t="shared" si="90"/>
        <v>0</v>
      </c>
      <c r="R959">
        <f t="shared" si="87"/>
        <v>957</v>
      </c>
      <c r="S959">
        <f>IFERROR(SEARCH(Crewlist!$P$5,V959)+ROW()/100000,"")</f>
        <v>1.00959</v>
      </c>
      <c r="T959">
        <f t="shared" si="91"/>
        <v>958</v>
      </c>
      <c r="U959">
        <f t="shared" si="92"/>
        <v>0</v>
      </c>
      <c r="V959" t="str">
        <f t="shared" si="89"/>
        <v xml:space="preserve"> </v>
      </c>
      <c r="Y959" s="162" t="e">
        <f>VLOOKUP(B959,Crewlist!AS:AU,3,FALSE)</f>
        <v>#N/A</v>
      </c>
      <c r="Z959" s="163">
        <f t="shared" si="88"/>
        <v>0</v>
      </c>
    </row>
    <row r="960" spans="2:26">
      <c r="B960" s="171">
        <v>959</v>
      </c>
      <c r="C960" s="169"/>
      <c r="N960" s="201">
        <v>0</v>
      </c>
      <c r="Q960">
        <f t="shared" si="90"/>
        <v>0</v>
      </c>
      <c r="R960">
        <f t="shared" si="87"/>
        <v>958</v>
      </c>
      <c r="S960">
        <f>IFERROR(SEARCH(Crewlist!$P$5,V960)+ROW()/100000,"")</f>
        <v>1.0096000000000001</v>
      </c>
      <c r="T960">
        <f t="shared" si="91"/>
        <v>959</v>
      </c>
      <c r="U960">
        <f t="shared" si="92"/>
        <v>0</v>
      </c>
      <c r="V960" t="str">
        <f t="shared" si="89"/>
        <v xml:space="preserve"> </v>
      </c>
      <c r="Y960" s="162" t="e">
        <f>VLOOKUP(B960,Crewlist!AS:AU,3,FALSE)</f>
        <v>#N/A</v>
      </c>
      <c r="Z960" s="163">
        <f t="shared" si="88"/>
        <v>0</v>
      </c>
    </row>
    <row r="961" spans="2:26">
      <c r="B961" s="171">
        <v>960</v>
      </c>
      <c r="C961" s="169"/>
      <c r="N961" s="201">
        <v>0</v>
      </c>
      <c r="Q961">
        <f t="shared" si="90"/>
        <v>0</v>
      </c>
      <c r="R961">
        <f t="shared" si="87"/>
        <v>959</v>
      </c>
      <c r="S961">
        <f>IFERROR(SEARCH(Crewlist!$P$5,V961)+ROW()/100000,"")</f>
        <v>1.0096099999999999</v>
      </c>
      <c r="T961">
        <f t="shared" si="91"/>
        <v>960</v>
      </c>
      <c r="U961">
        <f t="shared" si="92"/>
        <v>0</v>
      </c>
      <c r="V961" t="str">
        <f t="shared" si="89"/>
        <v xml:space="preserve"> </v>
      </c>
      <c r="Y961" s="162" t="e">
        <f>VLOOKUP(B961,Crewlist!AS:AU,3,FALSE)</f>
        <v>#N/A</v>
      </c>
      <c r="Z961" s="163">
        <f t="shared" si="88"/>
        <v>0</v>
      </c>
    </row>
    <row r="962" spans="2:26">
      <c r="B962" s="202">
        <v>961</v>
      </c>
      <c r="C962" s="169"/>
      <c r="N962" s="201">
        <v>0</v>
      </c>
      <c r="Q962">
        <f t="shared" si="90"/>
        <v>0</v>
      </c>
      <c r="R962">
        <f t="shared" ref="R962:R1025" si="93">IFERROR(RANK(S962,$S$2:$S$1998,1),"")</f>
        <v>960</v>
      </c>
      <c r="S962">
        <f>IFERROR(SEARCH(Crewlist!$P$5,V962)+ROW()/100000,"")</f>
        <v>1.00962</v>
      </c>
      <c r="T962">
        <f t="shared" si="91"/>
        <v>961</v>
      </c>
      <c r="U962">
        <f t="shared" si="92"/>
        <v>0</v>
      </c>
      <c r="V962" t="str">
        <f t="shared" si="89"/>
        <v xml:space="preserve"> </v>
      </c>
      <c r="Y962" s="162" t="e">
        <f>VLOOKUP(B962,Crewlist!AS:AU,3,FALSE)</f>
        <v>#N/A</v>
      </c>
      <c r="Z962" s="163">
        <f t="shared" ref="Z962:Z1025" si="94">IF(ISNUMBER(SEARCH("",Y962)),Y962,N962)</f>
        <v>0</v>
      </c>
    </row>
    <row r="963" spans="2:26">
      <c r="B963" s="171">
        <v>962</v>
      </c>
      <c r="C963" s="169"/>
      <c r="N963" s="201">
        <v>0</v>
      </c>
      <c r="Q963">
        <f t="shared" si="90"/>
        <v>0</v>
      </c>
      <c r="R963">
        <f t="shared" si="93"/>
        <v>961</v>
      </c>
      <c r="S963">
        <f>IFERROR(SEARCH(Crewlist!$P$5,V963)+ROW()/100000,"")</f>
        <v>1.00963</v>
      </c>
      <c r="T963">
        <f t="shared" si="91"/>
        <v>962</v>
      </c>
      <c r="U963">
        <f t="shared" si="92"/>
        <v>0</v>
      </c>
      <c r="V963" t="str">
        <f t="shared" ref="V963:V1026" si="95">CONCATENATE(C963," ",D963)</f>
        <v xml:space="preserve"> </v>
      </c>
      <c r="Y963" s="162" t="e">
        <f>VLOOKUP(B963,Crewlist!AS:AU,3,FALSE)</f>
        <v>#N/A</v>
      </c>
      <c r="Z963" s="163">
        <f t="shared" si="94"/>
        <v>0</v>
      </c>
    </row>
    <row r="964" spans="2:26">
      <c r="B964" s="171">
        <v>963</v>
      </c>
      <c r="C964" s="169"/>
      <c r="N964" s="201">
        <v>0</v>
      </c>
      <c r="Q964">
        <f t="shared" si="90"/>
        <v>0</v>
      </c>
      <c r="R964">
        <f t="shared" si="93"/>
        <v>962</v>
      </c>
      <c r="S964">
        <f>IFERROR(SEARCH(Crewlist!$P$5,V964)+ROW()/100000,"")</f>
        <v>1.0096400000000001</v>
      </c>
      <c r="T964">
        <f t="shared" si="91"/>
        <v>963</v>
      </c>
      <c r="U964">
        <f t="shared" si="92"/>
        <v>0</v>
      </c>
      <c r="V964" t="str">
        <f t="shared" si="95"/>
        <v xml:space="preserve"> </v>
      </c>
      <c r="Y964" s="162" t="e">
        <f>VLOOKUP(B964,Crewlist!AS:AU,3,FALSE)</f>
        <v>#N/A</v>
      </c>
      <c r="Z964" s="163">
        <f t="shared" si="94"/>
        <v>0</v>
      </c>
    </row>
    <row r="965" spans="2:26">
      <c r="B965" s="202">
        <v>964</v>
      </c>
      <c r="C965" s="169"/>
      <c r="N965" s="201">
        <v>0</v>
      </c>
      <c r="Q965">
        <f t="shared" si="90"/>
        <v>0</v>
      </c>
      <c r="R965">
        <f t="shared" si="93"/>
        <v>963</v>
      </c>
      <c r="S965">
        <f>IFERROR(SEARCH(Crewlist!$P$5,V965)+ROW()/100000,"")</f>
        <v>1.0096499999999999</v>
      </c>
      <c r="T965">
        <f t="shared" si="91"/>
        <v>964</v>
      </c>
      <c r="U965">
        <f t="shared" si="92"/>
        <v>0</v>
      </c>
      <c r="V965" t="str">
        <f t="shared" si="95"/>
        <v xml:space="preserve"> </v>
      </c>
      <c r="Y965" s="162" t="e">
        <f>VLOOKUP(B965,Crewlist!AS:AU,3,FALSE)</f>
        <v>#N/A</v>
      </c>
      <c r="Z965" s="163">
        <f t="shared" si="94"/>
        <v>0</v>
      </c>
    </row>
    <row r="966" spans="2:26">
      <c r="B966" s="171">
        <v>965</v>
      </c>
      <c r="C966" s="169"/>
      <c r="N966" s="201">
        <v>0</v>
      </c>
      <c r="Q966">
        <f t="shared" si="90"/>
        <v>0</v>
      </c>
      <c r="R966">
        <f t="shared" si="93"/>
        <v>964</v>
      </c>
      <c r="S966">
        <f>IFERROR(SEARCH(Crewlist!$P$5,V966)+ROW()/100000,"")</f>
        <v>1.00966</v>
      </c>
      <c r="T966">
        <f t="shared" si="91"/>
        <v>965</v>
      </c>
      <c r="U966">
        <f t="shared" si="92"/>
        <v>0</v>
      </c>
      <c r="V966" t="str">
        <f t="shared" si="95"/>
        <v xml:space="preserve"> </v>
      </c>
      <c r="Y966" s="162" t="e">
        <f>VLOOKUP(B966,Crewlist!AS:AU,3,FALSE)</f>
        <v>#N/A</v>
      </c>
      <c r="Z966" s="163">
        <f t="shared" si="94"/>
        <v>0</v>
      </c>
    </row>
    <row r="967" spans="2:26">
      <c r="B967" s="171">
        <v>966</v>
      </c>
      <c r="C967" s="169"/>
      <c r="N967" s="201">
        <v>0</v>
      </c>
      <c r="Q967">
        <f t="shared" si="90"/>
        <v>0</v>
      </c>
      <c r="R967">
        <f t="shared" si="93"/>
        <v>965</v>
      </c>
      <c r="S967">
        <f>IFERROR(SEARCH(Crewlist!$P$5,V967)+ROW()/100000,"")</f>
        <v>1.0096700000000001</v>
      </c>
      <c r="T967">
        <f t="shared" si="91"/>
        <v>966</v>
      </c>
      <c r="U967">
        <f t="shared" si="92"/>
        <v>0</v>
      </c>
      <c r="V967" t="str">
        <f t="shared" si="95"/>
        <v xml:space="preserve"> </v>
      </c>
      <c r="Y967" s="162" t="e">
        <f>VLOOKUP(B967,Crewlist!AS:AU,3,FALSE)</f>
        <v>#N/A</v>
      </c>
      <c r="Z967" s="163">
        <f t="shared" si="94"/>
        <v>0</v>
      </c>
    </row>
    <row r="968" spans="2:26">
      <c r="B968" s="202">
        <v>967</v>
      </c>
      <c r="C968" s="169"/>
      <c r="N968" s="201">
        <v>0</v>
      </c>
      <c r="Q968">
        <f t="shared" si="90"/>
        <v>0</v>
      </c>
      <c r="R968">
        <f t="shared" si="93"/>
        <v>966</v>
      </c>
      <c r="S968">
        <f>IFERROR(SEARCH(Crewlist!$P$5,V968)+ROW()/100000,"")</f>
        <v>1.0096799999999999</v>
      </c>
      <c r="T968">
        <f t="shared" si="91"/>
        <v>967</v>
      </c>
      <c r="U968">
        <f t="shared" si="92"/>
        <v>0</v>
      </c>
      <c r="V968" t="str">
        <f t="shared" si="95"/>
        <v xml:space="preserve"> </v>
      </c>
      <c r="Y968" s="162" t="e">
        <f>VLOOKUP(B968,Crewlist!AS:AU,3,FALSE)</f>
        <v>#N/A</v>
      </c>
      <c r="Z968" s="163">
        <f t="shared" si="94"/>
        <v>0</v>
      </c>
    </row>
    <row r="969" spans="2:26">
      <c r="B969" s="171">
        <v>968</v>
      </c>
      <c r="C969" s="169"/>
      <c r="N969" s="201">
        <v>0</v>
      </c>
      <c r="Q969">
        <f t="shared" ref="Q969:Q1032" si="96">IF(C969&lt;&gt; "",B969,0)</f>
        <v>0</v>
      </c>
      <c r="R969">
        <f t="shared" si="93"/>
        <v>967</v>
      </c>
      <c r="S969">
        <f>IFERROR(SEARCH(Crewlist!$P$5,V969)+ROW()/100000,"")</f>
        <v>1.00969</v>
      </c>
      <c r="T969">
        <f t="shared" ref="T969:T1032" si="97">B969</f>
        <v>968</v>
      </c>
      <c r="U969">
        <f t="shared" ref="U969:U1032" si="98">C969</f>
        <v>0</v>
      </c>
      <c r="V969" t="str">
        <f t="shared" si="95"/>
        <v xml:space="preserve"> </v>
      </c>
      <c r="Y969" s="162" t="e">
        <f>VLOOKUP(B969,Crewlist!AS:AU,3,FALSE)</f>
        <v>#N/A</v>
      </c>
      <c r="Z969" s="163">
        <f t="shared" si="94"/>
        <v>0</v>
      </c>
    </row>
    <row r="970" spans="2:26">
      <c r="B970" s="171">
        <v>969</v>
      </c>
      <c r="C970" s="169"/>
      <c r="N970" s="201">
        <v>0</v>
      </c>
      <c r="Q970">
        <f t="shared" si="96"/>
        <v>0</v>
      </c>
      <c r="R970">
        <f t="shared" si="93"/>
        <v>968</v>
      </c>
      <c r="S970">
        <f>IFERROR(SEARCH(Crewlist!$P$5,V970)+ROW()/100000,"")</f>
        <v>1.0097</v>
      </c>
      <c r="T970">
        <f t="shared" si="97"/>
        <v>969</v>
      </c>
      <c r="U970">
        <f t="shared" si="98"/>
        <v>0</v>
      </c>
      <c r="V970" t="str">
        <f t="shared" si="95"/>
        <v xml:space="preserve"> </v>
      </c>
      <c r="Y970" s="162" t="e">
        <f>VLOOKUP(B970,Crewlist!AS:AU,3,FALSE)</f>
        <v>#N/A</v>
      </c>
      <c r="Z970" s="163">
        <f t="shared" si="94"/>
        <v>0</v>
      </c>
    </row>
    <row r="971" spans="2:26">
      <c r="B971" s="202">
        <v>970</v>
      </c>
      <c r="C971" s="169"/>
      <c r="N971" s="201">
        <v>0</v>
      </c>
      <c r="Q971">
        <f t="shared" si="96"/>
        <v>0</v>
      </c>
      <c r="R971">
        <f t="shared" si="93"/>
        <v>969</v>
      </c>
      <c r="S971">
        <f>IFERROR(SEARCH(Crewlist!$P$5,V971)+ROW()/100000,"")</f>
        <v>1.0097100000000001</v>
      </c>
      <c r="T971">
        <f t="shared" si="97"/>
        <v>970</v>
      </c>
      <c r="U971">
        <f t="shared" si="98"/>
        <v>0</v>
      </c>
      <c r="V971" t="str">
        <f t="shared" si="95"/>
        <v xml:space="preserve"> </v>
      </c>
      <c r="Y971" s="162" t="e">
        <f>VLOOKUP(B971,Crewlist!AS:AU,3,FALSE)</f>
        <v>#N/A</v>
      </c>
      <c r="Z971" s="163">
        <f t="shared" si="94"/>
        <v>0</v>
      </c>
    </row>
    <row r="972" spans="2:26">
      <c r="B972" s="171">
        <v>971</v>
      </c>
      <c r="C972" s="169"/>
      <c r="N972" s="201">
        <v>0</v>
      </c>
      <c r="Q972">
        <f t="shared" si="96"/>
        <v>0</v>
      </c>
      <c r="R972">
        <f t="shared" si="93"/>
        <v>970</v>
      </c>
      <c r="S972">
        <f>IFERROR(SEARCH(Crewlist!$P$5,V972)+ROW()/100000,"")</f>
        <v>1.00972</v>
      </c>
      <c r="T972">
        <f t="shared" si="97"/>
        <v>971</v>
      </c>
      <c r="U972">
        <f t="shared" si="98"/>
        <v>0</v>
      </c>
      <c r="V972" t="str">
        <f t="shared" si="95"/>
        <v xml:space="preserve"> </v>
      </c>
      <c r="Y972" s="162" t="e">
        <f>VLOOKUP(B972,Crewlist!AS:AU,3,FALSE)</f>
        <v>#N/A</v>
      </c>
      <c r="Z972" s="163">
        <f t="shared" si="94"/>
        <v>0</v>
      </c>
    </row>
    <row r="973" spans="2:26">
      <c r="B973" s="171">
        <v>972</v>
      </c>
      <c r="C973" s="169"/>
      <c r="N973" s="201">
        <v>0</v>
      </c>
      <c r="Q973">
        <f t="shared" si="96"/>
        <v>0</v>
      </c>
      <c r="R973">
        <f t="shared" si="93"/>
        <v>971</v>
      </c>
      <c r="S973">
        <f>IFERROR(SEARCH(Crewlist!$P$5,V973)+ROW()/100000,"")</f>
        <v>1.00973</v>
      </c>
      <c r="T973">
        <f t="shared" si="97"/>
        <v>972</v>
      </c>
      <c r="U973">
        <f t="shared" si="98"/>
        <v>0</v>
      </c>
      <c r="V973" t="str">
        <f t="shared" si="95"/>
        <v xml:space="preserve"> </v>
      </c>
      <c r="Y973" s="162" t="e">
        <f>VLOOKUP(B973,Crewlist!AS:AU,3,FALSE)</f>
        <v>#N/A</v>
      </c>
      <c r="Z973" s="163">
        <f t="shared" si="94"/>
        <v>0</v>
      </c>
    </row>
    <row r="974" spans="2:26">
      <c r="B974" s="202">
        <v>973</v>
      </c>
      <c r="C974" s="169"/>
      <c r="N974" s="201">
        <v>0</v>
      </c>
      <c r="Q974">
        <f t="shared" si="96"/>
        <v>0</v>
      </c>
      <c r="R974">
        <f t="shared" si="93"/>
        <v>972</v>
      </c>
      <c r="S974">
        <f>IFERROR(SEARCH(Crewlist!$P$5,V974)+ROW()/100000,"")</f>
        <v>1.0097400000000001</v>
      </c>
      <c r="T974">
        <f t="shared" si="97"/>
        <v>973</v>
      </c>
      <c r="U974">
        <f t="shared" si="98"/>
        <v>0</v>
      </c>
      <c r="V974" t="str">
        <f t="shared" si="95"/>
        <v xml:space="preserve"> </v>
      </c>
      <c r="Y974" s="162" t="e">
        <f>VLOOKUP(B974,Crewlist!AS:AU,3,FALSE)</f>
        <v>#N/A</v>
      </c>
      <c r="Z974" s="163">
        <f t="shared" si="94"/>
        <v>0</v>
      </c>
    </row>
    <row r="975" spans="2:26">
      <c r="B975" s="171">
        <v>974</v>
      </c>
      <c r="C975" s="169"/>
      <c r="N975" s="201">
        <v>0</v>
      </c>
      <c r="Q975">
        <f t="shared" si="96"/>
        <v>0</v>
      </c>
      <c r="R975">
        <f t="shared" si="93"/>
        <v>973</v>
      </c>
      <c r="S975">
        <f>IFERROR(SEARCH(Crewlist!$P$5,V975)+ROW()/100000,"")</f>
        <v>1.0097499999999999</v>
      </c>
      <c r="T975">
        <f t="shared" si="97"/>
        <v>974</v>
      </c>
      <c r="U975">
        <f t="shared" si="98"/>
        <v>0</v>
      </c>
      <c r="V975" t="str">
        <f t="shared" si="95"/>
        <v xml:space="preserve"> </v>
      </c>
      <c r="Y975" s="162" t="e">
        <f>VLOOKUP(B975,Crewlist!AS:AU,3,FALSE)</f>
        <v>#N/A</v>
      </c>
      <c r="Z975" s="163">
        <f t="shared" si="94"/>
        <v>0</v>
      </c>
    </row>
    <row r="976" spans="2:26">
      <c r="B976" s="171">
        <v>975</v>
      </c>
      <c r="C976" s="169"/>
      <c r="N976" s="201">
        <v>0</v>
      </c>
      <c r="Q976">
        <f t="shared" si="96"/>
        <v>0</v>
      </c>
      <c r="R976">
        <f t="shared" si="93"/>
        <v>974</v>
      </c>
      <c r="S976">
        <f>IFERROR(SEARCH(Crewlist!$P$5,V976)+ROW()/100000,"")</f>
        <v>1.00976</v>
      </c>
      <c r="T976">
        <f t="shared" si="97"/>
        <v>975</v>
      </c>
      <c r="U976">
        <f t="shared" si="98"/>
        <v>0</v>
      </c>
      <c r="V976" t="str">
        <f t="shared" si="95"/>
        <v xml:space="preserve"> </v>
      </c>
      <c r="Y976" s="162" t="e">
        <f>VLOOKUP(B976,Crewlist!AS:AU,3,FALSE)</f>
        <v>#N/A</v>
      </c>
      <c r="Z976" s="163">
        <f t="shared" si="94"/>
        <v>0</v>
      </c>
    </row>
    <row r="977" spans="2:26">
      <c r="B977" s="202">
        <v>976</v>
      </c>
      <c r="C977" s="169"/>
      <c r="N977" s="201">
        <v>0</v>
      </c>
      <c r="Q977">
        <f t="shared" si="96"/>
        <v>0</v>
      </c>
      <c r="R977">
        <f t="shared" si="93"/>
        <v>975</v>
      </c>
      <c r="S977">
        <f>IFERROR(SEARCH(Crewlist!$P$5,V977)+ROW()/100000,"")</f>
        <v>1.0097700000000001</v>
      </c>
      <c r="T977">
        <f t="shared" si="97"/>
        <v>976</v>
      </c>
      <c r="U977">
        <f t="shared" si="98"/>
        <v>0</v>
      </c>
      <c r="V977" t="str">
        <f t="shared" si="95"/>
        <v xml:space="preserve"> </v>
      </c>
      <c r="Y977" s="162" t="e">
        <f>VLOOKUP(B977,Crewlist!AS:AU,3,FALSE)</f>
        <v>#N/A</v>
      </c>
      <c r="Z977" s="163">
        <f t="shared" si="94"/>
        <v>0</v>
      </c>
    </row>
    <row r="978" spans="2:26">
      <c r="B978" s="171">
        <v>977</v>
      </c>
      <c r="C978" s="169"/>
      <c r="N978" s="201">
        <v>0</v>
      </c>
      <c r="Q978">
        <f t="shared" si="96"/>
        <v>0</v>
      </c>
      <c r="R978">
        <f t="shared" si="93"/>
        <v>976</v>
      </c>
      <c r="S978">
        <f>IFERROR(SEARCH(Crewlist!$P$5,V978)+ROW()/100000,"")</f>
        <v>1.0097799999999999</v>
      </c>
      <c r="T978">
        <f t="shared" si="97"/>
        <v>977</v>
      </c>
      <c r="U978">
        <f t="shared" si="98"/>
        <v>0</v>
      </c>
      <c r="V978" t="str">
        <f t="shared" si="95"/>
        <v xml:space="preserve"> </v>
      </c>
      <c r="Y978" s="162" t="e">
        <f>VLOOKUP(B978,Crewlist!AS:AU,3,FALSE)</f>
        <v>#N/A</v>
      </c>
      <c r="Z978" s="163">
        <f t="shared" si="94"/>
        <v>0</v>
      </c>
    </row>
    <row r="979" spans="2:26">
      <c r="B979" s="171">
        <v>978</v>
      </c>
      <c r="C979" s="169"/>
      <c r="N979" s="201">
        <v>0</v>
      </c>
      <c r="Q979">
        <f t="shared" si="96"/>
        <v>0</v>
      </c>
      <c r="R979">
        <f t="shared" si="93"/>
        <v>977</v>
      </c>
      <c r="S979">
        <f>IFERROR(SEARCH(Crewlist!$P$5,V979)+ROW()/100000,"")</f>
        <v>1.00979</v>
      </c>
      <c r="T979">
        <f t="shared" si="97"/>
        <v>978</v>
      </c>
      <c r="U979">
        <f t="shared" si="98"/>
        <v>0</v>
      </c>
      <c r="V979" t="str">
        <f t="shared" si="95"/>
        <v xml:space="preserve"> </v>
      </c>
      <c r="Y979" s="162" t="e">
        <f>VLOOKUP(B979,Crewlist!AS:AU,3,FALSE)</f>
        <v>#N/A</v>
      </c>
      <c r="Z979" s="163">
        <f t="shared" si="94"/>
        <v>0</v>
      </c>
    </row>
    <row r="980" spans="2:26">
      <c r="B980" s="202">
        <v>979</v>
      </c>
      <c r="C980" s="169"/>
      <c r="N980" s="201">
        <v>0</v>
      </c>
      <c r="Q980">
        <f t="shared" si="96"/>
        <v>0</v>
      </c>
      <c r="R980">
        <f t="shared" si="93"/>
        <v>978</v>
      </c>
      <c r="S980">
        <f>IFERROR(SEARCH(Crewlist!$P$5,V980)+ROW()/100000,"")</f>
        <v>1.0098</v>
      </c>
      <c r="T980">
        <f t="shared" si="97"/>
        <v>979</v>
      </c>
      <c r="U980">
        <f t="shared" si="98"/>
        <v>0</v>
      </c>
      <c r="V980" t="str">
        <f t="shared" si="95"/>
        <v xml:space="preserve"> </v>
      </c>
      <c r="Y980" s="162" t="e">
        <f>VLOOKUP(B980,Crewlist!AS:AU,3,FALSE)</f>
        <v>#N/A</v>
      </c>
      <c r="Z980" s="163">
        <f t="shared" si="94"/>
        <v>0</v>
      </c>
    </row>
    <row r="981" spans="2:26">
      <c r="B981" s="171">
        <v>980</v>
      </c>
      <c r="C981" s="169"/>
      <c r="N981" s="201">
        <v>0</v>
      </c>
      <c r="Q981">
        <f t="shared" si="96"/>
        <v>0</v>
      </c>
      <c r="R981">
        <f t="shared" si="93"/>
        <v>979</v>
      </c>
      <c r="S981">
        <f>IFERROR(SEARCH(Crewlist!$P$5,V981)+ROW()/100000,"")</f>
        <v>1.0098100000000001</v>
      </c>
      <c r="T981">
        <f t="shared" si="97"/>
        <v>980</v>
      </c>
      <c r="U981">
        <f t="shared" si="98"/>
        <v>0</v>
      </c>
      <c r="V981" t="str">
        <f t="shared" si="95"/>
        <v xml:space="preserve"> </v>
      </c>
      <c r="Y981" s="162" t="e">
        <f>VLOOKUP(B981,Crewlist!AS:AU,3,FALSE)</f>
        <v>#N/A</v>
      </c>
      <c r="Z981" s="163">
        <f t="shared" si="94"/>
        <v>0</v>
      </c>
    </row>
    <row r="982" spans="2:26">
      <c r="B982" s="171">
        <v>981</v>
      </c>
      <c r="C982" s="169"/>
      <c r="N982" s="201">
        <v>0</v>
      </c>
      <c r="Q982">
        <f t="shared" si="96"/>
        <v>0</v>
      </c>
      <c r="R982">
        <f t="shared" si="93"/>
        <v>980</v>
      </c>
      <c r="S982">
        <f>IFERROR(SEARCH(Crewlist!$P$5,V982)+ROW()/100000,"")</f>
        <v>1.0098199999999999</v>
      </c>
      <c r="T982">
        <f t="shared" si="97"/>
        <v>981</v>
      </c>
      <c r="U982">
        <f t="shared" si="98"/>
        <v>0</v>
      </c>
      <c r="V982" t="str">
        <f t="shared" si="95"/>
        <v xml:space="preserve"> </v>
      </c>
      <c r="Y982" s="162" t="e">
        <f>VLOOKUP(B982,Crewlist!AS:AU,3,FALSE)</f>
        <v>#N/A</v>
      </c>
      <c r="Z982" s="163">
        <f t="shared" si="94"/>
        <v>0</v>
      </c>
    </row>
    <row r="983" spans="2:26">
      <c r="B983" s="202">
        <v>982</v>
      </c>
      <c r="C983" s="169"/>
      <c r="N983" s="201">
        <v>0</v>
      </c>
      <c r="Q983">
        <f t="shared" si="96"/>
        <v>0</v>
      </c>
      <c r="R983">
        <f t="shared" si="93"/>
        <v>981</v>
      </c>
      <c r="S983">
        <f>IFERROR(SEARCH(Crewlist!$P$5,V983)+ROW()/100000,"")</f>
        <v>1.00983</v>
      </c>
      <c r="T983">
        <f t="shared" si="97"/>
        <v>982</v>
      </c>
      <c r="U983">
        <f t="shared" si="98"/>
        <v>0</v>
      </c>
      <c r="V983" t="str">
        <f t="shared" si="95"/>
        <v xml:space="preserve"> </v>
      </c>
      <c r="Y983" s="162" t="e">
        <f>VLOOKUP(B983,Crewlist!AS:AU,3,FALSE)</f>
        <v>#N/A</v>
      </c>
      <c r="Z983" s="163">
        <f t="shared" si="94"/>
        <v>0</v>
      </c>
    </row>
    <row r="984" spans="2:26">
      <c r="B984" s="171">
        <v>983</v>
      </c>
      <c r="C984" s="169"/>
      <c r="N984" s="201">
        <v>0</v>
      </c>
      <c r="Q984">
        <f t="shared" si="96"/>
        <v>0</v>
      </c>
      <c r="R984">
        <f t="shared" si="93"/>
        <v>982</v>
      </c>
      <c r="S984">
        <f>IFERROR(SEARCH(Crewlist!$P$5,V984)+ROW()/100000,"")</f>
        <v>1.0098400000000001</v>
      </c>
      <c r="T984">
        <f t="shared" si="97"/>
        <v>983</v>
      </c>
      <c r="U984">
        <f t="shared" si="98"/>
        <v>0</v>
      </c>
      <c r="V984" t="str">
        <f t="shared" si="95"/>
        <v xml:space="preserve"> </v>
      </c>
      <c r="Y984" s="162" t="e">
        <f>VLOOKUP(B984,Crewlist!AS:AU,3,FALSE)</f>
        <v>#N/A</v>
      </c>
      <c r="Z984" s="163">
        <f t="shared" si="94"/>
        <v>0</v>
      </c>
    </row>
    <row r="985" spans="2:26">
      <c r="B985" s="171">
        <v>984</v>
      </c>
      <c r="C985" s="169"/>
      <c r="N985" s="201">
        <v>0</v>
      </c>
      <c r="Q985">
        <f t="shared" si="96"/>
        <v>0</v>
      </c>
      <c r="R985">
        <f t="shared" si="93"/>
        <v>983</v>
      </c>
      <c r="S985">
        <f>IFERROR(SEARCH(Crewlist!$P$5,V985)+ROW()/100000,"")</f>
        <v>1.0098499999999999</v>
      </c>
      <c r="T985">
        <f t="shared" si="97"/>
        <v>984</v>
      </c>
      <c r="U985">
        <f t="shared" si="98"/>
        <v>0</v>
      </c>
      <c r="V985" t="str">
        <f t="shared" si="95"/>
        <v xml:space="preserve"> </v>
      </c>
      <c r="Y985" s="162" t="e">
        <f>VLOOKUP(B985,Crewlist!AS:AU,3,FALSE)</f>
        <v>#N/A</v>
      </c>
      <c r="Z985" s="163">
        <f t="shared" si="94"/>
        <v>0</v>
      </c>
    </row>
    <row r="986" spans="2:26">
      <c r="B986" s="202">
        <v>985</v>
      </c>
      <c r="C986" s="169"/>
      <c r="N986" s="201">
        <v>0</v>
      </c>
      <c r="Q986">
        <f t="shared" si="96"/>
        <v>0</v>
      </c>
      <c r="R986">
        <f t="shared" si="93"/>
        <v>984</v>
      </c>
      <c r="S986">
        <f>IFERROR(SEARCH(Crewlist!$P$5,V986)+ROW()/100000,"")</f>
        <v>1.00986</v>
      </c>
      <c r="T986">
        <f t="shared" si="97"/>
        <v>985</v>
      </c>
      <c r="U986">
        <f t="shared" si="98"/>
        <v>0</v>
      </c>
      <c r="V986" t="str">
        <f t="shared" si="95"/>
        <v xml:space="preserve"> </v>
      </c>
      <c r="Y986" s="162" t="e">
        <f>VLOOKUP(B986,Crewlist!AS:AU,3,FALSE)</f>
        <v>#N/A</v>
      </c>
      <c r="Z986" s="163">
        <f t="shared" si="94"/>
        <v>0</v>
      </c>
    </row>
    <row r="987" spans="2:26">
      <c r="B987" s="171">
        <v>986</v>
      </c>
      <c r="C987" s="169"/>
      <c r="N987" s="201">
        <v>0</v>
      </c>
      <c r="Q987">
        <f t="shared" si="96"/>
        <v>0</v>
      </c>
      <c r="R987">
        <f t="shared" si="93"/>
        <v>985</v>
      </c>
      <c r="S987">
        <f>IFERROR(SEARCH(Crewlist!$P$5,V987)+ROW()/100000,"")</f>
        <v>1.00987</v>
      </c>
      <c r="T987">
        <f t="shared" si="97"/>
        <v>986</v>
      </c>
      <c r="U987">
        <f t="shared" si="98"/>
        <v>0</v>
      </c>
      <c r="V987" t="str">
        <f t="shared" si="95"/>
        <v xml:space="preserve"> </v>
      </c>
      <c r="Y987" s="162" t="e">
        <f>VLOOKUP(B987,Crewlist!AS:AU,3,FALSE)</f>
        <v>#N/A</v>
      </c>
      <c r="Z987" s="163">
        <f t="shared" si="94"/>
        <v>0</v>
      </c>
    </row>
    <row r="988" spans="2:26">
      <c r="B988" s="171">
        <v>987</v>
      </c>
      <c r="C988" s="169"/>
      <c r="N988" s="201">
        <v>0</v>
      </c>
      <c r="Q988">
        <f t="shared" si="96"/>
        <v>0</v>
      </c>
      <c r="R988">
        <f t="shared" si="93"/>
        <v>986</v>
      </c>
      <c r="S988">
        <f>IFERROR(SEARCH(Crewlist!$P$5,V988)+ROW()/100000,"")</f>
        <v>1.0098799999999999</v>
      </c>
      <c r="T988">
        <f t="shared" si="97"/>
        <v>987</v>
      </c>
      <c r="U988">
        <f t="shared" si="98"/>
        <v>0</v>
      </c>
      <c r="V988" t="str">
        <f t="shared" si="95"/>
        <v xml:space="preserve"> </v>
      </c>
      <c r="Y988" s="162" t="e">
        <f>VLOOKUP(B988,Crewlist!AS:AU,3,FALSE)</f>
        <v>#N/A</v>
      </c>
      <c r="Z988" s="163">
        <f t="shared" si="94"/>
        <v>0</v>
      </c>
    </row>
    <row r="989" spans="2:26">
      <c r="B989" s="202">
        <v>988</v>
      </c>
      <c r="C989" s="169"/>
      <c r="N989" s="201">
        <v>0</v>
      </c>
      <c r="Q989">
        <f t="shared" si="96"/>
        <v>0</v>
      </c>
      <c r="R989">
        <f t="shared" si="93"/>
        <v>987</v>
      </c>
      <c r="S989">
        <f>IFERROR(SEARCH(Crewlist!$P$5,V989)+ROW()/100000,"")</f>
        <v>1.00989</v>
      </c>
      <c r="T989">
        <f t="shared" si="97"/>
        <v>988</v>
      </c>
      <c r="U989">
        <f t="shared" si="98"/>
        <v>0</v>
      </c>
      <c r="V989" t="str">
        <f t="shared" si="95"/>
        <v xml:space="preserve"> </v>
      </c>
      <c r="Y989" s="162" t="e">
        <f>VLOOKUP(B989,Crewlist!AS:AU,3,FALSE)</f>
        <v>#N/A</v>
      </c>
      <c r="Z989" s="163">
        <f t="shared" si="94"/>
        <v>0</v>
      </c>
    </row>
    <row r="990" spans="2:26">
      <c r="B990" s="171">
        <v>989</v>
      </c>
      <c r="C990" s="169"/>
      <c r="N990" s="201">
        <v>0</v>
      </c>
      <c r="Q990">
        <f t="shared" si="96"/>
        <v>0</v>
      </c>
      <c r="R990">
        <f t="shared" si="93"/>
        <v>988</v>
      </c>
      <c r="S990">
        <f>IFERROR(SEARCH(Crewlist!$P$5,V990)+ROW()/100000,"")</f>
        <v>1.0099</v>
      </c>
      <c r="T990">
        <f t="shared" si="97"/>
        <v>989</v>
      </c>
      <c r="U990">
        <f t="shared" si="98"/>
        <v>0</v>
      </c>
      <c r="V990" t="str">
        <f t="shared" si="95"/>
        <v xml:space="preserve"> </v>
      </c>
      <c r="Y990" s="162" t="e">
        <f>VLOOKUP(B990,Crewlist!AS:AU,3,FALSE)</f>
        <v>#N/A</v>
      </c>
      <c r="Z990" s="163">
        <f t="shared" si="94"/>
        <v>0</v>
      </c>
    </row>
    <row r="991" spans="2:26">
      <c r="B991" s="171">
        <v>990</v>
      </c>
      <c r="C991" s="169"/>
      <c r="N991" s="201">
        <v>0</v>
      </c>
      <c r="Q991">
        <f t="shared" si="96"/>
        <v>0</v>
      </c>
      <c r="R991">
        <f t="shared" si="93"/>
        <v>989</v>
      </c>
      <c r="S991">
        <f>IFERROR(SEARCH(Crewlist!$P$5,V991)+ROW()/100000,"")</f>
        <v>1.0099100000000001</v>
      </c>
      <c r="T991">
        <f t="shared" si="97"/>
        <v>990</v>
      </c>
      <c r="U991">
        <f t="shared" si="98"/>
        <v>0</v>
      </c>
      <c r="V991" t="str">
        <f t="shared" si="95"/>
        <v xml:space="preserve"> </v>
      </c>
      <c r="Y991" s="162" t="e">
        <f>VLOOKUP(B991,Crewlist!AS:AU,3,FALSE)</f>
        <v>#N/A</v>
      </c>
      <c r="Z991" s="163">
        <f t="shared" si="94"/>
        <v>0</v>
      </c>
    </row>
    <row r="992" spans="2:26">
      <c r="B992" s="202">
        <v>991</v>
      </c>
      <c r="C992" s="169"/>
      <c r="N992" s="201">
        <v>0</v>
      </c>
      <c r="Q992">
        <f t="shared" si="96"/>
        <v>0</v>
      </c>
      <c r="R992">
        <f t="shared" si="93"/>
        <v>990</v>
      </c>
      <c r="S992">
        <f>IFERROR(SEARCH(Crewlist!$P$5,V992)+ROW()/100000,"")</f>
        <v>1.0099199999999999</v>
      </c>
      <c r="T992">
        <f t="shared" si="97"/>
        <v>991</v>
      </c>
      <c r="U992">
        <f t="shared" si="98"/>
        <v>0</v>
      </c>
      <c r="V992" t="str">
        <f t="shared" si="95"/>
        <v xml:space="preserve"> </v>
      </c>
      <c r="Y992" s="162" t="e">
        <f>VLOOKUP(B992,Crewlist!AS:AU,3,FALSE)</f>
        <v>#N/A</v>
      </c>
      <c r="Z992" s="163">
        <f t="shared" si="94"/>
        <v>0</v>
      </c>
    </row>
    <row r="993" spans="2:26">
      <c r="B993" s="171">
        <v>992</v>
      </c>
      <c r="C993" s="169"/>
      <c r="N993" s="201">
        <v>0</v>
      </c>
      <c r="Q993">
        <f t="shared" si="96"/>
        <v>0</v>
      </c>
      <c r="R993">
        <f t="shared" si="93"/>
        <v>991</v>
      </c>
      <c r="S993">
        <f>IFERROR(SEARCH(Crewlist!$P$5,V993)+ROW()/100000,"")</f>
        <v>1.00993</v>
      </c>
      <c r="T993">
        <f t="shared" si="97"/>
        <v>992</v>
      </c>
      <c r="U993">
        <f t="shared" si="98"/>
        <v>0</v>
      </c>
      <c r="V993" t="str">
        <f t="shared" si="95"/>
        <v xml:space="preserve"> </v>
      </c>
      <c r="Y993" s="162" t="e">
        <f>VLOOKUP(B993,Crewlist!AS:AU,3,FALSE)</f>
        <v>#N/A</v>
      </c>
      <c r="Z993" s="163">
        <f t="shared" si="94"/>
        <v>0</v>
      </c>
    </row>
    <row r="994" spans="2:26">
      <c r="B994" s="171">
        <v>993</v>
      </c>
      <c r="C994" s="169"/>
      <c r="N994" s="201">
        <v>0</v>
      </c>
      <c r="Q994">
        <f t="shared" si="96"/>
        <v>0</v>
      </c>
      <c r="R994">
        <f t="shared" si="93"/>
        <v>992</v>
      </c>
      <c r="S994">
        <f>IFERROR(SEARCH(Crewlist!$P$5,V994)+ROW()/100000,"")</f>
        <v>1.0099400000000001</v>
      </c>
      <c r="T994">
        <f t="shared" si="97"/>
        <v>993</v>
      </c>
      <c r="U994">
        <f t="shared" si="98"/>
        <v>0</v>
      </c>
      <c r="V994" t="str">
        <f t="shared" si="95"/>
        <v xml:space="preserve"> </v>
      </c>
      <c r="Y994" s="162" t="e">
        <f>VLOOKUP(B994,Crewlist!AS:AU,3,FALSE)</f>
        <v>#N/A</v>
      </c>
      <c r="Z994" s="163">
        <f t="shared" si="94"/>
        <v>0</v>
      </c>
    </row>
    <row r="995" spans="2:26">
      <c r="B995" s="202">
        <v>994</v>
      </c>
      <c r="C995" s="169"/>
      <c r="N995" s="201">
        <v>0</v>
      </c>
      <c r="Q995">
        <f t="shared" si="96"/>
        <v>0</v>
      </c>
      <c r="R995">
        <f t="shared" si="93"/>
        <v>993</v>
      </c>
      <c r="S995">
        <f>IFERROR(SEARCH(Crewlist!$P$5,V995)+ROW()/100000,"")</f>
        <v>1.0099499999999999</v>
      </c>
      <c r="T995">
        <f t="shared" si="97"/>
        <v>994</v>
      </c>
      <c r="U995">
        <f t="shared" si="98"/>
        <v>0</v>
      </c>
      <c r="V995" t="str">
        <f t="shared" si="95"/>
        <v xml:space="preserve"> </v>
      </c>
      <c r="Y995" s="162" t="e">
        <f>VLOOKUP(B995,Crewlist!AS:AU,3,FALSE)</f>
        <v>#N/A</v>
      </c>
      <c r="Z995" s="163">
        <f t="shared" si="94"/>
        <v>0</v>
      </c>
    </row>
    <row r="996" spans="2:26">
      <c r="B996" s="171">
        <v>995</v>
      </c>
      <c r="C996" s="169"/>
      <c r="N996" s="201">
        <v>0</v>
      </c>
      <c r="Q996">
        <f t="shared" si="96"/>
        <v>0</v>
      </c>
      <c r="R996">
        <f t="shared" si="93"/>
        <v>994</v>
      </c>
      <c r="S996">
        <f>IFERROR(SEARCH(Crewlist!$P$5,V996)+ROW()/100000,"")</f>
        <v>1.00996</v>
      </c>
      <c r="T996">
        <f t="shared" si="97"/>
        <v>995</v>
      </c>
      <c r="U996">
        <f t="shared" si="98"/>
        <v>0</v>
      </c>
      <c r="V996" t="str">
        <f t="shared" si="95"/>
        <v xml:space="preserve"> </v>
      </c>
      <c r="Y996" s="162" t="e">
        <f>VLOOKUP(B996,Crewlist!AS:AU,3,FALSE)</f>
        <v>#N/A</v>
      </c>
      <c r="Z996" s="163">
        <f t="shared" si="94"/>
        <v>0</v>
      </c>
    </row>
    <row r="997" spans="2:26">
      <c r="B997" s="171">
        <v>996</v>
      </c>
      <c r="C997" s="169"/>
      <c r="N997" s="201">
        <v>0</v>
      </c>
      <c r="Q997">
        <f t="shared" si="96"/>
        <v>0</v>
      </c>
      <c r="R997">
        <f t="shared" si="93"/>
        <v>995</v>
      </c>
      <c r="S997">
        <f>IFERROR(SEARCH(Crewlist!$P$5,V997)+ROW()/100000,"")</f>
        <v>1.00997</v>
      </c>
      <c r="T997">
        <f t="shared" si="97"/>
        <v>996</v>
      </c>
      <c r="U997">
        <f t="shared" si="98"/>
        <v>0</v>
      </c>
      <c r="V997" t="str">
        <f t="shared" si="95"/>
        <v xml:space="preserve"> </v>
      </c>
      <c r="Y997" s="162" t="e">
        <f>VLOOKUP(B997,Crewlist!AS:AU,3,FALSE)</f>
        <v>#N/A</v>
      </c>
      <c r="Z997" s="163">
        <f t="shared" si="94"/>
        <v>0</v>
      </c>
    </row>
    <row r="998" spans="2:26">
      <c r="B998" s="202">
        <v>997</v>
      </c>
      <c r="C998" s="169"/>
      <c r="N998" s="201">
        <v>0</v>
      </c>
      <c r="Q998">
        <f t="shared" si="96"/>
        <v>0</v>
      </c>
      <c r="R998">
        <f t="shared" si="93"/>
        <v>996</v>
      </c>
      <c r="S998">
        <f>IFERROR(SEARCH(Crewlist!$P$5,V998)+ROW()/100000,"")</f>
        <v>1.0099800000000001</v>
      </c>
      <c r="T998">
        <f t="shared" si="97"/>
        <v>997</v>
      </c>
      <c r="U998">
        <f t="shared" si="98"/>
        <v>0</v>
      </c>
      <c r="V998" t="str">
        <f t="shared" si="95"/>
        <v xml:space="preserve"> </v>
      </c>
      <c r="Y998" s="162" t="e">
        <f>VLOOKUP(B998,Crewlist!AS:AU,3,FALSE)</f>
        <v>#N/A</v>
      </c>
      <c r="Z998" s="163">
        <f t="shared" si="94"/>
        <v>0</v>
      </c>
    </row>
    <row r="999" spans="2:26">
      <c r="B999" s="171">
        <v>998</v>
      </c>
      <c r="C999" s="169"/>
      <c r="N999" s="201">
        <v>0</v>
      </c>
      <c r="Q999">
        <f t="shared" si="96"/>
        <v>0</v>
      </c>
      <c r="R999">
        <f t="shared" si="93"/>
        <v>997</v>
      </c>
      <c r="S999">
        <f>IFERROR(SEARCH(Crewlist!$P$5,V999)+ROW()/100000,"")</f>
        <v>1.0099899999999999</v>
      </c>
      <c r="T999">
        <f t="shared" si="97"/>
        <v>998</v>
      </c>
      <c r="U999">
        <f t="shared" si="98"/>
        <v>0</v>
      </c>
      <c r="V999" t="str">
        <f t="shared" si="95"/>
        <v xml:space="preserve"> </v>
      </c>
      <c r="Y999" s="162" t="e">
        <f>VLOOKUP(B999,Crewlist!AS:AU,3,FALSE)</f>
        <v>#N/A</v>
      </c>
      <c r="Z999" s="163">
        <f t="shared" si="94"/>
        <v>0</v>
      </c>
    </row>
    <row r="1000" spans="2:26">
      <c r="B1000" s="171">
        <v>999</v>
      </c>
      <c r="C1000" s="169"/>
      <c r="N1000" s="201">
        <v>43679</v>
      </c>
      <c r="Q1000">
        <f t="shared" si="96"/>
        <v>0</v>
      </c>
      <c r="R1000">
        <f t="shared" si="93"/>
        <v>998</v>
      </c>
      <c r="S1000">
        <f>IFERROR(SEARCH(Crewlist!$P$5,V1000)+ROW()/100000,"")</f>
        <v>1.01</v>
      </c>
      <c r="T1000">
        <f t="shared" si="97"/>
        <v>999</v>
      </c>
      <c r="U1000">
        <f t="shared" si="98"/>
        <v>0</v>
      </c>
      <c r="V1000" t="str">
        <f t="shared" si="95"/>
        <v xml:space="preserve"> </v>
      </c>
      <c r="Y1000" s="162" t="e">
        <f>VLOOKUP(B1000,Crewlist!AS:AU,3,FALSE)</f>
        <v>#N/A</v>
      </c>
      <c r="Z1000" s="163">
        <f t="shared" si="94"/>
        <v>43679</v>
      </c>
    </row>
    <row r="1001" spans="2:26">
      <c r="B1001" s="202">
        <v>1000</v>
      </c>
      <c r="C1001" s="169"/>
      <c r="N1001" s="201">
        <v>0</v>
      </c>
      <c r="Q1001">
        <f t="shared" si="96"/>
        <v>0</v>
      </c>
      <c r="R1001">
        <f t="shared" si="93"/>
        <v>999</v>
      </c>
      <c r="S1001">
        <f>IFERROR(SEARCH(Crewlist!$P$5,V1001)+ROW()/100000,"")</f>
        <v>1.0100100000000001</v>
      </c>
      <c r="T1001">
        <f t="shared" si="97"/>
        <v>1000</v>
      </c>
      <c r="U1001">
        <f t="shared" si="98"/>
        <v>0</v>
      </c>
      <c r="V1001" t="str">
        <f t="shared" si="95"/>
        <v xml:space="preserve"> </v>
      </c>
      <c r="Y1001" s="162" t="e">
        <f>VLOOKUP(B1001,Crewlist!AS:AU,3,FALSE)</f>
        <v>#N/A</v>
      </c>
      <c r="Z1001" s="163">
        <f t="shared" si="94"/>
        <v>0</v>
      </c>
    </row>
    <row r="1002" spans="2:26">
      <c r="B1002" s="171">
        <v>1001</v>
      </c>
      <c r="C1002" s="169"/>
      <c r="N1002" s="201">
        <v>0</v>
      </c>
      <c r="Q1002">
        <f t="shared" si="96"/>
        <v>0</v>
      </c>
      <c r="R1002">
        <f t="shared" si="93"/>
        <v>1000</v>
      </c>
      <c r="S1002">
        <f>IFERROR(SEARCH(Crewlist!$P$5,V1002)+ROW()/100000,"")</f>
        <v>1.0100199999999999</v>
      </c>
      <c r="T1002">
        <f t="shared" si="97"/>
        <v>1001</v>
      </c>
      <c r="U1002">
        <f t="shared" si="98"/>
        <v>0</v>
      </c>
      <c r="V1002" t="str">
        <f t="shared" si="95"/>
        <v xml:space="preserve"> </v>
      </c>
      <c r="Y1002" s="162" t="e">
        <f>VLOOKUP(B1002,Crewlist!AS:AU,3,FALSE)</f>
        <v>#N/A</v>
      </c>
      <c r="Z1002" s="163">
        <f t="shared" si="94"/>
        <v>0</v>
      </c>
    </row>
    <row r="1003" spans="2:26">
      <c r="B1003" s="171">
        <v>1002</v>
      </c>
      <c r="C1003" s="169"/>
      <c r="N1003" s="201">
        <v>0</v>
      </c>
      <c r="Q1003">
        <f t="shared" si="96"/>
        <v>0</v>
      </c>
      <c r="R1003">
        <f t="shared" si="93"/>
        <v>1001</v>
      </c>
      <c r="S1003">
        <f>IFERROR(SEARCH(Crewlist!$P$5,V1003)+ROW()/100000,"")</f>
        <v>1.01003</v>
      </c>
      <c r="T1003">
        <f t="shared" si="97"/>
        <v>1002</v>
      </c>
      <c r="U1003">
        <f t="shared" si="98"/>
        <v>0</v>
      </c>
      <c r="V1003" t="str">
        <f t="shared" si="95"/>
        <v xml:space="preserve"> </v>
      </c>
      <c r="Y1003" s="162" t="e">
        <f>VLOOKUP(B1003,Crewlist!AS:AU,3,FALSE)</f>
        <v>#N/A</v>
      </c>
      <c r="Z1003" s="163">
        <f t="shared" si="94"/>
        <v>0</v>
      </c>
    </row>
    <row r="1004" spans="2:26">
      <c r="B1004" s="202">
        <v>1003</v>
      </c>
      <c r="C1004" s="169"/>
      <c r="N1004" s="201">
        <v>0</v>
      </c>
      <c r="Q1004">
        <f t="shared" si="96"/>
        <v>0</v>
      </c>
      <c r="R1004">
        <f t="shared" si="93"/>
        <v>1002</v>
      </c>
      <c r="S1004">
        <f>IFERROR(SEARCH(Crewlist!$P$5,V1004)+ROW()/100000,"")</f>
        <v>1.01004</v>
      </c>
      <c r="T1004">
        <f t="shared" si="97"/>
        <v>1003</v>
      </c>
      <c r="U1004">
        <f t="shared" si="98"/>
        <v>0</v>
      </c>
      <c r="V1004" t="str">
        <f t="shared" si="95"/>
        <v xml:space="preserve"> </v>
      </c>
      <c r="Y1004" s="162" t="e">
        <f>VLOOKUP(B1004,Crewlist!AS:AU,3,FALSE)</f>
        <v>#N/A</v>
      </c>
      <c r="Z1004" s="163">
        <f t="shared" si="94"/>
        <v>0</v>
      </c>
    </row>
    <row r="1005" spans="2:26">
      <c r="B1005" s="171">
        <v>1004</v>
      </c>
      <c r="C1005" s="169"/>
      <c r="N1005" s="201">
        <v>0</v>
      </c>
      <c r="Q1005">
        <f t="shared" si="96"/>
        <v>0</v>
      </c>
      <c r="R1005">
        <f t="shared" si="93"/>
        <v>1003</v>
      </c>
      <c r="S1005">
        <f>IFERROR(SEARCH(Crewlist!$P$5,V1005)+ROW()/100000,"")</f>
        <v>1.0100499999999999</v>
      </c>
      <c r="T1005">
        <f t="shared" si="97"/>
        <v>1004</v>
      </c>
      <c r="U1005">
        <f t="shared" si="98"/>
        <v>0</v>
      </c>
      <c r="V1005" t="str">
        <f t="shared" si="95"/>
        <v xml:space="preserve"> </v>
      </c>
      <c r="Y1005" s="162" t="e">
        <f>VLOOKUP(B1005,Crewlist!AS:AU,3,FALSE)</f>
        <v>#N/A</v>
      </c>
      <c r="Z1005" s="163">
        <f t="shared" si="94"/>
        <v>0</v>
      </c>
    </row>
    <row r="1006" spans="2:26">
      <c r="B1006" s="171">
        <v>1005</v>
      </c>
      <c r="C1006" s="169"/>
      <c r="N1006" s="201">
        <v>0</v>
      </c>
      <c r="Q1006">
        <f t="shared" si="96"/>
        <v>0</v>
      </c>
      <c r="R1006">
        <f t="shared" si="93"/>
        <v>1004</v>
      </c>
      <c r="S1006">
        <f>IFERROR(SEARCH(Crewlist!$P$5,V1006)+ROW()/100000,"")</f>
        <v>1.01006</v>
      </c>
      <c r="T1006">
        <f t="shared" si="97"/>
        <v>1005</v>
      </c>
      <c r="U1006">
        <f t="shared" si="98"/>
        <v>0</v>
      </c>
      <c r="V1006" t="str">
        <f t="shared" si="95"/>
        <v xml:space="preserve"> </v>
      </c>
      <c r="Y1006" s="162" t="e">
        <f>VLOOKUP(B1006,Crewlist!AS:AU,3,FALSE)</f>
        <v>#N/A</v>
      </c>
      <c r="Z1006" s="163">
        <f t="shared" si="94"/>
        <v>0</v>
      </c>
    </row>
    <row r="1007" spans="2:26">
      <c r="B1007" s="202">
        <v>1006</v>
      </c>
      <c r="C1007" s="169"/>
      <c r="N1007" s="201">
        <v>0</v>
      </c>
      <c r="Q1007">
        <f t="shared" si="96"/>
        <v>0</v>
      </c>
      <c r="R1007">
        <f t="shared" si="93"/>
        <v>1005</v>
      </c>
      <c r="S1007">
        <f>IFERROR(SEARCH(Crewlist!$P$5,V1007)+ROW()/100000,"")</f>
        <v>1.01007</v>
      </c>
      <c r="T1007">
        <f t="shared" si="97"/>
        <v>1006</v>
      </c>
      <c r="U1007">
        <f t="shared" si="98"/>
        <v>0</v>
      </c>
      <c r="V1007" t="str">
        <f t="shared" si="95"/>
        <v xml:space="preserve"> </v>
      </c>
      <c r="Y1007" s="162" t="e">
        <f>VLOOKUP(B1007,Crewlist!AS:AU,3,FALSE)</f>
        <v>#N/A</v>
      </c>
      <c r="Z1007" s="163">
        <f t="shared" si="94"/>
        <v>0</v>
      </c>
    </row>
    <row r="1008" spans="2:26">
      <c r="B1008" s="171">
        <v>1007</v>
      </c>
      <c r="C1008" s="169"/>
      <c r="N1008" s="201">
        <v>0</v>
      </c>
      <c r="Q1008">
        <f t="shared" si="96"/>
        <v>0</v>
      </c>
      <c r="R1008">
        <f t="shared" si="93"/>
        <v>1006</v>
      </c>
      <c r="S1008">
        <f>IFERROR(SEARCH(Crewlist!$P$5,V1008)+ROW()/100000,"")</f>
        <v>1.0100800000000001</v>
      </c>
      <c r="T1008">
        <f t="shared" si="97"/>
        <v>1007</v>
      </c>
      <c r="U1008">
        <f t="shared" si="98"/>
        <v>0</v>
      </c>
      <c r="V1008" t="str">
        <f t="shared" si="95"/>
        <v xml:space="preserve"> </v>
      </c>
      <c r="Y1008" s="162" t="e">
        <f>VLOOKUP(B1008,Crewlist!AS:AU,3,FALSE)</f>
        <v>#N/A</v>
      </c>
      <c r="Z1008" s="163">
        <f t="shared" si="94"/>
        <v>0</v>
      </c>
    </row>
    <row r="1009" spans="2:26">
      <c r="B1009" s="171">
        <v>1008</v>
      </c>
      <c r="C1009" s="169"/>
      <c r="N1009" s="201">
        <v>0</v>
      </c>
      <c r="Q1009">
        <f t="shared" si="96"/>
        <v>0</v>
      </c>
      <c r="R1009">
        <f t="shared" si="93"/>
        <v>1007</v>
      </c>
      <c r="S1009">
        <f>IFERROR(SEARCH(Crewlist!$P$5,V1009)+ROW()/100000,"")</f>
        <v>1.0100899999999999</v>
      </c>
      <c r="T1009">
        <f t="shared" si="97"/>
        <v>1008</v>
      </c>
      <c r="U1009">
        <f t="shared" si="98"/>
        <v>0</v>
      </c>
      <c r="V1009" t="str">
        <f t="shared" si="95"/>
        <v xml:space="preserve"> </v>
      </c>
      <c r="Y1009" s="162" t="e">
        <f>VLOOKUP(B1009,Crewlist!AS:AU,3,FALSE)</f>
        <v>#N/A</v>
      </c>
      <c r="Z1009" s="163">
        <f t="shared" si="94"/>
        <v>0</v>
      </c>
    </row>
    <row r="1010" spans="2:26">
      <c r="B1010" s="202">
        <v>1009</v>
      </c>
      <c r="C1010" s="169"/>
      <c r="N1010" s="201">
        <v>0</v>
      </c>
      <c r="Q1010">
        <f t="shared" si="96"/>
        <v>0</v>
      </c>
      <c r="R1010">
        <f t="shared" si="93"/>
        <v>1008</v>
      </c>
      <c r="S1010">
        <f>IFERROR(SEARCH(Crewlist!$P$5,V1010)+ROW()/100000,"")</f>
        <v>1.0101</v>
      </c>
      <c r="T1010">
        <f t="shared" si="97"/>
        <v>1009</v>
      </c>
      <c r="U1010">
        <f t="shared" si="98"/>
        <v>0</v>
      </c>
      <c r="V1010" t="str">
        <f t="shared" si="95"/>
        <v xml:space="preserve"> </v>
      </c>
      <c r="Y1010" s="162" t="e">
        <f>VLOOKUP(B1010,Crewlist!AS:AU,3,FALSE)</f>
        <v>#N/A</v>
      </c>
      <c r="Z1010" s="163">
        <f t="shared" si="94"/>
        <v>0</v>
      </c>
    </row>
    <row r="1011" spans="2:26">
      <c r="B1011" s="171">
        <v>1010</v>
      </c>
      <c r="C1011" s="169"/>
      <c r="N1011" s="201">
        <v>0</v>
      </c>
      <c r="Q1011">
        <f t="shared" si="96"/>
        <v>0</v>
      </c>
      <c r="R1011">
        <f t="shared" si="93"/>
        <v>1009</v>
      </c>
      <c r="S1011">
        <f>IFERROR(SEARCH(Crewlist!$P$5,V1011)+ROW()/100000,"")</f>
        <v>1.0101100000000001</v>
      </c>
      <c r="T1011">
        <f t="shared" si="97"/>
        <v>1010</v>
      </c>
      <c r="U1011">
        <f t="shared" si="98"/>
        <v>0</v>
      </c>
      <c r="V1011" t="str">
        <f t="shared" si="95"/>
        <v xml:space="preserve"> </v>
      </c>
      <c r="Y1011" s="162" t="e">
        <f>VLOOKUP(B1011,Crewlist!AS:AU,3,FALSE)</f>
        <v>#N/A</v>
      </c>
      <c r="Z1011" s="163">
        <f t="shared" si="94"/>
        <v>0</v>
      </c>
    </row>
    <row r="1012" spans="2:26">
      <c r="B1012" s="171">
        <v>1011</v>
      </c>
      <c r="C1012" s="169"/>
      <c r="N1012" s="201">
        <v>0</v>
      </c>
      <c r="Q1012">
        <f t="shared" si="96"/>
        <v>0</v>
      </c>
      <c r="R1012">
        <f t="shared" si="93"/>
        <v>1010</v>
      </c>
      <c r="S1012">
        <f>IFERROR(SEARCH(Crewlist!$P$5,V1012)+ROW()/100000,"")</f>
        <v>1.0101199999999999</v>
      </c>
      <c r="T1012">
        <f t="shared" si="97"/>
        <v>1011</v>
      </c>
      <c r="U1012">
        <f t="shared" si="98"/>
        <v>0</v>
      </c>
      <c r="V1012" t="str">
        <f t="shared" si="95"/>
        <v xml:space="preserve"> </v>
      </c>
      <c r="Y1012" s="162" t="e">
        <f>VLOOKUP(B1012,Crewlist!AS:AU,3,FALSE)</f>
        <v>#N/A</v>
      </c>
      <c r="Z1012" s="163">
        <f t="shared" si="94"/>
        <v>0</v>
      </c>
    </row>
    <row r="1013" spans="2:26">
      <c r="B1013" s="202">
        <v>1012</v>
      </c>
      <c r="C1013" s="169"/>
      <c r="N1013" s="201">
        <v>0</v>
      </c>
      <c r="Q1013">
        <f t="shared" si="96"/>
        <v>0</v>
      </c>
      <c r="R1013">
        <f t="shared" si="93"/>
        <v>1011</v>
      </c>
      <c r="S1013">
        <f>IFERROR(SEARCH(Crewlist!$P$5,V1013)+ROW()/100000,"")</f>
        <v>1.01013</v>
      </c>
      <c r="T1013">
        <f t="shared" si="97"/>
        <v>1012</v>
      </c>
      <c r="U1013">
        <f t="shared" si="98"/>
        <v>0</v>
      </c>
      <c r="V1013" t="str">
        <f t="shared" si="95"/>
        <v xml:space="preserve"> </v>
      </c>
      <c r="Y1013" s="162" t="e">
        <f>VLOOKUP(B1013,Crewlist!AS:AU,3,FALSE)</f>
        <v>#N/A</v>
      </c>
      <c r="Z1013" s="163">
        <f t="shared" si="94"/>
        <v>0</v>
      </c>
    </row>
    <row r="1014" spans="2:26">
      <c r="B1014" s="171">
        <v>1013</v>
      </c>
      <c r="C1014" s="169"/>
      <c r="N1014" s="201">
        <v>0</v>
      </c>
      <c r="Q1014">
        <f t="shared" si="96"/>
        <v>0</v>
      </c>
      <c r="R1014">
        <f t="shared" si="93"/>
        <v>1012</v>
      </c>
      <c r="S1014">
        <f>IFERROR(SEARCH(Crewlist!$P$5,V1014)+ROW()/100000,"")</f>
        <v>1.01014</v>
      </c>
      <c r="T1014">
        <f t="shared" si="97"/>
        <v>1013</v>
      </c>
      <c r="U1014">
        <f t="shared" si="98"/>
        <v>0</v>
      </c>
      <c r="V1014" t="str">
        <f t="shared" si="95"/>
        <v xml:space="preserve"> </v>
      </c>
      <c r="Y1014" s="162" t="e">
        <f>VLOOKUP(B1014,Crewlist!AS:AU,3,FALSE)</f>
        <v>#N/A</v>
      </c>
      <c r="Z1014" s="163">
        <f t="shared" si="94"/>
        <v>0</v>
      </c>
    </row>
    <row r="1015" spans="2:26">
      <c r="B1015" s="171">
        <v>1014</v>
      </c>
      <c r="C1015" s="169"/>
      <c r="N1015" s="201">
        <v>0</v>
      </c>
      <c r="Q1015">
        <f t="shared" si="96"/>
        <v>0</v>
      </c>
      <c r="R1015">
        <f t="shared" si="93"/>
        <v>1013</v>
      </c>
      <c r="S1015">
        <f>IFERROR(SEARCH(Crewlist!$P$5,V1015)+ROW()/100000,"")</f>
        <v>1.0101500000000001</v>
      </c>
      <c r="T1015">
        <f t="shared" si="97"/>
        <v>1014</v>
      </c>
      <c r="U1015">
        <f t="shared" si="98"/>
        <v>0</v>
      </c>
      <c r="V1015" t="str">
        <f t="shared" si="95"/>
        <v xml:space="preserve"> </v>
      </c>
      <c r="Y1015" s="162" t="e">
        <f>VLOOKUP(B1015,Crewlist!AS:AU,3,FALSE)</f>
        <v>#N/A</v>
      </c>
      <c r="Z1015" s="163">
        <f t="shared" si="94"/>
        <v>0</v>
      </c>
    </row>
    <row r="1016" spans="2:26">
      <c r="B1016" s="202">
        <v>1015</v>
      </c>
      <c r="C1016" s="169"/>
      <c r="N1016" s="201">
        <v>0</v>
      </c>
      <c r="Q1016">
        <f t="shared" si="96"/>
        <v>0</v>
      </c>
      <c r="R1016">
        <f t="shared" si="93"/>
        <v>1014</v>
      </c>
      <c r="S1016">
        <f>IFERROR(SEARCH(Crewlist!$P$5,V1016)+ROW()/100000,"")</f>
        <v>1.0101599999999999</v>
      </c>
      <c r="T1016">
        <f t="shared" si="97"/>
        <v>1015</v>
      </c>
      <c r="U1016">
        <f t="shared" si="98"/>
        <v>0</v>
      </c>
      <c r="V1016" t="str">
        <f t="shared" si="95"/>
        <v xml:space="preserve"> </v>
      </c>
      <c r="Y1016" s="162" t="e">
        <f>VLOOKUP(B1016,Crewlist!AS:AU,3,FALSE)</f>
        <v>#N/A</v>
      </c>
      <c r="Z1016" s="163">
        <f t="shared" si="94"/>
        <v>0</v>
      </c>
    </row>
    <row r="1017" spans="2:26">
      <c r="B1017" s="171">
        <v>1016</v>
      </c>
      <c r="C1017" s="169"/>
      <c r="N1017" s="201">
        <v>0</v>
      </c>
      <c r="Q1017">
        <f t="shared" si="96"/>
        <v>0</v>
      </c>
      <c r="R1017">
        <f t="shared" si="93"/>
        <v>1015</v>
      </c>
      <c r="S1017">
        <f>IFERROR(SEARCH(Crewlist!$P$5,V1017)+ROW()/100000,"")</f>
        <v>1.01017</v>
      </c>
      <c r="T1017">
        <f t="shared" si="97"/>
        <v>1016</v>
      </c>
      <c r="U1017">
        <f t="shared" si="98"/>
        <v>0</v>
      </c>
      <c r="V1017" t="str">
        <f t="shared" si="95"/>
        <v xml:space="preserve"> </v>
      </c>
      <c r="Y1017" s="162" t="e">
        <f>VLOOKUP(B1017,Crewlist!AS:AU,3,FALSE)</f>
        <v>#N/A</v>
      </c>
      <c r="Z1017" s="163">
        <f t="shared" si="94"/>
        <v>0</v>
      </c>
    </row>
    <row r="1018" spans="2:26">
      <c r="B1018" s="171">
        <v>1017</v>
      </c>
      <c r="C1018" s="169"/>
      <c r="N1018" s="201">
        <v>0</v>
      </c>
      <c r="Q1018">
        <f t="shared" si="96"/>
        <v>0</v>
      </c>
      <c r="R1018">
        <f t="shared" si="93"/>
        <v>1016</v>
      </c>
      <c r="S1018">
        <f>IFERROR(SEARCH(Crewlist!$P$5,V1018)+ROW()/100000,"")</f>
        <v>1.0101800000000001</v>
      </c>
      <c r="T1018">
        <f t="shared" si="97"/>
        <v>1017</v>
      </c>
      <c r="U1018">
        <f t="shared" si="98"/>
        <v>0</v>
      </c>
      <c r="V1018" t="str">
        <f t="shared" si="95"/>
        <v xml:space="preserve"> </v>
      </c>
      <c r="Y1018" s="162" t="e">
        <f>VLOOKUP(B1018,Crewlist!AS:AU,3,FALSE)</f>
        <v>#N/A</v>
      </c>
      <c r="Z1018" s="163">
        <f t="shared" si="94"/>
        <v>0</v>
      </c>
    </row>
    <row r="1019" spans="2:26">
      <c r="B1019" s="202">
        <v>1018</v>
      </c>
      <c r="C1019" s="169"/>
      <c r="N1019" s="201">
        <v>0</v>
      </c>
      <c r="Q1019">
        <f t="shared" si="96"/>
        <v>0</v>
      </c>
      <c r="R1019">
        <f t="shared" si="93"/>
        <v>1017</v>
      </c>
      <c r="S1019">
        <f>IFERROR(SEARCH(Crewlist!$P$5,V1019)+ROW()/100000,"")</f>
        <v>1.0101899999999999</v>
      </c>
      <c r="T1019">
        <f t="shared" si="97"/>
        <v>1018</v>
      </c>
      <c r="U1019">
        <f t="shared" si="98"/>
        <v>0</v>
      </c>
      <c r="V1019" t="str">
        <f t="shared" si="95"/>
        <v xml:space="preserve"> </v>
      </c>
      <c r="Y1019" s="162" t="e">
        <f>VLOOKUP(B1019,Crewlist!AS:AU,3,FALSE)</f>
        <v>#N/A</v>
      </c>
      <c r="Z1019" s="163">
        <f t="shared" si="94"/>
        <v>0</v>
      </c>
    </row>
    <row r="1020" spans="2:26">
      <c r="B1020" s="171">
        <v>1019</v>
      </c>
      <c r="C1020" s="169"/>
      <c r="N1020" s="201">
        <v>0</v>
      </c>
      <c r="Q1020">
        <f t="shared" si="96"/>
        <v>0</v>
      </c>
      <c r="R1020">
        <f t="shared" si="93"/>
        <v>1018</v>
      </c>
      <c r="S1020">
        <f>IFERROR(SEARCH(Crewlist!$P$5,V1020)+ROW()/100000,"")</f>
        <v>1.0102</v>
      </c>
      <c r="T1020">
        <f t="shared" si="97"/>
        <v>1019</v>
      </c>
      <c r="U1020">
        <f t="shared" si="98"/>
        <v>0</v>
      </c>
      <c r="V1020" t="str">
        <f t="shared" si="95"/>
        <v xml:space="preserve"> </v>
      </c>
      <c r="Y1020" s="162" t="e">
        <f>VLOOKUP(B1020,Crewlist!AS:AU,3,FALSE)</f>
        <v>#N/A</v>
      </c>
      <c r="Z1020" s="163">
        <f t="shared" si="94"/>
        <v>0</v>
      </c>
    </row>
    <row r="1021" spans="2:26">
      <c r="B1021" s="171">
        <v>1020</v>
      </c>
      <c r="C1021" s="169"/>
      <c r="N1021" s="201">
        <v>0</v>
      </c>
      <c r="Q1021">
        <f t="shared" si="96"/>
        <v>0</v>
      </c>
      <c r="R1021">
        <f t="shared" si="93"/>
        <v>1019</v>
      </c>
      <c r="S1021">
        <f>IFERROR(SEARCH(Crewlist!$P$5,V1021)+ROW()/100000,"")</f>
        <v>1.0102100000000001</v>
      </c>
      <c r="T1021">
        <f t="shared" si="97"/>
        <v>1020</v>
      </c>
      <c r="U1021">
        <f t="shared" si="98"/>
        <v>0</v>
      </c>
      <c r="V1021" t="str">
        <f t="shared" si="95"/>
        <v xml:space="preserve"> </v>
      </c>
      <c r="Y1021" s="162" t="e">
        <f>VLOOKUP(B1021,Crewlist!AS:AU,3,FALSE)</f>
        <v>#N/A</v>
      </c>
      <c r="Z1021" s="163">
        <f t="shared" si="94"/>
        <v>0</v>
      </c>
    </row>
    <row r="1022" spans="2:26">
      <c r="B1022" s="202">
        <v>1021</v>
      </c>
      <c r="C1022" s="169"/>
      <c r="N1022" s="201">
        <v>0</v>
      </c>
      <c r="Q1022">
        <f t="shared" si="96"/>
        <v>0</v>
      </c>
      <c r="R1022">
        <f t="shared" si="93"/>
        <v>1020</v>
      </c>
      <c r="S1022">
        <f>IFERROR(SEARCH(Crewlist!$P$5,V1022)+ROW()/100000,"")</f>
        <v>1.0102199999999999</v>
      </c>
      <c r="T1022">
        <f t="shared" si="97"/>
        <v>1021</v>
      </c>
      <c r="U1022">
        <f t="shared" si="98"/>
        <v>0</v>
      </c>
      <c r="V1022" t="str">
        <f t="shared" si="95"/>
        <v xml:space="preserve"> </v>
      </c>
      <c r="Y1022" s="162" t="e">
        <f>VLOOKUP(B1022,Crewlist!AS:AU,3,FALSE)</f>
        <v>#N/A</v>
      </c>
      <c r="Z1022" s="163">
        <f t="shared" si="94"/>
        <v>0</v>
      </c>
    </row>
    <row r="1023" spans="2:26">
      <c r="B1023" s="171">
        <v>1022</v>
      </c>
      <c r="C1023" s="169"/>
      <c r="N1023" s="201">
        <v>0</v>
      </c>
      <c r="Q1023">
        <f t="shared" si="96"/>
        <v>0</v>
      </c>
      <c r="R1023">
        <f t="shared" si="93"/>
        <v>1021</v>
      </c>
      <c r="S1023">
        <f>IFERROR(SEARCH(Crewlist!$P$5,V1023)+ROW()/100000,"")</f>
        <v>1.01023</v>
      </c>
      <c r="T1023">
        <f t="shared" si="97"/>
        <v>1022</v>
      </c>
      <c r="U1023">
        <f t="shared" si="98"/>
        <v>0</v>
      </c>
      <c r="V1023" t="str">
        <f t="shared" si="95"/>
        <v xml:space="preserve"> </v>
      </c>
      <c r="Y1023" s="162" t="e">
        <f>VLOOKUP(B1023,Crewlist!AS:AU,3,FALSE)</f>
        <v>#N/A</v>
      </c>
      <c r="Z1023" s="163">
        <f t="shared" si="94"/>
        <v>0</v>
      </c>
    </row>
    <row r="1024" spans="2:26">
      <c r="B1024" s="171">
        <v>1023</v>
      </c>
      <c r="C1024" s="169"/>
      <c r="N1024" s="201">
        <v>0</v>
      </c>
      <c r="Q1024">
        <f t="shared" si="96"/>
        <v>0</v>
      </c>
      <c r="R1024">
        <f t="shared" si="93"/>
        <v>1022</v>
      </c>
      <c r="S1024">
        <f>IFERROR(SEARCH(Crewlist!$P$5,V1024)+ROW()/100000,"")</f>
        <v>1.01024</v>
      </c>
      <c r="T1024">
        <f t="shared" si="97"/>
        <v>1023</v>
      </c>
      <c r="U1024">
        <f t="shared" si="98"/>
        <v>0</v>
      </c>
      <c r="V1024" t="str">
        <f t="shared" si="95"/>
        <v xml:space="preserve"> </v>
      </c>
      <c r="Y1024" s="162" t="e">
        <f>VLOOKUP(B1024,Crewlist!AS:AU,3,FALSE)</f>
        <v>#N/A</v>
      </c>
      <c r="Z1024" s="163">
        <f t="shared" si="94"/>
        <v>0</v>
      </c>
    </row>
    <row r="1025" spans="2:26">
      <c r="B1025" s="202">
        <v>1024</v>
      </c>
      <c r="C1025" s="169"/>
      <c r="N1025" s="201">
        <v>0</v>
      </c>
      <c r="Q1025">
        <f t="shared" si="96"/>
        <v>0</v>
      </c>
      <c r="R1025">
        <f t="shared" si="93"/>
        <v>1023</v>
      </c>
      <c r="S1025">
        <f>IFERROR(SEARCH(Crewlist!$P$5,V1025)+ROW()/100000,"")</f>
        <v>1.0102500000000001</v>
      </c>
      <c r="T1025">
        <f t="shared" si="97"/>
        <v>1024</v>
      </c>
      <c r="U1025">
        <f t="shared" si="98"/>
        <v>0</v>
      </c>
      <c r="V1025" t="str">
        <f t="shared" si="95"/>
        <v xml:space="preserve"> </v>
      </c>
      <c r="Y1025" s="162" t="e">
        <f>VLOOKUP(B1025,Crewlist!AS:AU,3,FALSE)</f>
        <v>#N/A</v>
      </c>
      <c r="Z1025" s="163">
        <f t="shared" si="94"/>
        <v>0</v>
      </c>
    </row>
    <row r="1026" spans="2:26">
      <c r="B1026" s="171">
        <v>1025</v>
      </c>
      <c r="C1026" s="169"/>
      <c r="N1026" s="201">
        <v>0</v>
      </c>
      <c r="Q1026">
        <f t="shared" si="96"/>
        <v>0</v>
      </c>
      <c r="R1026">
        <f t="shared" ref="R1026:R1089" si="99">IFERROR(RANK(S1026,$S$2:$S$1998,1),"")</f>
        <v>1024</v>
      </c>
      <c r="S1026">
        <f>IFERROR(SEARCH(Crewlist!$P$5,V1026)+ROW()/100000,"")</f>
        <v>1.0102599999999999</v>
      </c>
      <c r="T1026">
        <f t="shared" si="97"/>
        <v>1025</v>
      </c>
      <c r="U1026">
        <f t="shared" si="98"/>
        <v>0</v>
      </c>
      <c r="V1026" t="str">
        <f t="shared" si="95"/>
        <v xml:space="preserve"> </v>
      </c>
      <c r="Y1026" s="162" t="e">
        <f>VLOOKUP(B1026,Crewlist!AS:AU,3,FALSE)</f>
        <v>#N/A</v>
      </c>
      <c r="Z1026" s="163">
        <f t="shared" ref="Z1026:Z1089" si="100">IF(ISNUMBER(SEARCH("",Y1026)),Y1026,N1026)</f>
        <v>0</v>
      </c>
    </row>
    <row r="1027" spans="2:26">
      <c r="B1027" s="171">
        <v>1026</v>
      </c>
      <c r="C1027" s="169"/>
      <c r="N1027" s="201">
        <v>0</v>
      </c>
      <c r="Q1027">
        <f t="shared" si="96"/>
        <v>0</v>
      </c>
      <c r="R1027">
        <f t="shared" si="99"/>
        <v>1025</v>
      </c>
      <c r="S1027">
        <f>IFERROR(SEARCH(Crewlist!$P$5,V1027)+ROW()/100000,"")</f>
        <v>1.01027</v>
      </c>
      <c r="T1027">
        <f t="shared" si="97"/>
        <v>1026</v>
      </c>
      <c r="U1027">
        <f t="shared" si="98"/>
        <v>0</v>
      </c>
      <c r="V1027" t="str">
        <f t="shared" ref="V1027:V1090" si="101">CONCATENATE(C1027," ",D1027)</f>
        <v xml:space="preserve"> </v>
      </c>
      <c r="Y1027" s="162" t="e">
        <f>VLOOKUP(B1027,Crewlist!AS:AU,3,FALSE)</f>
        <v>#N/A</v>
      </c>
      <c r="Z1027" s="163">
        <f t="shared" si="100"/>
        <v>0</v>
      </c>
    </row>
    <row r="1028" spans="2:26">
      <c r="B1028" s="202">
        <v>1027</v>
      </c>
      <c r="C1028" s="169"/>
      <c r="N1028" s="201">
        <v>0</v>
      </c>
      <c r="Q1028">
        <f t="shared" si="96"/>
        <v>0</v>
      </c>
      <c r="R1028">
        <f t="shared" si="99"/>
        <v>1026</v>
      </c>
      <c r="S1028">
        <f>IFERROR(SEARCH(Crewlist!$P$5,V1028)+ROW()/100000,"")</f>
        <v>1.0102800000000001</v>
      </c>
      <c r="T1028">
        <f t="shared" si="97"/>
        <v>1027</v>
      </c>
      <c r="U1028">
        <f t="shared" si="98"/>
        <v>0</v>
      </c>
      <c r="V1028" t="str">
        <f t="shared" si="101"/>
        <v xml:space="preserve"> </v>
      </c>
      <c r="Y1028" s="162" t="e">
        <f>VLOOKUP(B1028,Crewlist!AS:AU,3,FALSE)</f>
        <v>#N/A</v>
      </c>
      <c r="Z1028" s="163">
        <f t="shared" si="100"/>
        <v>0</v>
      </c>
    </row>
    <row r="1029" spans="2:26">
      <c r="B1029" s="171">
        <v>1028</v>
      </c>
      <c r="C1029" s="169"/>
      <c r="N1029" s="201">
        <v>0</v>
      </c>
      <c r="Q1029">
        <f t="shared" si="96"/>
        <v>0</v>
      </c>
      <c r="R1029">
        <f t="shared" si="99"/>
        <v>1027</v>
      </c>
      <c r="S1029">
        <f>IFERROR(SEARCH(Crewlist!$P$5,V1029)+ROW()/100000,"")</f>
        <v>1.0102899999999999</v>
      </c>
      <c r="T1029">
        <f t="shared" si="97"/>
        <v>1028</v>
      </c>
      <c r="U1029">
        <f t="shared" si="98"/>
        <v>0</v>
      </c>
      <c r="V1029" t="str">
        <f t="shared" si="101"/>
        <v xml:space="preserve"> </v>
      </c>
      <c r="Y1029" s="162" t="e">
        <f>VLOOKUP(B1029,Crewlist!AS:AU,3,FALSE)</f>
        <v>#N/A</v>
      </c>
      <c r="Z1029" s="163">
        <f t="shared" si="100"/>
        <v>0</v>
      </c>
    </row>
    <row r="1030" spans="2:26">
      <c r="B1030" s="171">
        <v>1029</v>
      </c>
      <c r="C1030" s="169"/>
      <c r="N1030" s="201">
        <v>0</v>
      </c>
      <c r="Q1030">
        <f t="shared" si="96"/>
        <v>0</v>
      </c>
      <c r="R1030">
        <f t="shared" si="99"/>
        <v>1028</v>
      </c>
      <c r="S1030">
        <f>IFERROR(SEARCH(Crewlist!$P$5,V1030)+ROW()/100000,"")</f>
        <v>1.0103</v>
      </c>
      <c r="T1030">
        <f t="shared" si="97"/>
        <v>1029</v>
      </c>
      <c r="U1030">
        <f t="shared" si="98"/>
        <v>0</v>
      </c>
      <c r="V1030" t="str">
        <f t="shared" si="101"/>
        <v xml:space="preserve"> </v>
      </c>
      <c r="Y1030" s="162" t="e">
        <f>VLOOKUP(B1030,Crewlist!AS:AU,3,FALSE)</f>
        <v>#N/A</v>
      </c>
      <c r="Z1030" s="163">
        <f t="shared" si="100"/>
        <v>0</v>
      </c>
    </row>
    <row r="1031" spans="2:26">
      <c r="B1031" s="202">
        <v>1030</v>
      </c>
      <c r="C1031" s="169"/>
      <c r="N1031" s="201">
        <v>0</v>
      </c>
      <c r="Q1031">
        <f t="shared" si="96"/>
        <v>0</v>
      </c>
      <c r="R1031">
        <f t="shared" si="99"/>
        <v>1029</v>
      </c>
      <c r="S1031">
        <f>IFERROR(SEARCH(Crewlist!$P$5,V1031)+ROW()/100000,"")</f>
        <v>1.01031</v>
      </c>
      <c r="T1031">
        <f t="shared" si="97"/>
        <v>1030</v>
      </c>
      <c r="U1031">
        <f t="shared" si="98"/>
        <v>0</v>
      </c>
      <c r="V1031" t="str">
        <f t="shared" si="101"/>
        <v xml:space="preserve"> </v>
      </c>
      <c r="Y1031" s="162" t="e">
        <f>VLOOKUP(B1031,Crewlist!AS:AU,3,FALSE)</f>
        <v>#N/A</v>
      </c>
      <c r="Z1031" s="163">
        <f t="shared" si="100"/>
        <v>0</v>
      </c>
    </row>
    <row r="1032" spans="2:26">
      <c r="B1032" s="171">
        <v>1031</v>
      </c>
      <c r="C1032" s="169"/>
      <c r="N1032" s="201">
        <v>0</v>
      </c>
      <c r="Q1032">
        <f t="shared" si="96"/>
        <v>0</v>
      </c>
      <c r="R1032">
        <f t="shared" si="99"/>
        <v>1030</v>
      </c>
      <c r="S1032">
        <f>IFERROR(SEARCH(Crewlist!$P$5,V1032)+ROW()/100000,"")</f>
        <v>1.0103200000000001</v>
      </c>
      <c r="T1032">
        <f t="shared" si="97"/>
        <v>1031</v>
      </c>
      <c r="U1032">
        <f t="shared" si="98"/>
        <v>0</v>
      </c>
      <c r="V1032" t="str">
        <f t="shared" si="101"/>
        <v xml:space="preserve"> </v>
      </c>
      <c r="Y1032" s="162" t="e">
        <f>VLOOKUP(B1032,Crewlist!AS:AU,3,FALSE)</f>
        <v>#N/A</v>
      </c>
      <c r="Z1032" s="163">
        <f t="shared" si="100"/>
        <v>0</v>
      </c>
    </row>
    <row r="1033" spans="2:26">
      <c r="B1033" s="171">
        <v>1032</v>
      </c>
      <c r="C1033" s="169"/>
      <c r="N1033" s="201">
        <v>0</v>
      </c>
      <c r="Q1033">
        <f t="shared" ref="Q1033:Q1096" si="102">IF(C1033&lt;&gt; "",B1033,0)</f>
        <v>0</v>
      </c>
      <c r="R1033">
        <f t="shared" si="99"/>
        <v>1031</v>
      </c>
      <c r="S1033">
        <f>IFERROR(SEARCH(Crewlist!$P$5,V1033)+ROW()/100000,"")</f>
        <v>1.01033</v>
      </c>
      <c r="T1033">
        <f t="shared" ref="T1033:T1096" si="103">B1033</f>
        <v>1032</v>
      </c>
      <c r="U1033">
        <f t="shared" ref="U1033:U1096" si="104">C1033</f>
        <v>0</v>
      </c>
      <c r="V1033" t="str">
        <f t="shared" si="101"/>
        <v xml:space="preserve"> </v>
      </c>
      <c r="Y1033" s="162" t="e">
        <f>VLOOKUP(B1033,Crewlist!AS:AU,3,FALSE)</f>
        <v>#N/A</v>
      </c>
      <c r="Z1033" s="163">
        <f t="shared" si="100"/>
        <v>0</v>
      </c>
    </row>
    <row r="1034" spans="2:26">
      <c r="B1034" s="202">
        <v>1033</v>
      </c>
      <c r="C1034" s="169"/>
      <c r="N1034" s="201">
        <v>0</v>
      </c>
      <c r="Q1034">
        <f t="shared" si="102"/>
        <v>0</v>
      </c>
      <c r="R1034">
        <f t="shared" si="99"/>
        <v>1032</v>
      </c>
      <c r="S1034">
        <f>IFERROR(SEARCH(Crewlist!$P$5,V1034)+ROW()/100000,"")</f>
        <v>1.01034</v>
      </c>
      <c r="T1034">
        <f t="shared" si="103"/>
        <v>1033</v>
      </c>
      <c r="U1034">
        <f t="shared" si="104"/>
        <v>0</v>
      </c>
      <c r="V1034" t="str">
        <f t="shared" si="101"/>
        <v xml:space="preserve"> </v>
      </c>
      <c r="Y1034" s="162" t="e">
        <f>VLOOKUP(B1034,Crewlist!AS:AU,3,FALSE)</f>
        <v>#N/A</v>
      </c>
      <c r="Z1034" s="163">
        <f t="shared" si="100"/>
        <v>0</v>
      </c>
    </row>
    <row r="1035" spans="2:26">
      <c r="B1035" s="171">
        <v>1034</v>
      </c>
      <c r="C1035" s="169"/>
      <c r="N1035" s="201">
        <v>0</v>
      </c>
      <c r="Q1035">
        <f t="shared" si="102"/>
        <v>0</v>
      </c>
      <c r="R1035">
        <f t="shared" si="99"/>
        <v>1033</v>
      </c>
      <c r="S1035">
        <f>IFERROR(SEARCH(Crewlist!$P$5,V1035)+ROW()/100000,"")</f>
        <v>1.0103500000000001</v>
      </c>
      <c r="T1035">
        <f t="shared" si="103"/>
        <v>1034</v>
      </c>
      <c r="U1035">
        <f t="shared" si="104"/>
        <v>0</v>
      </c>
      <c r="V1035" t="str">
        <f t="shared" si="101"/>
        <v xml:space="preserve"> </v>
      </c>
      <c r="Y1035" s="162" t="e">
        <f>VLOOKUP(B1035,Crewlist!AS:AU,3,FALSE)</f>
        <v>#N/A</v>
      </c>
      <c r="Z1035" s="163">
        <f t="shared" si="100"/>
        <v>0</v>
      </c>
    </row>
    <row r="1036" spans="2:26">
      <c r="B1036" s="171">
        <v>1035</v>
      </c>
      <c r="C1036" s="169"/>
      <c r="N1036" s="201">
        <v>0</v>
      </c>
      <c r="Q1036">
        <f t="shared" si="102"/>
        <v>0</v>
      </c>
      <c r="R1036">
        <f t="shared" si="99"/>
        <v>1034</v>
      </c>
      <c r="S1036">
        <f>IFERROR(SEARCH(Crewlist!$P$5,V1036)+ROW()/100000,"")</f>
        <v>1.0103599999999999</v>
      </c>
      <c r="T1036">
        <f t="shared" si="103"/>
        <v>1035</v>
      </c>
      <c r="U1036">
        <f t="shared" si="104"/>
        <v>0</v>
      </c>
      <c r="V1036" t="str">
        <f t="shared" si="101"/>
        <v xml:space="preserve"> </v>
      </c>
      <c r="Y1036" s="162" t="e">
        <f>VLOOKUP(B1036,Crewlist!AS:AU,3,FALSE)</f>
        <v>#N/A</v>
      </c>
      <c r="Z1036" s="163">
        <f t="shared" si="100"/>
        <v>0</v>
      </c>
    </row>
    <row r="1037" spans="2:26">
      <c r="B1037" s="202">
        <v>1036</v>
      </c>
      <c r="C1037" s="169"/>
      <c r="N1037" s="201">
        <v>0</v>
      </c>
      <c r="Q1037">
        <f t="shared" si="102"/>
        <v>0</v>
      </c>
      <c r="R1037">
        <f t="shared" si="99"/>
        <v>1035</v>
      </c>
      <c r="S1037">
        <f>IFERROR(SEARCH(Crewlist!$P$5,V1037)+ROW()/100000,"")</f>
        <v>1.01037</v>
      </c>
      <c r="T1037">
        <f t="shared" si="103"/>
        <v>1036</v>
      </c>
      <c r="U1037">
        <f t="shared" si="104"/>
        <v>0</v>
      </c>
      <c r="V1037" t="str">
        <f t="shared" si="101"/>
        <v xml:space="preserve"> </v>
      </c>
      <c r="Y1037" s="162" t="e">
        <f>VLOOKUP(B1037,Crewlist!AS:AU,3,FALSE)</f>
        <v>#N/A</v>
      </c>
      <c r="Z1037" s="163">
        <f t="shared" si="100"/>
        <v>0</v>
      </c>
    </row>
    <row r="1038" spans="2:26">
      <c r="B1038" s="171">
        <v>1037</v>
      </c>
      <c r="C1038" s="169"/>
      <c r="N1038" s="201">
        <v>0</v>
      </c>
      <c r="Q1038">
        <f t="shared" si="102"/>
        <v>0</v>
      </c>
      <c r="R1038">
        <f t="shared" si="99"/>
        <v>1036</v>
      </c>
      <c r="S1038">
        <f>IFERROR(SEARCH(Crewlist!$P$5,V1038)+ROW()/100000,"")</f>
        <v>1.0103800000000001</v>
      </c>
      <c r="T1038">
        <f t="shared" si="103"/>
        <v>1037</v>
      </c>
      <c r="U1038">
        <f t="shared" si="104"/>
        <v>0</v>
      </c>
      <c r="V1038" t="str">
        <f t="shared" si="101"/>
        <v xml:space="preserve"> </v>
      </c>
      <c r="Y1038" s="162" t="e">
        <f>VLOOKUP(B1038,Crewlist!AS:AU,3,FALSE)</f>
        <v>#N/A</v>
      </c>
      <c r="Z1038" s="163">
        <f t="shared" si="100"/>
        <v>0</v>
      </c>
    </row>
    <row r="1039" spans="2:26">
      <c r="B1039" s="171">
        <v>1038</v>
      </c>
      <c r="C1039" s="169"/>
      <c r="N1039" s="201">
        <v>0</v>
      </c>
      <c r="Q1039">
        <f t="shared" si="102"/>
        <v>0</v>
      </c>
      <c r="R1039">
        <f t="shared" si="99"/>
        <v>1037</v>
      </c>
      <c r="S1039">
        <f>IFERROR(SEARCH(Crewlist!$P$5,V1039)+ROW()/100000,"")</f>
        <v>1.0103899999999999</v>
      </c>
      <c r="T1039">
        <f t="shared" si="103"/>
        <v>1038</v>
      </c>
      <c r="U1039">
        <f t="shared" si="104"/>
        <v>0</v>
      </c>
      <c r="V1039" t="str">
        <f t="shared" si="101"/>
        <v xml:space="preserve"> </v>
      </c>
      <c r="Y1039" s="162" t="e">
        <f>VLOOKUP(B1039,Crewlist!AS:AU,3,FALSE)</f>
        <v>#N/A</v>
      </c>
      <c r="Z1039" s="163">
        <f t="shared" si="100"/>
        <v>0</v>
      </c>
    </row>
    <row r="1040" spans="2:26">
      <c r="B1040" s="202">
        <v>1039</v>
      </c>
      <c r="C1040" s="169"/>
      <c r="N1040" s="201">
        <v>0</v>
      </c>
      <c r="Q1040">
        <f t="shared" si="102"/>
        <v>0</v>
      </c>
      <c r="R1040">
        <f t="shared" si="99"/>
        <v>1038</v>
      </c>
      <c r="S1040">
        <f>IFERROR(SEARCH(Crewlist!$P$5,V1040)+ROW()/100000,"")</f>
        <v>1.0104</v>
      </c>
      <c r="T1040">
        <f t="shared" si="103"/>
        <v>1039</v>
      </c>
      <c r="U1040">
        <f t="shared" si="104"/>
        <v>0</v>
      </c>
      <c r="V1040" t="str">
        <f t="shared" si="101"/>
        <v xml:space="preserve"> </v>
      </c>
      <c r="Y1040" s="162" t="e">
        <f>VLOOKUP(B1040,Crewlist!AS:AU,3,FALSE)</f>
        <v>#N/A</v>
      </c>
      <c r="Z1040" s="163">
        <f t="shared" si="100"/>
        <v>0</v>
      </c>
    </row>
    <row r="1041" spans="2:26">
      <c r="B1041" s="171">
        <v>1040</v>
      </c>
      <c r="C1041" s="169"/>
      <c r="N1041" s="201">
        <v>0</v>
      </c>
      <c r="Q1041">
        <f t="shared" si="102"/>
        <v>0</v>
      </c>
      <c r="R1041">
        <f t="shared" si="99"/>
        <v>1039</v>
      </c>
      <c r="S1041">
        <f>IFERROR(SEARCH(Crewlist!$P$5,V1041)+ROW()/100000,"")</f>
        <v>1.01041</v>
      </c>
      <c r="T1041">
        <f t="shared" si="103"/>
        <v>1040</v>
      </c>
      <c r="U1041">
        <f t="shared" si="104"/>
        <v>0</v>
      </c>
      <c r="V1041" t="str">
        <f t="shared" si="101"/>
        <v xml:space="preserve"> </v>
      </c>
      <c r="Y1041" s="162" t="e">
        <f>VLOOKUP(B1041,Crewlist!AS:AU,3,FALSE)</f>
        <v>#N/A</v>
      </c>
      <c r="Z1041" s="163">
        <f t="shared" si="100"/>
        <v>0</v>
      </c>
    </row>
    <row r="1042" spans="2:26">
      <c r="B1042" s="171">
        <v>1041</v>
      </c>
      <c r="C1042" s="169"/>
      <c r="N1042" s="201">
        <v>0</v>
      </c>
      <c r="Q1042">
        <f t="shared" si="102"/>
        <v>0</v>
      </c>
      <c r="R1042">
        <f t="shared" si="99"/>
        <v>1040</v>
      </c>
      <c r="S1042">
        <f>IFERROR(SEARCH(Crewlist!$P$5,V1042)+ROW()/100000,"")</f>
        <v>1.0104200000000001</v>
      </c>
      <c r="T1042">
        <f t="shared" si="103"/>
        <v>1041</v>
      </c>
      <c r="U1042">
        <f t="shared" si="104"/>
        <v>0</v>
      </c>
      <c r="V1042" t="str">
        <f t="shared" si="101"/>
        <v xml:space="preserve"> </v>
      </c>
      <c r="Y1042" s="162" t="e">
        <f>VLOOKUP(B1042,Crewlist!AS:AU,3,FALSE)</f>
        <v>#N/A</v>
      </c>
      <c r="Z1042" s="163">
        <f t="shared" si="100"/>
        <v>0</v>
      </c>
    </row>
    <row r="1043" spans="2:26">
      <c r="B1043" s="202">
        <v>1042</v>
      </c>
      <c r="C1043" s="169"/>
      <c r="N1043" s="201">
        <v>0</v>
      </c>
      <c r="Q1043">
        <f t="shared" si="102"/>
        <v>0</v>
      </c>
      <c r="R1043">
        <f t="shared" si="99"/>
        <v>1041</v>
      </c>
      <c r="S1043">
        <f>IFERROR(SEARCH(Crewlist!$P$5,V1043)+ROW()/100000,"")</f>
        <v>1.0104299999999999</v>
      </c>
      <c r="T1043">
        <f t="shared" si="103"/>
        <v>1042</v>
      </c>
      <c r="U1043">
        <f t="shared" si="104"/>
        <v>0</v>
      </c>
      <c r="V1043" t="str">
        <f t="shared" si="101"/>
        <v xml:space="preserve"> </v>
      </c>
      <c r="Y1043" s="162" t="e">
        <f>VLOOKUP(B1043,Crewlist!AS:AU,3,FALSE)</f>
        <v>#N/A</v>
      </c>
      <c r="Z1043" s="163">
        <f t="shared" si="100"/>
        <v>0</v>
      </c>
    </row>
    <row r="1044" spans="2:26">
      <c r="B1044" s="171">
        <v>1043</v>
      </c>
      <c r="C1044" s="169"/>
      <c r="N1044" s="201">
        <v>0</v>
      </c>
      <c r="Q1044">
        <f t="shared" si="102"/>
        <v>0</v>
      </c>
      <c r="R1044">
        <f t="shared" si="99"/>
        <v>1042</v>
      </c>
      <c r="S1044">
        <f>IFERROR(SEARCH(Crewlist!$P$5,V1044)+ROW()/100000,"")</f>
        <v>1.01044</v>
      </c>
      <c r="T1044">
        <f t="shared" si="103"/>
        <v>1043</v>
      </c>
      <c r="U1044">
        <f t="shared" si="104"/>
        <v>0</v>
      </c>
      <c r="V1044" t="str">
        <f t="shared" si="101"/>
        <v xml:space="preserve"> </v>
      </c>
      <c r="Y1044" s="162" t="e">
        <f>VLOOKUP(B1044,Crewlist!AS:AU,3,FALSE)</f>
        <v>#N/A</v>
      </c>
      <c r="Z1044" s="163">
        <f t="shared" si="100"/>
        <v>0</v>
      </c>
    </row>
    <row r="1045" spans="2:26">
      <c r="B1045" s="171">
        <v>1044</v>
      </c>
      <c r="C1045" s="169"/>
      <c r="N1045" s="201">
        <v>0</v>
      </c>
      <c r="Q1045">
        <f t="shared" si="102"/>
        <v>0</v>
      </c>
      <c r="R1045">
        <f t="shared" si="99"/>
        <v>1043</v>
      </c>
      <c r="S1045">
        <f>IFERROR(SEARCH(Crewlist!$P$5,V1045)+ROW()/100000,"")</f>
        <v>1.0104500000000001</v>
      </c>
      <c r="T1045">
        <f t="shared" si="103"/>
        <v>1044</v>
      </c>
      <c r="U1045">
        <f t="shared" si="104"/>
        <v>0</v>
      </c>
      <c r="V1045" t="str">
        <f t="shared" si="101"/>
        <v xml:space="preserve"> </v>
      </c>
      <c r="Y1045" s="162" t="e">
        <f>VLOOKUP(B1045,Crewlist!AS:AU,3,FALSE)</f>
        <v>#N/A</v>
      </c>
      <c r="Z1045" s="163">
        <f t="shared" si="100"/>
        <v>0</v>
      </c>
    </row>
    <row r="1046" spans="2:26">
      <c r="B1046" s="202">
        <v>1045</v>
      </c>
      <c r="C1046" s="169"/>
      <c r="N1046" s="201">
        <v>0</v>
      </c>
      <c r="Q1046">
        <f t="shared" si="102"/>
        <v>0</v>
      </c>
      <c r="R1046">
        <f t="shared" si="99"/>
        <v>1044</v>
      </c>
      <c r="S1046">
        <f>IFERROR(SEARCH(Crewlist!$P$5,V1046)+ROW()/100000,"")</f>
        <v>1.0104599999999999</v>
      </c>
      <c r="T1046">
        <f t="shared" si="103"/>
        <v>1045</v>
      </c>
      <c r="U1046">
        <f t="shared" si="104"/>
        <v>0</v>
      </c>
      <c r="V1046" t="str">
        <f t="shared" si="101"/>
        <v xml:space="preserve"> </v>
      </c>
      <c r="Y1046" s="162" t="e">
        <f>VLOOKUP(B1046,Crewlist!AS:AU,3,FALSE)</f>
        <v>#N/A</v>
      </c>
      <c r="Z1046" s="163">
        <f t="shared" si="100"/>
        <v>0</v>
      </c>
    </row>
    <row r="1047" spans="2:26">
      <c r="B1047" s="171">
        <v>1046</v>
      </c>
      <c r="C1047" s="169"/>
      <c r="N1047" s="201">
        <v>0</v>
      </c>
      <c r="Q1047">
        <f t="shared" si="102"/>
        <v>0</v>
      </c>
      <c r="R1047">
        <f t="shared" si="99"/>
        <v>1045</v>
      </c>
      <c r="S1047">
        <f>IFERROR(SEARCH(Crewlist!$P$5,V1047)+ROW()/100000,"")</f>
        <v>1.01047</v>
      </c>
      <c r="T1047">
        <f t="shared" si="103"/>
        <v>1046</v>
      </c>
      <c r="U1047">
        <f t="shared" si="104"/>
        <v>0</v>
      </c>
      <c r="V1047" t="str">
        <f t="shared" si="101"/>
        <v xml:space="preserve"> </v>
      </c>
      <c r="Y1047" s="162" t="e">
        <f>VLOOKUP(B1047,Crewlist!AS:AU,3,FALSE)</f>
        <v>#N/A</v>
      </c>
      <c r="Z1047" s="163">
        <f t="shared" si="100"/>
        <v>0</v>
      </c>
    </row>
    <row r="1048" spans="2:26">
      <c r="B1048" s="171">
        <v>1047</v>
      </c>
      <c r="C1048" s="169"/>
      <c r="N1048" s="201">
        <v>0</v>
      </c>
      <c r="Q1048">
        <f t="shared" si="102"/>
        <v>0</v>
      </c>
      <c r="R1048">
        <f t="shared" si="99"/>
        <v>1046</v>
      </c>
      <c r="S1048">
        <f>IFERROR(SEARCH(Crewlist!$P$5,V1048)+ROW()/100000,"")</f>
        <v>1.01048</v>
      </c>
      <c r="T1048">
        <f t="shared" si="103"/>
        <v>1047</v>
      </c>
      <c r="U1048">
        <f t="shared" si="104"/>
        <v>0</v>
      </c>
      <c r="V1048" t="str">
        <f t="shared" si="101"/>
        <v xml:space="preserve"> </v>
      </c>
      <c r="Y1048" s="162" t="e">
        <f>VLOOKUP(B1048,Crewlist!AS:AU,3,FALSE)</f>
        <v>#N/A</v>
      </c>
      <c r="Z1048" s="163">
        <f t="shared" si="100"/>
        <v>0</v>
      </c>
    </row>
    <row r="1049" spans="2:26">
      <c r="B1049" s="202">
        <v>1048</v>
      </c>
      <c r="C1049" s="169"/>
      <c r="N1049" s="201">
        <v>0</v>
      </c>
      <c r="Q1049">
        <f t="shared" si="102"/>
        <v>0</v>
      </c>
      <c r="R1049">
        <f t="shared" si="99"/>
        <v>1047</v>
      </c>
      <c r="S1049">
        <f>IFERROR(SEARCH(Crewlist!$P$5,V1049)+ROW()/100000,"")</f>
        <v>1.0104899999999999</v>
      </c>
      <c r="T1049">
        <f t="shared" si="103"/>
        <v>1048</v>
      </c>
      <c r="U1049">
        <f t="shared" si="104"/>
        <v>0</v>
      </c>
      <c r="V1049" t="str">
        <f t="shared" si="101"/>
        <v xml:space="preserve"> </v>
      </c>
      <c r="Y1049" s="162" t="e">
        <f>VLOOKUP(B1049,Crewlist!AS:AU,3,FALSE)</f>
        <v>#N/A</v>
      </c>
      <c r="Z1049" s="163">
        <f t="shared" si="100"/>
        <v>0</v>
      </c>
    </row>
    <row r="1050" spans="2:26">
      <c r="B1050" s="171">
        <v>1049</v>
      </c>
      <c r="C1050" s="169"/>
      <c r="N1050" s="201">
        <v>0</v>
      </c>
      <c r="Q1050">
        <f t="shared" si="102"/>
        <v>0</v>
      </c>
      <c r="R1050">
        <f t="shared" si="99"/>
        <v>1048</v>
      </c>
      <c r="S1050">
        <f>IFERROR(SEARCH(Crewlist!$P$5,V1050)+ROW()/100000,"")</f>
        <v>1.0105</v>
      </c>
      <c r="T1050">
        <f t="shared" si="103"/>
        <v>1049</v>
      </c>
      <c r="U1050">
        <f t="shared" si="104"/>
        <v>0</v>
      </c>
      <c r="V1050" t="str">
        <f t="shared" si="101"/>
        <v xml:space="preserve"> </v>
      </c>
      <c r="Y1050" s="162" t="e">
        <f>VLOOKUP(B1050,Crewlist!AS:AU,3,FALSE)</f>
        <v>#N/A</v>
      </c>
      <c r="Z1050" s="163">
        <f t="shared" si="100"/>
        <v>0</v>
      </c>
    </row>
    <row r="1051" spans="2:26">
      <c r="B1051" s="171">
        <v>1050</v>
      </c>
      <c r="C1051" s="169"/>
      <c r="N1051" s="201">
        <v>0</v>
      </c>
      <c r="Q1051">
        <f t="shared" si="102"/>
        <v>0</v>
      </c>
      <c r="R1051">
        <f t="shared" si="99"/>
        <v>1049</v>
      </c>
      <c r="S1051">
        <f>IFERROR(SEARCH(Crewlist!$P$5,V1051)+ROW()/100000,"")</f>
        <v>1.01051</v>
      </c>
      <c r="T1051">
        <f t="shared" si="103"/>
        <v>1050</v>
      </c>
      <c r="U1051">
        <f t="shared" si="104"/>
        <v>0</v>
      </c>
      <c r="V1051" t="str">
        <f t="shared" si="101"/>
        <v xml:space="preserve"> </v>
      </c>
      <c r="Y1051" s="162" t="e">
        <f>VLOOKUP(B1051,Crewlist!AS:AU,3,FALSE)</f>
        <v>#N/A</v>
      </c>
      <c r="Z1051" s="163">
        <f t="shared" si="100"/>
        <v>0</v>
      </c>
    </row>
    <row r="1052" spans="2:26">
      <c r="B1052" s="202">
        <v>1051</v>
      </c>
      <c r="C1052" s="169"/>
      <c r="N1052" s="201">
        <v>0</v>
      </c>
      <c r="Q1052">
        <f t="shared" si="102"/>
        <v>0</v>
      </c>
      <c r="R1052">
        <f t="shared" si="99"/>
        <v>1050</v>
      </c>
      <c r="S1052">
        <f>IFERROR(SEARCH(Crewlist!$P$5,V1052)+ROW()/100000,"")</f>
        <v>1.0105200000000001</v>
      </c>
      <c r="T1052">
        <f t="shared" si="103"/>
        <v>1051</v>
      </c>
      <c r="U1052">
        <f t="shared" si="104"/>
        <v>0</v>
      </c>
      <c r="V1052" t="str">
        <f t="shared" si="101"/>
        <v xml:space="preserve"> </v>
      </c>
      <c r="Y1052" s="162" t="e">
        <f>VLOOKUP(B1052,Crewlist!AS:AU,3,FALSE)</f>
        <v>#N/A</v>
      </c>
      <c r="Z1052" s="163">
        <f t="shared" si="100"/>
        <v>0</v>
      </c>
    </row>
    <row r="1053" spans="2:26">
      <c r="B1053" s="171">
        <v>1052</v>
      </c>
      <c r="C1053" s="169"/>
      <c r="N1053" s="201">
        <v>0</v>
      </c>
      <c r="Q1053">
        <f t="shared" si="102"/>
        <v>0</v>
      </c>
      <c r="R1053">
        <f t="shared" si="99"/>
        <v>1051</v>
      </c>
      <c r="S1053">
        <f>IFERROR(SEARCH(Crewlist!$P$5,V1053)+ROW()/100000,"")</f>
        <v>1.0105299999999999</v>
      </c>
      <c r="T1053">
        <f t="shared" si="103"/>
        <v>1052</v>
      </c>
      <c r="U1053">
        <f t="shared" si="104"/>
        <v>0</v>
      </c>
      <c r="V1053" t="str">
        <f t="shared" si="101"/>
        <v xml:space="preserve"> </v>
      </c>
      <c r="Y1053" s="162" t="e">
        <f>VLOOKUP(B1053,Crewlist!AS:AU,3,FALSE)</f>
        <v>#N/A</v>
      </c>
      <c r="Z1053" s="163">
        <f t="shared" si="100"/>
        <v>0</v>
      </c>
    </row>
    <row r="1054" spans="2:26">
      <c r="B1054" s="171">
        <v>1053</v>
      </c>
      <c r="C1054" s="169"/>
      <c r="N1054" s="201">
        <v>0</v>
      </c>
      <c r="Q1054">
        <f t="shared" si="102"/>
        <v>0</v>
      </c>
      <c r="R1054">
        <f t="shared" si="99"/>
        <v>1052</v>
      </c>
      <c r="S1054">
        <f>IFERROR(SEARCH(Crewlist!$P$5,V1054)+ROW()/100000,"")</f>
        <v>1.01054</v>
      </c>
      <c r="T1054">
        <f t="shared" si="103"/>
        <v>1053</v>
      </c>
      <c r="U1054">
        <f t="shared" si="104"/>
        <v>0</v>
      </c>
      <c r="V1054" t="str">
        <f t="shared" si="101"/>
        <v xml:space="preserve"> </v>
      </c>
      <c r="Y1054" s="162" t="e">
        <f>VLOOKUP(B1054,Crewlist!AS:AU,3,FALSE)</f>
        <v>#N/A</v>
      </c>
      <c r="Z1054" s="163">
        <f t="shared" si="100"/>
        <v>0</v>
      </c>
    </row>
    <row r="1055" spans="2:26">
      <c r="B1055" s="202">
        <v>1054</v>
      </c>
      <c r="C1055" s="169"/>
      <c r="N1055" s="201">
        <v>0</v>
      </c>
      <c r="Q1055">
        <f t="shared" si="102"/>
        <v>0</v>
      </c>
      <c r="R1055">
        <f t="shared" si="99"/>
        <v>1053</v>
      </c>
      <c r="S1055">
        <f>IFERROR(SEARCH(Crewlist!$P$5,V1055)+ROW()/100000,"")</f>
        <v>1.0105500000000001</v>
      </c>
      <c r="T1055">
        <f t="shared" si="103"/>
        <v>1054</v>
      </c>
      <c r="U1055">
        <f t="shared" si="104"/>
        <v>0</v>
      </c>
      <c r="V1055" t="str">
        <f t="shared" si="101"/>
        <v xml:space="preserve"> </v>
      </c>
      <c r="Y1055" s="162" t="e">
        <f>VLOOKUP(B1055,Crewlist!AS:AU,3,FALSE)</f>
        <v>#N/A</v>
      </c>
      <c r="Z1055" s="163">
        <f t="shared" si="100"/>
        <v>0</v>
      </c>
    </row>
    <row r="1056" spans="2:26">
      <c r="B1056" s="171">
        <v>1055</v>
      </c>
      <c r="C1056" s="169"/>
      <c r="N1056" s="201">
        <v>0</v>
      </c>
      <c r="Q1056">
        <f t="shared" si="102"/>
        <v>0</v>
      </c>
      <c r="R1056">
        <f t="shared" si="99"/>
        <v>1054</v>
      </c>
      <c r="S1056">
        <f>IFERROR(SEARCH(Crewlist!$P$5,V1056)+ROW()/100000,"")</f>
        <v>1.0105599999999999</v>
      </c>
      <c r="T1056">
        <f t="shared" si="103"/>
        <v>1055</v>
      </c>
      <c r="U1056">
        <f t="shared" si="104"/>
        <v>0</v>
      </c>
      <c r="V1056" t="str">
        <f t="shared" si="101"/>
        <v xml:space="preserve"> </v>
      </c>
      <c r="Y1056" s="162" t="e">
        <f>VLOOKUP(B1056,Crewlist!AS:AU,3,FALSE)</f>
        <v>#N/A</v>
      </c>
      <c r="Z1056" s="163">
        <f t="shared" si="100"/>
        <v>0</v>
      </c>
    </row>
    <row r="1057" spans="2:26">
      <c r="B1057" s="171">
        <v>1056</v>
      </c>
      <c r="C1057" s="169"/>
      <c r="N1057" s="201">
        <v>0</v>
      </c>
      <c r="Q1057">
        <f t="shared" si="102"/>
        <v>0</v>
      </c>
      <c r="R1057">
        <f t="shared" si="99"/>
        <v>1055</v>
      </c>
      <c r="S1057">
        <f>IFERROR(SEARCH(Crewlist!$P$5,V1057)+ROW()/100000,"")</f>
        <v>1.01057</v>
      </c>
      <c r="T1057">
        <f t="shared" si="103"/>
        <v>1056</v>
      </c>
      <c r="U1057">
        <f t="shared" si="104"/>
        <v>0</v>
      </c>
      <c r="V1057" t="str">
        <f t="shared" si="101"/>
        <v xml:space="preserve"> </v>
      </c>
      <c r="Y1057" s="162" t="e">
        <f>VLOOKUP(B1057,Crewlist!AS:AU,3,FALSE)</f>
        <v>#N/A</v>
      </c>
      <c r="Z1057" s="163">
        <f t="shared" si="100"/>
        <v>0</v>
      </c>
    </row>
    <row r="1058" spans="2:26">
      <c r="B1058" s="202">
        <v>1057</v>
      </c>
      <c r="C1058" s="169"/>
      <c r="N1058" s="201">
        <v>0</v>
      </c>
      <c r="Q1058">
        <f t="shared" si="102"/>
        <v>0</v>
      </c>
      <c r="R1058">
        <f t="shared" si="99"/>
        <v>1056</v>
      </c>
      <c r="S1058">
        <f>IFERROR(SEARCH(Crewlist!$P$5,V1058)+ROW()/100000,"")</f>
        <v>1.01058</v>
      </c>
      <c r="T1058">
        <f t="shared" si="103"/>
        <v>1057</v>
      </c>
      <c r="U1058">
        <f t="shared" si="104"/>
        <v>0</v>
      </c>
      <c r="V1058" t="str">
        <f t="shared" si="101"/>
        <v xml:space="preserve"> </v>
      </c>
      <c r="Y1058" s="162" t="e">
        <f>VLOOKUP(B1058,Crewlist!AS:AU,3,FALSE)</f>
        <v>#N/A</v>
      </c>
      <c r="Z1058" s="163">
        <f t="shared" si="100"/>
        <v>0</v>
      </c>
    </row>
    <row r="1059" spans="2:26">
      <c r="B1059" s="171">
        <v>1058</v>
      </c>
      <c r="C1059" s="169"/>
      <c r="N1059" s="201">
        <v>0</v>
      </c>
      <c r="Q1059">
        <f t="shared" si="102"/>
        <v>0</v>
      </c>
      <c r="R1059">
        <f t="shared" si="99"/>
        <v>1057</v>
      </c>
      <c r="S1059">
        <f>IFERROR(SEARCH(Crewlist!$P$5,V1059)+ROW()/100000,"")</f>
        <v>1.0105900000000001</v>
      </c>
      <c r="T1059">
        <f t="shared" si="103"/>
        <v>1058</v>
      </c>
      <c r="U1059">
        <f t="shared" si="104"/>
        <v>0</v>
      </c>
      <c r="V1059" t="str">
        <f t="shared" si="101"/>
        <v xml:space="preserve"> </v>
      </c>
      <c r="Y1059" s="162" t="e">
        <f>VLOOKUP(B1059,Crewlist!AS:AU,3,FALSE)</f>
        <v>#N/A</v>
      </c>
      <c r="Z1059" s="163">
        <f t="shared" si="100"/>
        <v>0</v>
      </c>
    </row>
    <row r="1060" spans="2:26">
      <c r="B1060" s="171">
        <v>1059</v>
      </c>
      <c r="C1060" s="169"/>
      <c r="N1060" s="201">
        <v>0</v>
      </c>
      <c r="Q1060">
        <f t="shared" si="102"/>
        <v>0</v>
      </c>
      <c r="R1060">
        <f t="shared" si="99"/>
        <v>1058</v>
      </c>
      <c r="S1060">
        <f>IFERROR(SEARCH(Crewlist!$P$5,V1060)+ROW()/100000,"")</f>
        <v>1.0105999999999999</v>
      </c>
      <c r="T1060">
        <f t="shared" si="103"/>
        <v>1059</v>
      </c>
      <c r="U1060">
        <f t="shared" si="104"/>
        <v>0</v>
      </c>
      <c r="V1060" t="str">
        <f t="shared" si="101"/>
        <v xml:space="preserve"> </v>
      </c>
      <c r="Y1060" s="162" t="e">
        <f>VLOOKUP(B1060,Crewlist!AS:AU,3,FALSE)</f>
        <v>#N/A</v>
      </c>
      <c r="Z1060" s="163">
        <f t="shared" si="100"/>
        <v>0</v>
      </c>
    </row>
    <row r="1061" spans="2:26">
      <c r="B1061" s="202">
        <v>1060</v>
      </c>
      <c r="C1061" s="169"/>
      <c r="N1061" s="201">
        <v>0</v>
      </c>
      <c r="Q1061">
        <f t="shared" si="102"/>
        <v>0</v>
      </c>
      <c r="R1061">
        <f t="shared" si="99"/>
        <v>1059</v>
      </c>
      <c r="S1061">
        <f>IFERROR(SEARCH(Crewlist!$P$5,V1061)+ROW()/100000,"")</f>
        <v>1.01061</v>
      </c>
      <c r="T1061">
        <f t="shared" si="103"/>
        <v>1060</v>
      </c>
      <c r="U1061">
        <f t="shared" si="104"/>
        <v>0</v>
      </c>
      <c r="V1061" t="str">
        <f t="shared" si="101"/>
        <v xml:space="preserve"> </v>
      </c>
      <c r="Y1061" s="162" t="e">
        <f>VLOOKUP(B1061,Crewlist!AS:AU,3,FALSE)</f>
        <v>#N/A</v>
      </c>
      <c r="Z1061" s="163">
        <f t="shared" si="100"/>
        <v>0</v>
      </c>
    </row>
    <row r="1062" spans="2:26">
      <c r="B1062" s="171">
        <v>1061</v>
      </c>
      <c r="C1062" s="169"/>
      <c r="N1062" s="201">
        <v>0</v>
      </c>
      <c r="Q1062">
        <f t="shared" si="102"/>
        <v>0</v>
      </c>
      <c r="R1062">
        <f t="shared" si="99"/>
        <v>1060</v>
      </c>
      <c r="S1062">
        <f>IFERROR(SEARCH(Crewlist!$P$5,V1062)+ROW()/100000,"")</f>
        <v>1.0106200000000001</v>
      </c>
      <c r="T1062">
        <f t="shared" si="103"/>
        <v>1061</v>
      </c>
      <c r="U1062">
        <f t="shared" si="104"/>
        <v>0</v>
      </c>
      <c r="V1062" t="str">
        <f t="shared" si="101"/>
        <v xml:space="preserve"> </v>
      </c>
      <c r="Y1062" s="162" t="e">
        <f>VLOOKUP(B1062,Crewlist!AS:AU,3,FALSE)</f>
        <v>#N/A</v>
      </c>
      <c r="Z1062" s="163">
        <f t="shared" si="100"/>
        <v>0</v>
      </c>
    </row>
    <row r="1063" spans="2:26">
      <c r="B1063" s="171">
        <v>1062</v>
      </c>
      <c r="C1063" s="169"/>
      <c r="N1063" s="201">
        <v>0</v>
      </c>
      <c r="Q1063">
        <f t="shared" si="102"/>
        <v>0</v>
      </c>
      <c r="R1063">
        <f t="shared" si="99"/>
        <v>1061</v>
      </c>
      <c r="S1063">
        <f>IFERROR(SEARCH(Crewlist!$P$5,V1063)+ROW()/100000,"")</f>
        <v>1.0106299999999999</v>
      </c>
      <c r="T1063">
        <f t="shared" si="103"/>
        <v>1062</v>
      </c>
      <c r="U1063">
        <f t="shared" si="104"/>
        <v>0</v>
      </c>
      <c r="V1063" t="str">
        <f t="shared" si="101"/>
        <v xml:space="preserve"> </v>
      </c>
      <c r="Y1063" s="162" t="e">
        <f>VLOOKUP(B1063,Crewlist!AS:AU,3,FALSE)</f>
        <v>#N/A</v>
      </c>
      <c r="Z1063" s="163">
        <f t="shared" si="100"/>
        <v>0</v>
      </c>
    </row>
    <row r="1064" spans="2:26">
      <c r="B1064" s="202">
        <v>1063</v>
      </c>
      <c r="C1064" s="169"/>
      <c r="N1064" s="201">
        <v>0</v>
      </c>
      <c r="Q1064">
        <f t="shared" si="102"/>
        <v>0</v>
      </c>
      <c r="R1064">
        <f t="shared" si="99"/>
        <v>1062</v>
      </c>
      <c r="S1064">
        <f>IFERROR(SEARCH(Crewlist!$P$5,V1064)+ROW()/100000,"")</f>
        <v>1.01064</v>
      </c>
      <c r="T1064">
        <f t="shared" si="103"/>
        <v>1063</v>
      </c>
      <c r="U1064">
        <f t="shared" si="104"/>
        <v>0</v>
      </c>
      <c r="V1064" t="str">
        <f t="shared" si="101"/>
        <v xml:space="preserve"> </v>
      </c>
      <c r="Y1064" s="162" t="e">
        <f>VLOOKUP(B1064,Crewlist!AS:AU,3,FALSE)</f>
        <v>#N/A</v>
      </c>
      <c r="Z1064" s="163">
        <f t="shared" si="100"/>
        <v>0</v>
      </c>
    </row>
    <row r="1065" spans="2:26">
      <c r="B1065" s="171">
        <v>1064</v>
      </c>
      <c r="C1065" s="169"/>
      <c r="N1065" s="201">
        <v>0</v>
      </c>
      <c r="Q1065">
        <f t="shared" si="102"/>
        <v>0</v>
      </c>
      <c r="R1065">
        <f t="shared" si="99"/>
        <v>1063</v>
      </c>
      <c r="S1065">
        <f>IFERROR(SEARCH(Crewlist!$P$5,V1065)+ROW()/100000,"")</f>
        <v>1.01065</v>
      </c>
      <c r="T1065">
        <f t="shared" si="103"/>
        <v>1064</v>
      </c>
      <c r="U1065">
        <f t="shared" si="104"/>
        <v>0</v>
      </c>
      <c r="V1065" t="str">
        <f t="shared" si="101"/>
        <v xml:space="preserve"> </v>
      </c>
      <c r="Y1065" s="162" t="e">
        <f>VLOOKUP(B1065,Crewlist!AS:AU,3,FALSE)</f>
        <v>#N/A</v>
      </c>
      <c r="Z1065" s="163">
        <f t="shared" si="100"/>
        <v>0</v>
      </c>
    </row>
    <row r="1066" spans="2:26">
      <c r="B1066" s="171">
        <v>1065</v>
      </c>
      <c r="C1066" s="169"/>
      <c r="N1066" s="201">
        <v>0</v>
      </c>
      <c r="Q1066">
        <f t="shared" si="102"/>
        <v>0</v>
      </c>
      <c r="R1066">
        <f t="shared" si="99"/>
        <v>1064</v>
      </c>
      <c r="S1066">
        <f>IFERROR(SEARCH(Crewlist!$P$5,V1066)+ROW()/100000,"")</f>
        <v>1.0106599999999999</v>
      </c>
      <c r="T1066">
        <f t="shared" si="103"/>
        <v>1065</v>
      </c>
      <c r="U1066">
        <f t="shared" si="104"/>
        <v>0</v>
      </c>
      <c r="V1066" t="str">
        <f t="shared" si="101"/>
        <v xml:space="preserve"> </v>
      </c>
      <c r="Y1066" s="162" t="e">
        <f>VLOOKUP(B1066,Crewlist!AS:AU,3,FALSE)</f>
        <v>#N/A</v>
      </c>
      <c r="Z1066" s="163">
        <f t="shared" si="100"/>
        <v>0</v>
      </c>
    </row>
    <row r="1067" spans="2:26">
      <c r="B1067" s="202">
        <v>1066</v>
      </c>
      <c r="C1067" s="169"/>
      <c r="N1067" s="201">
        <v>0</v>
      </c>
      <c r="Q1067">
        <f t="shared" si="102"/>
        <v>0</v>
      </c>
      <c r="R1067">
        <f t="shared" si="99"/>
        <v>1065</v>
      </c>
      <c r="S1067">
        <f>IFERROR(SEARCH(Crewlist!$P$5,V1067)+ROW()/100000,"")</f>
        <v>1.01067</v>
      </c>
      <c r="T1067">
        <f t="shared" si="103"/>
        <v>1066</v>
      </c>
      <c r="U1067">
        <f t="shared" si="104"/>
        <v>0</v>
      </c>
      <c r="V1067" t="str">
        <f t="shared" si="101"/>
        <v xml:space="preserve"> </v>
      </c>
      <c r="Y1067" s="162" t="e">
        <f>VLOOKUP(B1067,Crewlist!AS:AU,3,FALSE)</f>
        <v>#N/A</v>
      </c>
      <c r="Z1067" s="163">
        <f t="shared" si="100"/>
        <v>0</v>
      </c>
    </row>
    <row r="1068" spans="2:26">
      <c r="B1068" s="171">
        <v>1067</v>
      </c>
      <c r="C1068" s="169"/>
      <c r="N1068" s="201">
        <v>0</v>
      </c>
      <c r="Q1068">
        <f t="shared" si="102"/>
        <v>0</v>
      </c>
      <c r="R1068">
        <f t="shared" si="99"/>
        <v>1066</v>
      </c>
      <c r="S1068">
        <f>IFERROR(SEARCH(Crewlist!$P$5,V1068)+ROW()/100000,"")</f>
        <v>1.01068</v>
      </c>
      <c r="T1068">
        <f t="shared" si="103"/>
        <v>1067</v>
      </c>
      <c r="U1068">
        <f t="shared" si="104"/>
        <v>0</v>
      </c>
      <c r="V1068" t="str">
        <f t="shared" si="101"/>
        <v xml:space="preserve"> </v>
      </c>
      <c r="Y1068" s="162" t="e">
        <f>VLOOKUP(B1068,Crewlist!AS:AU,3,FALSE)</f>
        <v>#N/A</v>
      </c>
      <c r="Z1068" s="163">
        <f t="shared" si="100"/>
        <v>0</v>
      </c>
    </row>
    <row r="1069" spans="2:26">
      <c r="B1069" s="171">
        <v>1068</v>
      </c>
      <c r="C1069" s="169"/>
      <c r="N1069" s="201">
        <v>0</v>
      </c>
      <c r="Q1069">
        <f t="shared" si="102"/>
        <v>0</v>
      </c>
      <c r="R1069">
        <f t="shared" si="99"/>
        <v>1067</v>
      </c>
      <c r="S1069">
        <f>IFERROR(SEARCH(Crewlist!$P$5,V1069)+ROW()/100000,"")</f>
        <v>1.0106900000000001</v>
      </c>
      <c r="T1069">
        <f t="shared" si="103"/>
        <v>1068</v>
      </c>
      <c r="U1069">
        <f t="shared" si="104"/>
        <v>0</v>
      </c>
      <c r="V1069" t="str">
        <f t="shared" si="101"/>
        <v xml:space="preserve"> </v>
      </c>
      <c r="Y1069" s="162" t="e">
        <f>VLOOKUP(B1069,Crewlist!AS:AU,3,FALSE)</f>
        <v>#N/A</v>
      </c>
      <c r="Z1069" s="163">
        <f t="shared" si="100"/>
        <v>0</v>
      </c>
    </row>
    <row r="1070" spans="2:26">
      <c r="B1070" s="202">
        <v>1069</v>
      </c>
      <c r="C1070" s="169"/>
      <c r="N1070" s="201">
        <v>0</v>
      </c>
      <c r="Q1070">
        <f t="shared" si="102"/>
        <v>0</v>
      </c>
      <c r="R1070">
        <f t="shared" si="99"/>
        <v>1068</v>
      </c>
      <c r="S1070">
        <f>IFERROR(SEARCH(Crewlist!$P$5,V1070)+ROW()/100000,"")</f>
        <v>1.0106999999999999</v>
      </c>
      <c r="T1070">
        <f t="shared" si="103"/>
        <v>1069</v>
      </c>
      <c r="U1070">
        <f t="shared" si="104"/>
        <v>0</v>
      </c>
      <c r="V1070" t="str">
        <f t="shared" si="101"/>
        <v xml:space="preserve"> </v>
      </c>
      <c r="Y1070" s="162" t="e">
        <f>VLOOKUP(B1070,Crewlist!AS:AU,3,FALSE)</f>
        <v>#N/A</v>
      </c>
      <c r="Z1070" s="163">
        <f t="shared" si="100"/>
        <v>0</v>
      </c>
    </row>
    <row r="1071" spans="2:26">
      <c r="B1071" s="171">
        <v>1070</v>
      </c>
      <c r="C1071" s="169"/>
      <c r="N1071" s="201">
        <v>0</v>
      </c>
      <c r="Q1071">
        <f t="shared" si="102"/>
        <v>0</v>
      </c>
      <c r="R1071">
        <f t="shared" si="99"/>
        <v>1069</v>
      </c>
      <c r="S1071">
        <f>IFERROR(SEARCH(Crewlist!$P$5,V1071)+ROW()/100000,"")</f>
        <v>1.01071</v>
      </c>
      <c r="T1071">
        <f t="shared" si="103"/>
        <v>1070</v>
      </c>
      <c r="U1071">
        <f t="shared" si="104"/>
        <v>0</v>
      </c>
      <c r="V1071" t="str">
        <f t="shared" si="101"/>
        <v xml:space="preserve"> </v>
      </c>
      <c r="Y1071" s="162" t="e">
        <f>VLOOKUP(B1071,Crewlist!AS:AU,3,FALSE)</f>
        <v>#N/A</v>
      </c>
      <c r="Z1071" s="163">
        <f t="shared" si="100"/>
        <v>0</v>
      </c>
    </row>
    <row r="1072" spans="2:26">
      <c r="B1072" s="171">
        <v>1071</v>
      </c>
      <c r="C1072" s="169"/>
      <c r="N1072" s="201">
        <v>0</v>
      </c>
      <c r="Q1072">
        <f t="shared" si="102"/>
        <v>0</v>
      </c>
      <c r="R1072">
        <f t="shared" si="99"/>
        <v>1070</v>
      </c>
      <c r="S1072">
        <f>IFERROR(SEARCH(Crewlist!$P$5,V1072)+ROW()/100000,"")</f>
        <v>1.0107200000000001</v>
      </c>
      <c r="T1072">
        <f t="shared" si="103"/>
        <v>1071</v>
      </c>
      <c r="U1072">
        <f t="shared" si="104"/>
        <v>0</v>
      </c>
      <c r="V1072" t="str">
        <f t="shared" si="101"/>
        <v xml:space="preserve"> </v>
      </c>
      <c r="Y1072" s="162" t="e">
        <f>VLOOKUP(B1072,Crewlist!AS:AU,3,FALSE)</f>
        <v>#N/A</v>
      </c>
      <c r="Z1072" s="163">
        <f t="shared" si="100"/>
        <v>0</v>
      </c>
    </row>
    <row r="1073" spans="2:26">
      <c r="B1073" s="202">
        <v>1072</v>
      </c>
      <c r="C1073" s="169"/>
      <c r="N1073" s="201">
        <v>0</v>
      </c>
      <c r="Q1073">
        <f t="shared" si="102"/>
        <v>0</v>
      </c>
      <c r="R1073">
        <f t="shared" si="99"/>
        <v>1071</v>
      </c>
      <c r="S1073">
        <f>IFERROR(SEARCH(Crewlist!$P$5,V1073)+ROW()/100000,"")</f>
        <v>1.0107299999999999</v>
      </c>
      <c r="T1073">
        <f t="shared" si="103"/>
        <v>1072</v>
      </c>
      <c r="U1073">
        <f t="shared" si="104"/>
        <v>0</v>
      </c>
      <c r="V1073" t="str">
        <f t="shared" si="101"/>
        <v xml:space="preserve"> </v>
      </c>
      <c r="Y1073" s="162" t="e">
        <f>VLOOKUP(B1073,Crewlist!AS:AU,3,FALSE)</f>
        <v>#N/A</v>
      </c>
      <c r="Z1073" s="163">
        <f t="shared" si="100"/>
        <v>0</v>
      </c>
    </row>
    <row r="1074" spans="2:26">
      <c r="B1074" s="171">
        <v>1073</v>
      </c>
      <c r="C1074" s="169"/>
      <c r="N1074" s="201">
        <v>0</v>
      </c>
      <c r="Q1074">
        <f t="shared" si="102"/>
        <v>0</v>
      </c>
      <c r="R1074">
        <f t="shared" si="99"/>
        <v>1072</v>
      </c>
      <c r="S1074">
        <f>IFERROR(SEARCH(Crewlist!$P$5,V1074)+ROW()/100000,"")</f>
        <v>1.01074</v>
      </c>
      <c r="T1074">
        <f t="shared" si="103"/>
        <v>1073</v>
      </c>
      <c r="U1074">
        <f t="shared" si="104"/>
        <v>0</v>
      </c>
      <c r="V1074" t="str">
        <f t="shared" si="101"/>
        <v xml:space="preserve"> </v>
      </c>
      <c r="Y1074" s="162" t="e">
        <f>VLOOKUP(B1074,Crewlist!AS:AU,3,FALSE)</f>
        <v>#N/A</v>
      </c>
      <c r="Z1074" s="163">
        <f t="shared" si="100"/>
        <v>0</v>
      </c>
    </row>
    <row r="1075" spans="2:26">
      <c r="B1075" s="171">
        <v>1074</v>
      </c>
      <c r="C1075" s="169"/>
      <c r="N1075" s="201">
        <v>0</v>
      </c>
      <c r="Q1075">
        <f t="shared" si="102"/>
        <v>0</v>
      </c>
      <c r="R1075">
        <f t="shared" si="99"/>
        <v>1073</v>
      </c>
      <c r="S1075">
        <f>IFERROR(SEARCH(Crewlist!$P$5,V1075)+ROW()/100000,"")</f>
        <v>1.01075</v>
      </c>
      <c r="T1075">
        <f t="shared" si="103"/>
        <v>1074</v>
      </c>
      <c r="U1075">
        <f t="shared" si="104"/>
        <v>0</v>
      </c>
      <c r="V1075" t="str">
        <f t="shared" si="101"/>
        <v xml:space="preserve"> </v>
      </c>
      <c r="Y1075" s="162" t="e">
        <f>VLOOKUP(B1075,Crewlist!AS:AU,3,FALSE)</f>
        <v>#N/A</v>
      </c>
      <c r="Z1075" s="163">
        <f t="shared" si="100"/>
        <v>0</v>
      </c>
    </row>
    <row r="1076" spans="2:26">
      <c r="B1076" s="202">
        <v>1075</v>
      </c>
      <c r="C1076" s="169"/>
      <c r="N1076" s="201">
        <v>0</v>
      </c>
      <c r="Q1076">
        <f t="shared" si="102"/>
        <v>0</v>
      </c>
      <c r="R1076">
        <f t="shared" si="99"/>
        <v>1074</v>
      </c>
      <c r="S1076">
        <f>IFERROR(SEARCH(Crewlist!$P$5,V1076)+ROW()/100000,"")</f>
        <v>1.0107600000000001</v>
      </c>
      <c r="T1076">
        <f t="shared" si="103"/>
        <v>1075</v>
      </c>
      <c r="U1076">
        <f t="shared" si="104"/>
        <v>0</v>
      </c>
      <c r="V1076" t="str">
        <f t="shared" si="101"/>
        <v xml:space="preserve"> </v>
      </c>
      <c r="Y1076" s="162" t="e">
        <f>VLOOKUP(B1076,Crewlist!AS:AU,3,FALSE)</f>
        <v>#N/A</v>
      </c>
      <c r="Z1076" s="163">
        <f t="shared" si="100"/>
        <v>0</v>
      </c>
    </row>
    <row r="1077" spans="2:26">
      <c r="B1077" s="171">
        <v>1076</v>
      </c>
      <c r="C1077" s="169"/>
      <c r="N1077" s="201">
        <v>0</v>
      </c>
      <c r="Q1077">
        <f t="shared" si="102"/>
        <v>0</v>
      </c>
      <c r="R1077">
        <f t="shared" si="99"/>
        <v>1075</v>
      </c>
      <c r="S1077">
        <f>IFERROR(SEARCH(Crewlist!$P$5,V1077)+ROW()/100000,"")</f>
        <v>1.0107699999999999</v>
      </c>
      <c r="T1077">
        <f t="shared" si="103"/>
        <v>1076</v>
      </c>
      <c r="U1077">
        <f t="shared" si="104"/>
        <v>0</v>
      </c>
      <c r="V1077" t="str">
        <f t="shared" si="101"/>
        <v xml:space="preserve"> </v>
      </c>
      <c r="Y1077" s="162" t="e">
        <f>VLOOKUP(B1077,Crewlist!AS:AU,3,FALSE)</f>
        <v>#N/A</v>
      </c>
      <c r="Z1077" s="163">
        <f t="shared" si="100"/>
        <v>0</v>
      </c>
    </row>
    <row r="1078" spans="2:26">
      <c r="B1078" s="171">
        <v>1077</v>
      </c>
      <c r="C1078" s="169"/>
      <c r="N1078" s="201">
        <v>0</v>
      </c>
      <c r="Q1078">
        <f t="shared" si="102"/>
        <v>0</v>
      </c>
      <c r="R1078">
        <f t="shared" si="99"/>
        <v>1076</v>
      </c>
      <c r="S1078">
        <f>IFERROR(SEARCH(Crewlist!$P$5,V1078)+ROW()/100000,"")</f>
        <v>1.01078</v>
      </c>
      <c r="T1078">
        <f t="shared" si="103"/>
        <v>1077</v>
      </c>
      <c r="U1078">
        <f t="shared" si="104"/>
        <v>0</v>
      </c>
      <c r="V1078" t="str">
        <f t="shared" si="101"/>
        <v xml:space="preserve"> </v>
      </c>
      <c r="Y1078" s="162" t="e">
        <f>VLOOKUP(B1078,Crewlist!AS:AU,3,FALSE)</f>
        <v>#N/A</v>
      </c>
      <c r="Z1078" s="163">
        <f t="shared" si="100"/>
        <v>0</v>
      </c>
    </row>
    <row r="1079" spans="2:26">
      <c r="B1079" s="202">
        <v>1078</v>
      </c>
      <c r="C1079" s="169"/>
      <c r="N1079" s="201">
        <v>0</v>
      </c>
      <c r="Q1079">
        <f t="shared" si="102"/>
        <v>0</v>
      </c>
      <c r="R1079">
        <f t="shared" si="99"/>
        <v>1077</v>
      </c>
      <c r="S1079">
        <f>IFERROR(SEARCH(Crewlist!$P$5,V1079)+ROW()/100000,"")</f>
        <v>1.0107900000000001</v>
      </c>
      <c r="T1079">
        <f t="shared" si="103"/>
        <v>1078</v>
      </c>
      <c r="U1079">
        <f t="shared" si="104"/>
        <v>0</v>
      </c>
      <c r="V1079" t="str">
        <f t="shared" si="101"/>
        <v xml:space="preserve"> </v>
      </c>
      <c r="Y1079" s="162" t="e">
        <f>VLOOKUP(B1079,Crewlist!AS:AU,3,FALSE)</f>
        <v>#N/A</v>
      </c>
      <c r="Z1079" s="163">
        <f t="shared" si="100"/>
        <v>0</v>
      </c>
    </row>
    <row r="1080" spans="2:26">
      <c r="B1080" s="171">
        <v>1079</v>
      </c>
      <c r="C1080" s="169"/>
      <c r="N1080" s="201">
        <v>0</v>
      </c>
      <c r="Q1080">
        <f t="shared" si="102"/>
        <v>0</v>
      </c>
      <c r="R1080">
        <f t="shared" si="99"/>
        <v>1078</v>
      </c>
      <c r="S1080">
        <f>IFERROR(SEARCH(Crewlist!$P$5,V1080)+ROW()/100000,"")</f>
        <v>1.0107999999999999</v>
      </c>
      <c r="T1080">
        <f t="shared" si="103"/>
        <v>1079</v>
      </c>
      <c r="U1080">
        <f t="shared" si="104"/>
        <v>0</v>
      </c>
      <c r="V1080" t="str">
        <f t="shared" si="101"/>
        <v xml:space="preserve"> </v>
      </c>
      <c r="Y1080" s="162" t="e">
        <f>VLOOKUP(B1080,Crewlist!AS:AU,3,FALSE)</f>
        <v>#N/A</v>
      </c>
      <c r="Z1080" s="163">
        <f t="shared" si="100"/>
        <v>0</v>
      </c>
    </row>
    <row r="1081" spans="2:26">
      <c r="B1081" s="171">
        <v>1080</v>
      </c>
      <c r="C1081" s="169"/>
      <c r="N1081" s="201">
        <v>0</v>
      </c>
      <c r="Q1081">
        <f t="shared" si="102"/>
        <v>0</v>
      </c>
      <c r="R1081">
        <f t="shared" si="99"/>
        <v>1079</v>
      </c>
      <c r="S1081">
        <f>IFERROR(SEARCH(Crewlist!$P$5,V1081)+ROW()/100000,"")</f>
        <v>1.01081</v>
      </c>
      <c r="T1081">
        <f t="shared" si="103"/>
        <v>1080</v>
      </c>
      <c r="U1081">
        <f t="shared" si="104"/>
        <v>0</v>
      </c>
      <c r="V1081" t="str">
        <f t="shared" si="101"/>
        <v xml:space="preserve"> </v>
      </c>
      <c r="Y1081" s="162" t="e">
        <f>VLOOKUP(B1081,Crewlist!AS:AU,3,FALSE)</f>
        <v>#N/A</v>
      </c>
      <c r="Z1081" s="163">
        <f t="shared" si="100"/>
        <v>0</v>
      </c>
    </row>
    <row r="1082" spans="2:26">
      <c r="B1082" s="202">
        <v>1081</v>
      </c>
      <c r="C1082" s="169"/>
      <c r="N1082" s="201">
        <v>0</v>
      </c>
      <c r="Q1082">
        <f t="shared" si="102"/>
        <v>0</v>
      </c>
      <c r="R1082">
        <f t="shared" si="99"/>
        <v>1080</v>
      </c>
      <c r="S1082">
        <f>IFERROR(SEARCH(Crewlist!$P$5,V1082)+ROW()/100000,"")</f>
        <v>1.0108200000000001</v>
      </c>
      <c r="T1082">
        <f t="shared" si="103"/>
        <v>1081</v>
      </c>
      <c r="U1082">
        <f t="shared" si="104"/>
        <v>0</v>
      </c>
      <c r="V1082" t="str">
        <f t="shared" si="101"/>
        <v xml:space="preserve"> </v>
      </c>
      <c r="Y1082" s="162" t="e">
        <f>VLOOKUP(B1082,Crewlist!AS:AU,3,FALSE)</f>
        <v>#N/A</v>
      </c>
      <c r="Z1082" s="163">
        <f t="shared" si="100"/>
        <v>0</v>
      </c>
    </row>
    <row r="1083" spans="2:26">
      <c r="B1083" s="171">
        <v>1082</v>
      </c>
      <c r="C1083" s="169"/>
      <c r="N1083" s="201">
        <v>0</v>
      </c>
      <c r="Q1083">
        <f t="shared" si="102"/>
        <v>0</v>
      </c>
      <c r="R1083">
        <f t="shared" si="99"/>
        <v>1081</v>
      </c>
      <c r="S1083">
        <f>IFERROR(SEARCH(Crewlist!$P$5,V1083)+ROW()/100000,"")</f>
        <v>1.0108299999999999</v>
      </c>
      <c r="T1083">
        <f t="shared" si="103"/>
        <v>1082</v>
      </c>
      <c r="U1083">
        <f t="shared" si="104"/>
        <v>0</v>
      </c>
      <c r="V1083" t="str">
        <f t="shared" si="101"/>
        <v xml:space="preserve"> </v>
      </c>
      <c r="Y1083" s="162" t="e">
        <f>VLOOKUP(B1083,Crewlist!AS:AU,3,FALSE)</f>
        <v>#N/A</v>
      </c>
      <c r="Z1083" s="163">
        <f t="shared" si="100"/>
        <v>0</v>
      </c>
    </row>
    <row r="1084" spans="2:26">
      <c r="B1084" s="171">
        <v>1083</v>
      </c>
      <c r="C1084" s="169"/>
      <c r="N1084" s="201">
        <v>0</v>
      </c>
      <c r="Q1084">
        <f t="shared" si="102"/>
        <v>0</v>
      </c>
      <c r="R1084">
        <f t="shared" si="99"/>
        <v>1082</v>
      </c>
      <c r="S1084">
        <f>IFERROR(SEARCH(Crewlist!$P$5,V1084)+ROW()/100000,"")</f>
        <v>1.01084</v>
      </c>
      <c r="T1084">
        <f t="shared" si="103"/>
        <v>1083</v>
      </c>
      <c r="U1084">
        <f t="shared" si="104"/>
        <v>0</v>
      </c>
      <c r="V1084" t="str">
        <f t="shared" si="101"/>
        <v xml:space="preserve"> </v>
      </c>
      <c r="Y1084" s="162" t="e">
        <f>VLOOKUP(B1084,Crewlist!AS:AU,3,FALSE)</f>
        <v>#N/A</v>
      </c>
      <c r="Z1084" s="163">
        <f t="shared" si="100"/>
        <v>0</v>
      </c>
    </row>
    <row r="1085" spans="2:26">
      <c r="B1085" s="202">
        <v>1084</v>
      </c>
      <c r="C1085" s="169"/>
      <c r="N1085" s="201">
        <v>0</v>
      </c>
      <c r="Q1085">
        <f t="shared" si="102"/>
        <v>0</v>
      </c>
      <c r="R1085">
        <f t="shared" si="99"/>
        <v>1083</v>
      </c>
      <c r="S1085">
        <f>IFERROR(SEARCH(Crewlist!$P$5,V1085)+ROW()/100000,"")</f>
        <v>1.01085</v>
      </c>
      <c r="T1085">
        <f t="shared" si="103"/>
        <v>1084</v>
      </c>
      <c r="U1085">
        <f t="shared" si="104"/>
        <v>0</v>
      </c>
      <c r="V1085" t="str">
        <f t="shared" si="101"/>
        <v xml:space="preserve"> </v>
      </c>
      <c r="Y1085" s="162" t="e">
        <f>VLOOKUP(B1085,Crewlist!AS:AU,3,FALSE)</f>
        <v>#N/A</v>
      </c>
      <c r="Z1085" s="163">
        <f t="shared" si="100"/>
        <v>0</v>
      </c>
    </row>
    <row r="1086" spans="2:26">
      <c r="B1086" s="171">
        <v>1085</v>
      </c>
      <c r="C1086" s="169"/>
      <c r="N1086" s="201">
        <v>0</v>
      </c>
      <c r="Q1086">
        <f t="shared" si="102"/>
        <v>0</v>
      </c>
      <c r="R1086">
        <f t="shared" si="99"/>
        <v>1084</v>
      </c>
      <c r="S1086">
        <f>IFERROR(SEARCH(Crewlist!$P$5,V1086)+ROW()/100000,"")</f>
        <v>1.0108600000000001</v>
      </c>
      <c r="T1086">
        <f t="shared" si="103"/>
        <v>1085</v>
      </c>
      <c r="U1086">
        <f t="shared" si="104"/>
        <v>0</v>
      </c>
      <c r="V1086" t="str">
        <f t="shared" si="101"/>
        <v xml:space="preserve"> </v>
      </c>
      <c r="Y1086" s="162" t="e">
        <f>VLOOKUP(B1086,Crewlist!AS:AU,3,FALSE)</f>
        <v>#N/A</v>
      </c>
      <c r="Z1086" s="163">
        <f t="shared" si="100"/>
        <v>0</v>
      </c>
    </row>
    <row r="1087" spans="2:26">
      <c r="B1087" s="171">
        <v>1086</v>
      </c>
      <c r="C1087" s="169"/>
      <c r="N1087" s="201">
        <v>0</v>
      </c>
      <c r="Q1087">
        <f t="shared" si="102"/>
        <v>0</v>
      </c>
      <c r="R1087">
        <f t="shared" si="99"/>
        <v>1085</v>
      </c>
      <c r="S1087">
        <f>IFERROR(SEARCH(Crewlist!$P$5,V1087)+ROW()/100000,"")</f>
        <v>1.0108699999999999</v>
      </c>
      <c r="T1087">
        <f t="shared" si="103"/>
        <v>1086</v>
      </c>
      <c r="U1087">
        <f t="shared" si="104"/>
        <v>0</v>
      </c>
      <c r="V1087" t="str">
        <f t="shared" si="101"/>
        <v xml:space="preserve"> </v>
      </c>
      <c r="Y1087" s="162" t="e">
        <f>VLOOKUP(B1087,Crewlist!AS:AU,3,FALSE)</f>
        <v>#N/A</v>
      </c>
      <c r="Z1087" s="163">
        <f t="shared" si="100"/>
        <v>0</v>
      </c>
    </row>
    <row r="1088" spans="2:26">
      <c r="B1088" s="202">
        <v>1087</v>
      </c>
      <c r="C1088" s="169"/>
      <c r="N1088" s="201">
        <v>0</v>
      </c>
      <c r="Q1088">
        <f t="shared" si="102"/>
        <v>0</v>
      </c>
      <c r="R1088">
        <f t="shared" si="99"/>
        <v>1086</v>
      </c>
      <c r="S1088">
        <f>IFERROR(SEARCH(Crewlist!$P$5,V1088)+ROW()/100000,"")</f>
        <v>1.01088</v>
      </c>
      <c r="T1088">
        <f t="shared" si="103"/>
        <v>1087</v>
      </c>
      <c r="U1088">
        <f t="shared" si="104"/>
        <v>0</v>
      </c>
      <c r="V1088" t="str">
        <f t="shared" si="101"/>
        <v xml:space="preserve"> </v>
      </c>
      <c r="Y1088" s="162" t="e">
        <f>VLOOKUP(B1088,Crewlist!AS:AU,3,FALSE)</f>
        <v>#N/A</v>
      </c>
      <c r="Z1088" s="163">
        <f t="shared" si="100"/>
        <v>0</v>
      </c>
    </row>
    <row r="1089" spans="2:26">
      <c r="B1089" s="171">
        <v>1088</v>
      </c>
      <c r="C1089" s="169"/>
      <c r="N1089" s="201">
        <v>0</v>
      </c>
      <c r="Q1089">
        <f t="shared" si="102"/>
        <v>0</v>
      </c>
      <c r="R1089">
        <f t="shared" si="99"/>
        <v>1087</v>
      </c>
      <c r="S1089">
        <f>IFERROR(SEARCH(Crewlist!$P$5,V1089)+ROW()/100000,"")</f>
        <v>1.0108900000000001</v>
      </c>
      <c r="T1089">
        <f t="shared" si="103"/>
        <v>1088</v>
      </c>
      <c r="U1089">
        <f t="shared" si="104"/>
        <v>0</v>
      </c>
      <c r="V1089" t="str">
        <f t="shared" si="101"/>
        <v xml:space="preserve"> </v>
      </c>
      <c r="Y1089" s="162" t="e">
        <f>VLOOKUP(B1089,Crewlist!AS:AU,3,FALSE)</f>
        <v>#N/A</v>
      </c>
      <c r="Z1089" s="163">
        <f t="shared" si="100"/>
        <v>0</v>
      </c>
    </row>
    <row r="1090" spans="2:26">
      <c r="B1090" s="171">
        <v>1089</v>
      </c>
      <c r="C1090" s="169"/>
      <c r="N1090" s="201">
        <v>0</v>
      </c>
      <c r="Q1090">
        <f t="shared" si="102"/>
        <v>0</v>
      </c>
      <c r="R1090">
        <f t="shared" ref="R1090:R1153" si="105">IFERROR(RANK(S1090,$S$2:$S$1998,1),"")</f>
        <v>1088</v>
      </c>
      <c r="S1090">
        <f>IFERROR(SEARCH(Crewlist!$P$5,V1090)+ROW()/100000,"")</f>
        <v>1.0108999999999999</v>
      </c>
      <c r="T1090">
        <f t="shared" si="103"/>
        <v>1089</v>
      </c>
      <c r="U1090">
        <f t="shared" si="104"/>
        <v>0</v>
      </c>
      <c r="V1090" t="str">
        <f t="shared" si="101"/>
        <v xml:space="preserve"> </v>
      </c>
      <c r="Y1090" s="162" t="e">
        <f>VLOOKUP(B1090,Crewlist!AS:AU,3,FALSE)</f>
        <v>#N/A</v>
      </c>
      <c r="Z1090" s="163">
        <f t="shared" ref="Z1090:Z1153" si="106">IF(ISNUMBER(SEARCH("",Y1090)),Y1090,N1090)</f>
        <v>0</v>
      </c>
    </row>
    <row r="1091" spans="2:26">
      <c r="B1091" s="202">
        <v>1090</v>
      </c>
      <c r="C1091" s="169"/>
      <c r="N1091" s="201">
        <v>0</v>
      </c>
      <c r="Q1091">
        <f t="shared" si="102"/>
        <v>0</v>
      </c>
      <c r="R1091">
        <f t="shared" si="105"/>
        <v>1089</v>
      </c>
      <c r="S1091">
        <f>IFERROR(SEARCH(Crewlist!$P$5,V1091)+ROW()/100000,"")</f>
        <v>1.01091</v>
      </c>
      <c r="T1091">
        <f t="shared" si="103"/>
        <v>1090</v>
      </c>
      <c r="U1091">
        <f t="shared" si="104"/>
        <v>0</v>
      </c>
      <c r="V1091" t="str">
        <f t="shared" ref="V1091:V1154" si="107">CONCATENATE(C1091," ",D1091)</f>
        <v xml:space="preserve"> </v>
      </c>
      <c r="Y1091" s="162" t="e">
        <f>VLOOKUP(B1091,Crewlist!AS:AU,3,FALSE)</f>
        <v>#N/A</v>
      </c>
      <c r="Z1091" s="163">
        <f t="shared" si="106"/>
        <v>0</v>
      </c>
    </row>
    <row r="1092" spans="2:26">
      <c r="B1092" s="171">
        <v>1091</v>
      </c>
      <c r="C1092" s="169"/>
      <c r="N1092" s="201">
        <v>0</v>
      </c>
      <c r="Q1092">
        <f t="shared" si="102"/>
        <v>0</v>
      </c>
      <c r="R1092">
        <f t="shared" si="105"/>
        <v>1090</v>
      </c>
      <c r="S1092">
        <f>IFERROR(SEARCH(Crewlist!$P$5,V1092)+ROW()/100000,"")</f>
        <v>1.01092</v>
      </c>
      <c r="T1092">
        <f t="shared" si="103"/>
        <v>1091</v>
      </c>
      <c r="U1092">
        <f t="shared" si="104"/>
        <v>0</v>
      </c>
      <c r="V1092" t="str">
        <f t="shared" si="107"/>
        <v xml:space="preserve"> </v>
      </c>
      <c r="Y1092" s="162" t="e">
        <f>VLOOKUP(B1092,Crewlist!AS:AU,3,FALSE)</f>
        <v>#N/A</v>
      </c>
      <c r="Z1092" s="163">
        <f t="shared" si="106"/>
        <v>0</v>
      </c>
    </row>
    <row r="1093" spans="2:26">
      <c r="B1093" s="171">
        <v>1092</v>
      </c>
      <c r="C1093" s="169"/>
      <c r="N1093" s="201">
        <v>0</v>
      </c>
      <c r="Q1093">
        <f t="shared" si="102"/>
        <v>0</v>
      </c>
      <c r="R1093">
        <f t="shared" si="105"/>
        <v>1091</v>
      </c>
      <c r="S1093">
        <f>IFERROR(SEARCH(Crewlist!$P$5,V1093)+ROW()/100000,"")</f>
        <v>1.0109300000000001</v>
      </c>
      <c r="T1093">
        <f t="shared" si="103"/>
        <v>1092</v>
      </c>
      <c r="U1093">
        <f t="shared" si="104"/>
        <v>0</v>
      </c>
      <c r="V1093" t="str">
        <f t="shared" si="107"/>
        <v xml:space="preserve"> </v>
      </c>
      <c r="Y1093" s="162" t="e">
        <f>VLOOKUP(B1093,Crewlist!AS:AU,3,FALSE)</f>
        <v>#N/A</v>
      </c>
      <c r="Z1093" s="163">
        <f t="shared" si="106"/>
        <v>0</v>
      </c>
    </row>
    <row r="1094" spans="2:26">
      <c r="B1094" s="202">
        <v>1093</v>
      </c>
      <c r="C1094" s="169"/>
      <c r="N1094" s="201">
        <v>0</v>
      </c>
      <c r="Q1094">
        <f t="shared" si="102"/>
        <v>0</v>
      </c>
      <c r="R1094">
        <f t="shared" si="105"/>
        <v>1092</v>
      </c>
      <c r="S1094">
        <f>IFERROR(SEARCH(Crewlist!$P$5,V1094)+ROW()/100000,"")</f>
        <v>1.0109399999999999</v>
      </c>
      <c r="T1094">
        <f t="shared" si="103"/>
        <v>1093</v>
      </c>
      <c r="U1094">
        <f t="shared" si="104"/>
        <v>0</v>
      </c>
      <c r="V1094" t="str">
        <f t="shared" si="107"/>
        <v xml:space="preserve"> </v>
      </c>
      <c r="Y1094" s="162" t="e">
        <f>VLOOKUP(B1094,Crewlist!AS:AU,3,FALSE)</f>
        <v>#N/A</v>
      </c>
      <c r="Z1094" s="163">
        <f t="shared" si="106"/>
        <v>0</v>
      </c>
    </row>
    <row r="1095" spans="2:26">
      <c r="B1095" s="171">
        <v>1094</v>
      </c>
      <c r="C1095" s="169"/>
      <c r="N1095" s="201">
        <v>0</v>
      </c>
      <c r="Q1095">
        <f t="shared" si="102"/>
        <v>0</v>
      </c>
      <c r="R1095">
        <f t="shared" si="105"/>
        <v>1093</v>
      </c>
      <c r="S1095">
        <f>IFERROR(SEARCH(Crewlist!$P$5,V1095)+ROW()/100000,"")</f>
        <v>1.01095</v>
      </c>
      <c r="T1095">
        <f t="shared" si="103"/>
        <v>1094</v>
      </c>
      <c r="U1095">
        <f t="shared" si="104"/>
        <v>0</v>
      </c>
      <c r="V1095" t="str">
        <f t="shared" si="107"/>
        <v xml:space="preserve"> </v>
      </c>
      <c r="Y1095" s="162" t="e">
        <f>VLOOKUP(B1095,Crewlist!AS:AU,3,FALSE)</f>
        <v>#N/A</v>
      </c>
      <c r="Z1095" s="163">
        <f t="shared" si="106"/>
        <v>0</v>
      </c>
    </row>
    <row r="1096" spans="2:26">
      <c r="B1096" s="171">
        <v>1095</v>
      </c>
      <c r="C1096" s="169"/>
      <c r="N1096" s="201">
        <v>0</v>
      </c>
      <c r="Q1096">
        <f t="shared" si="102"/>
        <v>0</v>
      </c>
      <c r="R1096">
        <f t="shared" si="105"/>
        <v>1094</v>
      </c>
      <c r="S1096">
        <f>IFERROR(SEARCH(Crewlist!$P$5,V1096)+ROW()/100000,"")</f>
        <v>1.0109600000000001</v>
      </c>
      <c r="T1096">
        <f t="shared" si="103"/>
        <v>1095</v>
      </c>
      <c r="U1096">
        <f t="shared" si="104"/>
        <v>0</v>
      </c>
      <c r="V1096" t="str">
        <f t="shared" si="107"/>
        <v xml:space="preserve"> </v>
      </c>
      <c r="Y1096" s="162" t="e">
        <f>VLOOKUP(B1096,Crewlist!AS:AU,3,FALSE)</f>
        <v>#N/A</v>
      </c>
      <c r="Z1096" s="163">
        <f t="shared" si="106"/>
        <v>0</v>
      </c>
    </row>
    <row r="1097" spans="2:26">
      <c r="B1097" s="202">
        <v>1096</v>
      </c>
      <c r="C1097" s="169"/>
      <c r="N1097" s="201">
        <v>0</v>
      </c>
      <c r="Q1097">
        <f t="shared" ref="Q1097:Q1160" si="108">IF(C1097&lt;&gt; "",B1097,0)</f>
        <v>0</v>
      </c>
      <c r="R1097">
        <f t="shared" si="105"/>
        <v>1095</v>
      </c>
      <c r="S1097">
        <f>IFERROR(SEARCH(Crewlist!$P$5,V1097)+ROW()/100000,"")</f>
        <v>1.0109699999999999</v>
      </c>
      <c r="T1097">
        <f t="shared" ref="T1097:T1160" si="109">B1097</f>
        <v>1096</v>
      </c>
      <c r="U1097">
        <f t="shared" ref="U1097:U1160" si="110">C1097</f>
        <v>0</v>
      </c>
      <c r="V1097" t="str">
        <f t="shared" si="107"/>
        <v xml:space="preserve"> </v>
      </c>
      <c r="Y1097" s="162" t="e">
        <f>VLOOKUP(B1097,Crewlist!AS:AU,3,FALSE)</f>
        <v>#N/A</v>
      </c>
      <c r="Z1097" s="163">
        <f t="shared" si="106"/>
        <v>0</v>
      </c>
    </row>
    <row r="1098" spans="2:26">
      <c r="B1098" s="171">
        <v>1097</v>
      </c>
      <c r="C1098" s="169"/>
      <c r="N1098" s="201">
        <v>0</v>
      </c>
      <c r="Q1098">
        <f t="shared" si="108"/>
        <v>0</v>
      </c>
      <c r="R1098">
        <f t="shared" si="105"/>
        <v>1096</v>
      </c>
      <c r="S1098">
        <f>IFERROR(SEARCH(Crewlist!$P$5,V1098)+ROW()/100000,"")</f>
        <v>1.01098</v>
      </c>
      <c r="T1098">
        <f t="shared" si="109"/>
        <v>1097</v>
      </c>
      <c r="U1098">
        <f t="shared" si="110"/>
        <v>0</v>
      </c>
      <c r="V1098" t="str">
        <f t="shared" si="107"/>
        <v xml:space="preserve"> </v>
      </c>
      <c r="Y1098" s="162" t="e">
        <f>VLOOKUP(B1098,Crewlist!AS:AU,3,FALSE)</f>
        <v>#N/A</v>
      </c>
      <c r="Z1098" s="163">
        <f t="shared" si="106"/>
        <v>0</v>
      </c>
    </row>
    <row r="1099" spans="2:26">
      <c r="B1099" s="171">
        <v>1098</v>
      </c>
      <c r="C1099" s="169"/>
      <c r="N1099" s="201">
        <v>0</v>
      </c>
      <c r="Q1099">
        <f t="shared" si="108"/>
        <v>0</v>
      </c>
      <c r="R1099">
        <f t="shared" si="105"/>
        <v>1097</v>
      </c>
      <c r="S1099">
        <f>IFERROR(SEARCH(Crewlist!$P$5,V1099)+ROW()/100000,"")</f>
        <v>1.0109900000000001</v>
      </c>
      <c r="T1099">
        <f t="shared" si="109"/>
        <v>1098</v>
      </c>
      <c r="U1099">
        <f t="shared" si="110"/>
        <v>0</v>
      </c>
      <c r="V1099" t="str">
        <f t="shared" si="107"/>
        <v xml:space="preserve"> </v>
      </c>
      <c r="Y1099" s="162" t="e">
        <f>VLOOKUP(B1099,Crewlist!AS:AU,3,FALSE)</f>
        <v>#N/A</v>
      </c>
      <c r="Z1099" s="163">
        <f t="shared" si="106"/>
        <v>0</v>
      </c>
    </row>
    <row r="1100" spans="2:26">
      <c r="B1100" s="202">
        <v>1099</v>
      </c>
      <c r="C1100" s="169"/>
      <c r="N1100" s="201">
        <v>0</v>
      </c>
      <c r="Q1100">
        <f t="shared" si="108"/>
        <v>0</v>
      </c>
      <c r="R1100">
        <f t="shared" si="105"/>
        <v>1098</v>
      </c>
      <c r="S1100">
        <f>IFERROR(SEARCH(Crewlist!$P$5,V1100)+ROW()/100000,"")</f>
        <v>1.0109999999999999</v>
      </c>
      <c r="T1100">
        <f t="shared" si="109"/>
        <v>1099</v>
      </c>
      <c r="U1100">
        <f t="shared" si="110"/>
        <v>0</v>
      </c>
      <c r="V1100" t="str">
        <f t="shared" si="107"/>
        <v xml:space="preserve"> </v>
      </c>
      <c r="Y1100" s="162" t="e">
        <f>VLOOKUP(B1100,Crewlist!AS:AU,3,FALSE)</f>
        <v>#N/A</v>
      </c>
      <c r="Z1100" s="163">
        <f t="shared" si="106"/>
        <v>0</v>
      </c>
    </row>
    <row r="1101" spans="2:26">
      <c r="B1101" s="171">
        <v>1100</v>
      </c>
      <c r="C1101" s="169"/>
      <c r="N1101" s="201">
        <v>0</v>
      </c>
      <c r="Q1101">
        <f t="shared" si="108"/>
        <v>0</v>
      </c>
      <c r="R1101">
        <f t="shared" si="105"/>
        <v>1099</v>
      </c>
      <c r="S1101">
        <f>IFERROR(SEARCH(Crewlist!$P$5,V1101)+ROW()/100000,"")</f>
        <v>1.01101</v>
      </c>
      <c r="T1101">
        <f t="shared" si="109"/>
        <v>1100</v>
      </c>
      <c r="U1101">
        <f t="shared" si="110"/>
        <v>0</v>
      </c>
      <c r="V1101" t="str">
        <f t="shared" si="107"/>
        <v xml:space="preserve"> </v>
      </c>
      <c r="Y1101" s="162" t="e">
        <f>VLOOKUP(B1101,Crewlist!AS:AU,3,FALSE)</f>
        <v>#N/A</v>
      </c>
      <c r="Z1101" s="163">
        <f t="shared" si="106"/>
        <v>0</v>
      </c>
    </row>
    <row r="1102" spans="2:26">
      <c r="B1102" s="171">
        <v>1101</v>
      </c>
      <c r="C1102" s="169"/>
      <c r="N1102" s="201">
        <v>0</v>
      </c>
      <c r="Q1102">
        <f t="shared" si="108"/>
        <v>0</v>
      </c>
      <c r="R1102">
        <f t="shared" si="105"/>
        <v>1100</v>
      </c>
      <c r="S1102">
        <f>IFERROR(SEARCH(Crewlist!$P$5,V1102)+ROW()/100000,"")</f>
        <v>1.01102</v>
      </c>
      <c r="T1102">
        <f t="shared" si="109"/>
        <v>1101</v>
      </c>
      <c r="U1102">
        <f t="shared" si="110"/>
        <v>0</v>
      </c>
      <c r="V1102" t="str">
        <f t="shared" si="107"/>
        <v xml:space="preserve"> </v>
      </c>
      <c r="Y1102" s="162" t="e">
        <f>VLOOKUP(B1102,Crewlist!AS:AU,3,FALSE)</f>
        <v>#N/A</v>
      </c>
      <c r="Z1102" s="163">
        <f t="shared" si="106"/>
        <v>0</v>
      </c>
    </row>
    <row r="1103" spans="2:26">
      <c r="B1103" s="202">
        <v>1102</v>
      </c>
      <c r="C1103" s="169"/>
      <c r="N1103" s="201">
        <v>0</v>
      </c>
      <c r="Q1103">
        <f t="shared" si="108"/>
        <v>0</v>
      </c>
      <c r="R1103">
        <f t="shared" si="105"/>
        <v>1101</v>
      </c>
      <c r="S1103">
        <f>IFERROR(SEARCH(Crewlist!$P$5,V1103)+ROW()/100000,"")</f>
        <v>1.0110300000000001</v>
      </c>
      <c r="T1103">
        <f t="shared" si="109"/>
        <v>1102</v>
      </c>
      <c r="U1103">
        <f t="shared" si="110"/>
        <v>0</v>
      </c>
      <c r="V1103" t="str">
        <f t="shared" si="107"/>
        <v xml:space="preserve"> </v>
      </c>
      <c r="Y1103" s="162" t="e">
        <f>VLOOKUP(B1103,Crewlist!AS:AU,3,FALSE)</f>
        <v>#N/A</v>
      </c>
      <c r="Z1103" s="163">
        <f t="shared" si="106"/>
        <v>0</v>
      </c>
    </row>
    <row r="1104" spans="2:26">
      <c r="B1104" s="171">
        <v>1103</v>
      </c>
      <c r="C1104" s="169"/>
      <c r="N1104" s="201">
        <v>0</v>
      </c>
      <c r="Q1104">
        <f t="shared" si="108"/>
        <v>0</v>
      </c>
      <c r="R1104">
        <f t="shared" si="105"/>
        <v>1102</v>
      </c>
      <c r="S1104">
        <f>IFERROR(SEARCH(Crewlist!$P$5,V1104)+ROW()/100000,"")</f>
        <v>1.0110399999999999</v>
      </c>
      <c r="T1104">
        <f t="shared" si="109"/>
        <v>1103</v>
      </c>
      <c r="U1104">
        <f t="shared" si="110"/>
        <v>0</v>
      </c>
      <c r="V1104" t="str">
        <f t="shared" si="107"/>
        <v xml:space="preserve"> </v>
      </c>
      <c r="Y1104" s="162" t="e">
        <f>VLOOKUP(B1104,Crewlist!AS:AU,3,FALSE)</f>
        <v>#N/A</v>
      </c>
      <c r="Z1104" s="163">
        <f t="shared" si="106"/>
        <v>0</v>
      </c>
    </row>
    <row r="1105" spans="2:26">
      <c r="B1105" s="171">
        <v>1104</v>
      </c>
      <c r="C1105" s="169"/>
      <c r="N1105" s="201">
        <v>0</v>
      </c>
      <c r="Q1105">
        <f t="shared" si="108"/>
        <v>0</v>
      </c>
      <c r="R1105">
        <f t="shared" si="105"/>
        <v>1103</v>
      </c>
      <c r="S1105">
        <f>IFERROR(SEARCH(Crewlist!$P$5,V1105)+ROW()/100000,"")</f>
        <v>1.01105</v>
      </c>
      <c r="T1105">
        <f t="shared" si="109"/>
        <v>1104</v>
      </c>
      <c r="U1105">
        <f t="shared" si="110"/>
        <v>0</v>
      </c>
      <c r="V1105" t="str">
        <f t="shared" si="107"/>
        <v xml:space="preserve"> </v>
      </c>
      <c r="Y1105" s="162" t="e">
        <f>VLOOKUP(B1105,Crewlist!AS:AU,3,FALSE)</f>
        <v>#N/A</v>
      </c>
      <c r="Z1105" s="163">
        <f t="shared" si="106"/>
        <v>0</v>
      </c>
    </row>
    <row r="1106" spans="2:26">
      <c r="B1106" s="202">
        <v>1105</v>
      </c>
      <c r="C1106" s="169"/>
      <c r="N1106" s="201">
        <v>0</v>
      </c>
      <c r="Q1106">
        <f t="shared" si="108"/>
        <v>0</v>
      </c>
      <c r="R1106">
        <f t="shared" si="105"/>
        <v>1104</v>
      </c>
      <c r="S1106">
        <f>IFERROR(SEARCH(Crewlist!$P$5,V1106)+ROW()/100000,"")</f>
        <v>1.0110600000000001</v>
      </c>
      <c r="T1106">
        <f t="shared" si="109"/>
        <v>1105</v>
      </c>
      <c r="U1106">
        <f t="shared" si="110"/>
        <v>0</v>
      </c>
      <c r="V1106" t="str">
        <f t="shared" si="107"/>
        <v xml:space="preserve"> </v>
      </c>
      <c r="Y1106" s="162" t="e">
        <f>VLOOKUP(B1106,Crewlist!AS:AU,3,FALSE)</f>
        <v>#N/A</v>
      </c>
      <c r="Z1106" s="163">
        <f t="shared" si="106"/>
        <v>0</v>
      </c>
    </row>
    <row r="1107" spans="2:26">
      <c r="B1107" s="171">
        <v>1106</v>
      </c>
      <c r="C1107" s="169"/>
      <c r="N1107" s="201">
        <v>0</v>
      </c>
      <c r="Q1107">
        <f t="shared" si="108"/>
        <v>0</v>
      </c>
      <c r="R1107">
        <f t="shared" si="105"/>
        <v>1105</v>
      </c>
      <c r="S1107">
        <f>IFERROR(SEARCH(Crewlist!$P$5,V1107)+ROW()/100000,"")</f>
        <v>1.0110699999999999</v>
      </c>
      <c r="T1107">
        <f t="shared" si="109"/>
        <v>1106</v>
      </c>
      <c r="U1107">
        <f t="shared" si="110"/>
        <v>0</v>
      </c>
      <c r="V1107" t="str">
        <f t="shared" si="107"/>
        <v xml:space="preserve"> </v>
      </c>
      <c r="Y1107" s="162" t="e">
        <f>VLOOKUP(B1107,Crewlist!AS:AU,3,FALSE)</f>
        <v>#N/A</v>
      </c>
      <c r="Z1107" s="163">
        <f t="shared" si="106"/>
        <v>0</v>
      </c>
    </row>
    <row r="1108" spans="2:26">
      <c r="B1108" s="171">
        <v>1107</v>
      </c>
      <c r="C1108" s="169"/>
      <c r="N1108" s="201">
        <v>0</v>
      </c>
      <c r="Q1108">
        <f t="shared" si="108"/>
        <v>0</v>
      </c>
      <c r="R1108">
        <f t="shared" si="105"/>
        <v>1106</v>
      </c>
      <c r="S1108">
        <f>IFERROR(SEARCH(Crewlist!$P$5,V1108)+ROW()/100000,"")</f>
        <v>1.01108</v>
      </c>
      <c r="T1108">
        <f t="shared" si="109"/>
        <v>1107</v>
      </c>
      <c r="U1108">
        <f t="shared" si="110"/>
        <v>0</v>
      </c>
      <c r="V1108" t="str">
        <f t="shared" si="107"/>
        <v xml:space="preserve"> </v>
      </c>
      <c r="Y1108" s="162" t="e">
        <f>VLOOKUP(B1108,Crewlist!AS:AU,3,FALSE)</f>
        <v>#N/A</v>
      </c>
      <c r="Z1108" s="163">
        <f t="shared" si="106"/>
        <v>0</v>
      </c>
    </row>
    <row r="1109" spans="2:26">
      <c r="B1109" s="202">
        <v>1108</v>
      </c>
      <c r="C1109" s="169"/>
      <c r="N1109" s="201">
        <v>0</v>
      </c>
      <c r="Q1109">
        <f t="shared" si="108"/>
        <v>0</v>
      </c>
      <c r="R1109">
        <f t="shared" si="105"/>
        <v>1107</v>
      </c>
      <c r="S1109">
        <f>IFERROR(SEARCH(Crewlist!$P$5,V1109)+ROW()/100000,"")</f>
        <v>1.01109</v>
      </c>
      <c r="T1109">
        <f t="shared" si="109"/>
        <v>1108</v>
      </c>
      <c r="U1109">
        <f t="shared" si="110"/>
        <v>0</v>
      </c>
      <c r="V1109" t="str">
        <f t="shared" si="107"/>
        <v xml:space="preserve"> </v>
      </c>
      <c r="Y1109" s="162" t="e">
        <f>VLOOKUP(B1109,Crewlist!AS:AU,3,FALSE)</f>
        <v>#N/A</v>
      </c>
      <c r="Z1109" s="163">
        <f t="shared" si="106"/>
        <v>0</v>
      </c>
    </row>
    <row r="1110" spans="2:26">
      <c r="B1110" s="171">
        <v>1109</v>
      </c>
      <c r="C1110" s="169"/>
      <c r="N1110" s="201">
        <v>0</v>
      </c>
      <c r="Q1110">
        <f t="shared" si="108"/>
        <v>0</v>
      </c>
      <c r="R1110">
        <f t="shared" si="105"/>
        <v>1108</v>
      </c>
      <c r="S1110">
        <f>IFERROR(SEARCH(Crewlist!$P$5,V1110)+ROW()/100000,"")</f>
        <v>1.0111000000000001</v>
      </c>
      <c r="T1110">
        <f t="shared" si="109"/>
        <v>1109</v>
      </c>
      <c r="U1110">
        <f t="shared" si="110"/>
        <v>0</v>
      </c>
      <c r="V1110" t="str">
        <f t="shared" si="107"/>
        <v xml:space="preserve"> </v>
      </c>
      <c r="Y1110" s="162" t="e">
        <f>VLOOKUP(B1110,Crewlist!AS:AU,3,FALSE)</f>
        <v>#N/A</v>
      </c>
      <c r="Z1110" s="163">
        <f t="shared" si="106"/>
        <v>0</v>
      </c>
    </row>
    <row r="1111" spans="2:26">
      <c r="B1111" s="171">
        <v>1110</v>
      </c>
      <c r="C1111" s="169"/>
      <c r="N1111" s="201">
        <v>0</v>
      </c>
      <c r="Q1111">
        <f t="shared" si="108"/>
        <v>0</v>
      </c>
      <c r="R1111">
        <f t="shared" si="105"/>
        <v>1109</v>
      </c>
      <c r="S1111">
        <f>IFERROR(SEARCH(Crewlist!$P$5,V1111)+ROW()/100000,"")</f>
        <v>1.01111</v>
      </c>
      <c r="T1111">
        <f t="shared" si="109"/>
        <v>1110</v>
      </c>
      <c r="U1111">
        <f t="shared" si="110"/>
        <v>0</v>
      </c>
      <c r="V1111" t="str">
        <f t="shared" si="107"/>
        <v xml:space="preserve"> </v>
      </c>
      <c r="Y1111" s="162" t="e">
        <f>VLOOKUP(B1111,Crewlist!AS:AU,3,FALSE)</f>
        <v>#N/A</v>
      </c>
      <c r="Z1111" s="163">
        <f t="shared" si="106"/>
        <v>0</v>
      </c>
    </row>
    <row r="1112" spans="2:26">
      <c r="B1112" s="202">
        <v>1111</v>
      </c>
      <c r="C1112" s="169"/>
      <c r="N1112" s="201">
        <v>0</v>
      </c>
      <c r="Q1112">
        <f t="shared" si="108"/>
        <v>0</v>
      </c>
      <c r="R1112">
        <f t="shared" si="105"/>
        <v>1110</v>
      </c>
      <c r="S1112">
        <f>IFERROR(SEARCH(Crewlist!$P$5,V1112)+ROW()/100000,"")</f>
        <v>1.01112</v>
      </c>
      <c r="T1112">
        <f t="shared" si="109"/>
        <v>1111</v>
      </c>
      <c r="U1112">
        <f t="shared" si="110"/>
        <v>0</v>
      </c>
      <c r="V1112" t="str">
        <f t="shared" si="107"/>
        <v xml:space="preserve"> </v>
      </c>
      <c r="Y1112" s="162" t="e">
        <f>VLOOKUP(B1112,Crewlist!AS:AU,3,FALSE)</f>
        <v>#N/A</v>
      </c>
      <c r="Z1112" s="163">
        <f t="shared" si="106"/>
        <v>0</v>
      </c>
    </row>
    <row r="1113" spans="2:26">
      <c r="B1113" s="171">
        <v>1112</v>
      </c>
      <c r="C1113" s="169"/>
      <c r="N1113" s="201">
        <v>0</v>
      </c>
      <c r="Q1113">
        <f t="shared" si="108"/>
        <v>0</v>
      </c>
      <c r="R1113">
        <f t="shared" si="105"/>
        <v>1111</v>
      </c>
      <c r="S1113">
        <f>IFERROR(SEARCH(Crewlist!$P$5,V1113)+ROW()/100000,"")</f>
        <v>1.0111300000000001</v>
      </c>
      <c r="T1113">
        <f t="shared" si="109"/>
        <v>1112</v>
      </c>
      <c r="U1113">
        <f t="shared" si="110"/>
        <v>0</v>
      </c>
      <c r="V1113" t="str">
        <f t="shared" si="107"/>
        <v xml:space="preserve"> </v>
      </c>
      <c r="Y1113" s="162" t="e">
        <f>VLOOKUP(B1113,Crewlist!AS:AU,3,FALSE)</f>
        <v>#N/A</v>
      </c>
      <c r="Z1113" s="163">
        <f t="shared" si="106"/>
        <v>0</v>
      </c>
    </row>
    <row r="1114" spans="2:26">
      <c r="B1114" s="171">
        <v>1113</v>
      </c>
      <c r="C1114" s="169"/>
      <c r="N1114" s="201">
        <v>0</v>
      </c>
      <c r="Q1114">
        <f t="shared" si="108"/>
        <v>0</v>
      </c>
      <c r="R1114">
        <f t="shared" si="105"/>
        <v>1112</v>
      </c>
      <c r="S1114">
        <f>IFERROR(SEARCH(Crewlist!$P$5,V1114)+ROW()/100000,"")</f>
        <v>1.0111399999999999</v>
      </c>
      <c r="T1114">
        <f t="shared" si="109"/>
        <v>1113</v>
      </c>
      <c r="U1114">
        <f t="shared" si="110"/>
        <v>0</v>
      </c>
      <c r="V1114" t="str">
        <f t="shared" si="107"/>
        <v xml:space="preserve"> </v>
      </c>
      <c r="Y1114" s="162" t="e">
        <f>VLOOKUP(B1114,Crewlist!AS:AU,3,FALSE)</f>
        <v>#N/A</v>
      </c>
      <c r="Z1114" s="163">
        <f t="shared" si="106"/>
        <v>0</v>
      </c>
    </row>
    <row r="1115" spans="2:26">
      <c r="B1115" s="202">
        <v>1114</v>
      </c>
      <c r="C1115" s="169"/>
      <c r="N1115" s="201">
        <v>0</v>
      </c>
      <c r="Q1115">
        <f t="shared" si="108"/>
        <v>0</v>
      </c>
      <c r="R1115">
        <f t="shared" si="105"/>
        <v>1113</v>
      </c>
      <c r="S1115">
        <f>IFERROR(SEARCH(Crewlist!$P$5,V1115)+ROW()/100000,"")</f>
        <v>1.01115</v>
      </c>
      <c r="T1115">
        <f t="shared" si="109"/>
        <v>1114</v>
      </c>
      <c r="U1115">
        <f t="shared" si="110"/>
        <v>0</v>
      </c>
      <c r="V1115" t="str">
        <f t="shared" si="107"/>
        <v xml:space="preserve"> </v>
      </c>
      <c r="Y1115" s="162" t="e">
        <f>VLOOKUP(B1115,Crewlist!AS:AU,3,FALSE)</f>
        <v>#N/A</v>
      </c>
      <c r="Z1115" s="163">
        <f t="shared" si="106"/>
        <v>0</v>
      </c>
    </row>
    <row r="1116" spans="2:26">
      <c r="B1116" s="171">
        <v>1115</v>
      </c>
      <c r="C1116" s="169"/>
      <c r="N1116" s="201">
        <v>0</v>
      </c>
      <c r="Q1116">
        <f t="shared" si="108"/>
        <v>0</v>
      </c>
      <c r="R1116">
        <f t="shared" si="105"/>
        <v>1114</v>
      </c>
      <c r="S1116">
        <f>IFERROR(SEARCH(Crewlist!$P$5,V1116)+ROW()/100000,"")</f>
        <v>1.0111600000000001</v>
      </c>
      <c r="T1116">
        <f t="shared" si="109"/>
        <v>1115</v>
      </c>
      <c r="U1116">
        <f t="shared" si="110"/>
        <v>0</v>
      </c>
      <c r="V1116" t="str">
        <f t="shared" si="107"/>
        <v xml:space="preserve"> </v>
      </c>
      <c r="Y1116" s="162" t="e">
        <f>VLOOKUP(B1116,Crewlist!AS:AU,3,FALSE)</f>
        <v>#N/A</v>
      </c>
      <c r="Z1116" s="163">
        <f t="shared" si="106"/>
        <v>0</v>
      </c>
    </row>
    <row r="1117" spans="2:26">
      <c r="B1117" s="171">
        <v>1116</v>
      </c>
      <c r="C1117" s="169"/>
      <c r="N1117" s="201">
        <v>0</v>
      </c>
      <c r="Q1117">
        <f t="shared" si="108"/>
        <v>0</v>
      </c>
      <c r="R1117">
        <f t="shared" si="105"/>
        <v>1115</v>
      </c>
      <c r="S1117">
        <f>IFERROR(SEARCH(Crewlist!$P$5,V1117)+ROW()/100000,"")</f>
        <v>1.0111699999999999</v>
      </c>
      <c r="T1117">
        <f t="shared" si="109"/>
        <v>1116</v>
      </c>
      <c r="U1117">
        <f t="shared" si="110"/>
        <v>0</v>
      </c>
      <c r="V1117" t="str">
        <f t="shared" si="107"/>
        <v xml:space="preserve"> </v>
      </c>
      <c r="Y1117" s="162" t="e">
        <f>VLOOKUP(B1117,Crewlist!AS:AU,3,FALSE)</f>
        <v>#N/A</v>
      </c>
      <c r="Z1117" s="163">
        <f t="shared" si="106"/>
        <v>0</v>
      </c>
    </row>
    <row r="1118" spans="2:26">
      <c r="B1118" s="202">
        <v>1117</v>
      </c>
      <c r="C1118" s="169"/>
      <c r="N1118" s="201">
        <v>0</v>
      </c>
      <c r="Q1118">
        <f t="shared" si="108"/>
        <v>0</v>
      </c>
      <c r="R1118">
        <f t="shared" si="105"/>
        <v>1116</v>
      </c>
      <c r="S1118">
        <f>IFERROR(SEARCH(Crewlist!$P$5,V1118)+ROW()/100000,"")</f>
        <v>1.01118</v>
      </c>
      <c r="T1118">
        <f t="shared" si="109"/>
        <v>1117</v>
      </c>
      <c r="U1118">
        <f t="shared" si="110"/>
        <v>0</v>
      </c>
      <c r="V1118" t="str">
        <f t="shared" si="107"/>
        <v xml:space="preserve"> </v>
      </c>
      <c r="Y1118" s="162" t="e">
        <f>VLOOKUP(B1118,Crewlist!AS:AU,3,FALSE)</f>
        <v>#N/A</v>
      </c>
      <c r="Z1118" s="163">
        <f t="shared" si="106"/>
        <v>0</v>
      </c>
    </row>
    <row r="1119" spans="2:26">
      <c r="B1119" s="171">
        <v>1118</v>
      </c>
      <c r="C1119" s="169"/>
      <c r="N1119" s="201">
        <v>0</v>
      </c>
      <c r="Q1119">
        <f t="shared" si="108"/>
        <v>0</v>
      </c>
      <c r="R1119">
        <f t="shared" si="105"/>
        <v>1117</v>
      </c>
      <c r="S1119">
        <f>IFERROR(SEARCH(Crewlist!$P$5,V1119)+ROW()/100000,"")</f>
        <v>1.01119</v>
      </c>
      <c r="T1119">
        <f t="shared" si="109"/>
        <v>1118</v>
      </c>
      <c r="U1119">
        <f t="shared" si="110"/>
        <v>0</v>
      </c>
      <c r="V1119" t="str">
        <f t="shared" si="107"/>
        <v xml:space="preserve"> </v>
      </c>
      <c r="Y1119" s="162" t="e">
        <f>VLOOKUP(B1119,Crewlist!AS:AU,3,FALSE)</f>
        <v>#N/A</v>
      </c>
      <c r="Z1119" s="163">
        <f t="shared" si="106"/>
        <v>0</v>
      </c>
    </row>
    <row r="1120" spans="2:26">
      <c r="B1120" s="171">
        <v>1119</v>
      </c>
      <c r="C1120" s="169"/>
      <c r="N1120" s="201">
        <v>0</v>
      </c>
      <c r="Q1120">
        <f t="shared" si="108"/>
        <v>0</v>
      </c>
      <c r="R1120">
        <f t="shared" si="105"/>
        <v>1118</v>
      </c>
      <c r="S1120">
        <f>IFERROR(SEARCH(Crewlist!$P$5,V1120)+ROW()/100000,"")</f>
        <v>1.0112000000000001</v>
      </c>
      <c r="T1120">
        <f t="shared" si="109"/>
        <v>1119</v>
      </c>
      <c r="U1120">
        <f t="shared" si="110"/>
        <v>0</v>
      </c>
      <c r="V1120" t="str">
        <f t="shared" si="107"/>
        <v xml:space="preserve"> </v>
      </c>
      <c r="Y1120" s="162" t="e">
        <f>VLOOKUP(B1120,Crewlist!AS:AU,3,FALSE)</f>
        <v>#N/A</v>
      </c>
      <c r="Z1120" s="163">
        <f t="shared" si="106"/>
        <v>0</v>
      </c>
    </row>
    <row r="1121" spans="2:26">
      <c r="B1121" s="202">
        <v>1120</v>
      </c>
      <c r="C1121" s="169"/>
      <c r="N1121" s="201">
        <v>0</v>
      </c>
      <c r="Q1121">
        <f t="shared" si="108"/>
        <v>0</v>
      </c>
      <c r="R1121">
        <f t="shared" si="105"/>
        <v>1119</v>
      </c>
      <c r="S1121">
        <f>IFERROR(SEARCH(Crewlist!$P$5,V1121)+ROW()/100000,"")</f>
        <v>1.0112099999999999</v>
      </c>
      <c r="T1121">
        <f t="shared" si="109"/>
        <v>1120</v>
      </c>
      <c r="U1121">
        <f t="shared" si="110"/>
        <v>0</v>
      </c>
      <c r="V1121" t="str">
        <f t="shared" si="107"/>
        <v xml:space="preserve"> </v>
      </c>
      <c r="Y1121" s="162" t="e">
        <f>VLOOKUP(B1121,Crewlist!AS:AU,3,FALSE)</f>
        <v>#N/A</v>
      </c>
      <c r="Z1121" s="163">
        <f t="shared" si="106"/>
        <v>0</v>
      </c>
    </row>
    <row r="1122" spans="2:26">
      <c r="B1122" s="171">
        <v>1121</v>
      </c>
      <c r="C1122" s="169"/>
      <c r="N1122" s="201">
        <v>0</v>
      </c>
      <c r="Q1122">
        <f t="shared" si="108"/>
        <v>0</v>
      </c>
      <c r="R1122">
        <f t="shared" si="105"/>
        <v>1120</v>
      </c>
      <c r="S1122">
        <f>IFERROR(SEARCH(Crewlist!$P$5,V1122)+ROW()/100000,"")</f>
        <v>1.01122</v>
      </c>
      <c r="T1122">
        <f t="shared" si="109"/>
        <v>1121</v>
      </c>
      <c r="U1122">
        <f t="shared" si="110"/>
        <v>0</v>
      </c>
      <c r="V1122" t="str">
        <f t="shared" si="107"/>
        <v xml:space="preserve"> </v>
      </c>
      <c r="Y1122" s="162" t="e">
        <f>VLOOKUP(B1122,Crewlist!AS:AU,3,FALSE)</f>
        <v>#N/A</v>
      </c>
      <c r="Z1122" s="163">
        <f t="shared" si="106"/>
        <v>0</v>
      </c>
    </row>
    <row r="1123" spans="2:26">
      <c r="B1123" s="171">
        <v>1122</v>
      </c>
      <c r="C1123" s="169"/>
      <c r="N1123" s="201">
        <v>0</v>
      </c>
      <c r="Q1123">
        <f t="shared" si="108"/>
        <v>0</v>
      </c>
      <c r="R1123">
        <f t="shared" si="105"/>
        <v>1121</v>
      </c>
      <c r="S1123">
        <f>IFERROR(SEARCH(Crewlist!$P$5,V1123)+ROW()/100000,"")</f>
        <v>1.0112300000000001</v>
      </c>
      <c r="T1123">
        <f t="shared" si="109"/>
        <v>1122</v>
      </c>
      <c r="U1123">
        <f t="shared" si="110"/>
        <v>0</v>
      </c>
      <c r="V1123" t="str">
        <f t="shared" si="107"/>
        <v xml:space="preserve"> </v>
      </c>
      <c r="Y1123" s="162" t="e">
        <f>VLOOKUP(B1123,Crewlist!AS:AU,3,FALSE)</f>
        <v>#N/A</v>
      </c>
      <c r="Z1123" s="163">
        <f t="shared" si="106"/>
        <v>0</v>
      </c>
    </row>
    <row r="1124" spans="2:26">
      <c r="B1124" s="202">
        <v>1123</v>
      </c>
      <c r="C1124" s="169"/>
      <c r="N1124" s="201">
        <v>0</v>
      </c>
      <c r="Q1124">
        <f t="shared" si="108"/>
        <v>0</v>
      </c>
      <c r="R1124">
        <f t="shared" si="105"/>
        <v>1122</v>
      </c>
      <c r="S1124">
        <f>IFERROR(SEARCH(Crewlist!$P$5,V1124)+ROW()/100000,"")</f>
        <v>1.0112399999999999</v>
      </c>
      <c r="T1124">
        <f t="shared" si="109"/>
        <v>1123</v>
      </c>
      <c r="U1124">
        <f t="shared" si="110"/>
        <v>0</v>
      </c>
      <c r="V1124" t="str">
        <f t="shared" si="107"/>
        <v xml:space="preserve"> </v>
      </c>
      <c r="Y1124" s="162" t="e">
        <f>VLOOKUP(B1124,Crewlist!AS:AU,3,FALSE)</f>
        <v>#N/A</v>
      </c>
      <c r="Z1124" s="163">
        <f t="shared" si="106"/>
        <v>0</v>
      </c>
    </row>
    <row r="1125" spans="2:26">
      <c r="B1125" s="171">
        <v>1124</v>
      </c>
      <c r="C1125" s="169"/>
      <c r="N1125" s="201">
        <v>0</v>
      </c>
      <c r="Q1125">
        <f t="shared" si="108"/>
        <v>0</v>
      </c>
      <c r="R1125">
        <f t="shared" si="105"/>
        <v>1123</v>
      </c>
      <c r="S1125">
        <f>IFERROR(SEARCH(Crewlist!$P$5,V1125)+ROW()/100000,"")</f>
        <v>1.01125</v>
      </c>
      <c r="T1125">
        <f t="shared" si="109"/>
        <v>1124</v>
      </c>
      <c r="U1125">
        <f t="shared" si="110"/>
        <v>0</v>
      </c>
      <c r="V1125" t="str">
        <f t="shared" si="107"/>
        <v xml:space="preserve"> </v>
      </c>
      <c r="Y1125" s="162" t="e">
        <f>VLOOKUP(B1125,Crewlist!AS:AU,3,FALSE)</f>
        <v>#N/A</v>
      </c>
      <c r="Z1125" s="163">
        <f t="shared" si="106"/>
        <v>0</v>
      </c>
    </row>
    <row r="1126" spans="2:26">
      <c r="B1126" s="171">
        <v>1125</v>
      </c>
      <c r="C1126" s="169"/>
      <c r="N1126" s="201">
        <v>0</v>
      </c>
      <c r="Q1126">
        <f t="shared" si="108"/>
        <v>0</v>
      </c>
      <c r="R1126">
        <f t="shared" si="105"/>
        <v>1124</v>
      </c>
      <c r="S1126">
        <f>IFERROR(SEARCH(Crewlist!$P$5,V1126)+ROW()/100000,"")</f>
        <v>1.01126</v>
      </c>
      <c r="T1126">
        <f t="shared" si="109"/>
        <v>1125</v>
      </c>
      <c r="U1126">
        <f t="shared" si="110"/>
        <v>0</v>
      </c>
      <c r="V1126" t="str">
        <f t="shared" si="107"/>
        <v xml:space="preserve"> </v>
      </c>
      <c r="Y1126" s="162" t="e">
        <f>VLOOKUP(B1126,Crewlist!AS:AU,3,FALSE)</f>
        <v>#N/A</v>
      </c>
      <c r="Z1126" s="163">
        <f t="shared" si="106"/>
        <v>0</v>
      </c>
    </row>
    <row r="1127" spans="2:26">
      <c r="B1127" s="202">
        <v>1126</v>
      </c>
      <c r="C1127" s="169"/>
      <c r="N1127" s="201">
        <v>0</v>
      </c>
      <c r="Q1127">
        <f t="shared" si="108"/>
        <v>0</v>
      </c>
      <c r="R1127">
        <f t="shared" si="105"/>
        <v>1125</v>
      </c>
      <c r="S1127">
        <f>IFERROR(SEARCH(Crewlist!$P$5,V1127)+ROW()/100000,"")</f>
        <v>1.0112699999999999</v>
      </c>
      <c r="T1127">
        <f t="shared" si="109"/>
        <v>1126</v>
      </c>
      <c r="U1127">
        <f t="shared" si="110"/>
        <v>0</v>
      </c>
      <c r="V1127" t="str">
        <f t="shared" si="107"/>
        <v xml:space="preserve"> </v>
      </c>
      <c r="Y1127" s="162" t="e">
        <f>VLOOKUP(B1127,Crewlist!AS:AU,3,FALSE)</f>
        <v>#N/A</v>
      </c>
      <c r="Z1127" s="163">
        <f t="shared" si="106"/>
        <v>0</v>
      </c>
    </row>
    <row r="1128" spans="2:26">
      <c r="B1128" s="171">
        <v>1127</v>
      </c>
      <c r="C1128" s="169"/>
      <c r="N1128" s="201">
        <v>0</v>
      </c>
      <c r="Q1128">
        <f t="shared" si="108"/>
        <v>0</v>
      </c>
      <c r="R1128">
        <f t="shared" si="105"/>
        <v>1126</v>
      </c>
      <c r="S1128">
        <f>IFERROR(SEARCH(Crewlist!$P$5,V1128)+ROW()/100000,"")</f>
        <v>1.01128</v>
      </c>
      <c r="T1128">
        <f t="shared" si="109"/>
        <v>1127</v>
      </c>
      <c r="U1128">
        <f t="shared" si="110"/>
        <v>0</v>
      </c>
      <c r="V1128" t="str">
        <f t="shared" si="107"/>
        <v xml:space="preserve"> </v>
      </c>
      <c r="Y1128" s="162" t="e">
        <f>VLOOKUP(B1128,Crewlist!AS:AU,3,FALSE)</f>
        <v>#N/A</v>
      </c>
      <c r="Z1128" s="163">
        <f t="shared" si="106"/>
        <v>0</v>
      </c>
    </row>
    <row r="1129" spans="2:26">
      <c r="B1129" s="171">
        <v>1128</v>
      </c>
      <c r="C1129" s="169"/>
      <c r="N1129" s="201">
        <v>0</v>
      </c>
      <c r="Q1129">
        <f t="shared" si="108"/>
        <v>0</v>
      </c>
      <c r="R1129">
        <f t="shared" si="105"/>
        <v>1127</v>
      </c>
      <c r="S1129">
        <f>IFERROR(SEARCH(Crewlist!$P$5,V1129)+ROW()/100000,"")</f>
        <v>1.01129</v>
      </c>
      <c r="T1129">
        <f t="shared" si="109"/>
        <v>1128</v>
      </c>
      <c r="U1129">
        <f t="shared" si="110"/>
        <v>0</v>
      </c>
      <c r="V1129" t="str">
        <f t="shared" si="107"/>
        <v xml:space="preserve"> </v>
      </c>
      <c r="Y1129" s="162" t="e">
        <f>VLOOKUP(B1129,Crewlist!AS:AU,3,FALSE)</f>
        <v>#N/A</v>
      </c>
      <c r="Z1129" s="163">
        <f t="shared" si="106"/>
        <v>0</v>
      </c>
    </row>
    <row r="1130" spans="2:26">
      <c r="B1130" s="202">
        <v>1129</v>
      </c>
      <c r="C1130" s="169"/>
      <c r="N1130" s="201">
        <v>0</v>
      </c>
      <c r="Q1130">
        <f t="shared" si="108"/>
        <v>0</v>
      </c>
      <c r="R1130">
        <f t="shared" si="105"/>
        <v>1128</v>
      </c>
      <c r="S1130">
        <f>IFERROR(SEARCH(Crewlist!$P$5,V1130)+ROW()/100000,"")</f>
        <v>1.0113000000000001</v>
      </c>
      <c r="T1130">
        <f t="shared" si="109"/>
        <v>1129</v>
      </c>
      <c r="U1130">
        <f t="shared" si="110"/>
        <v>0</v>
      </c>
      <c r="V1130" t="str">
        <f t="shared" si="107"/>
        <v xml:space="preserve"> </v>
      </c>
      <c r="Y1130" s="162" t="e">
        <f>VLOOKUP(B1130,Crewlist!AS:AU,3,FALSE)</f>
        <v>#N/A</v>
      </c>
      <c r="Z1130" s="163">
        <f t="shared" si="106"/>
        <v>0</v>
      </c>
    </row>
    <row r="1131" spans="2:26">
      <c r="B1131" s="171">
        <v>1130</v>
      </c>
      <c r="C1131" s="169"/>
      <c r="N1131" s="201">
        <v>0</v>
      </c>
      <c r="Q1131">
        <f t="shared" si="108"/>
        <v>0</v>
      </c>
      <c r="R1131">
        <f t="shared" si="105"/>
        <v>1129</v>
      </c>
      <c r="S1131">
        <f>IFERROR(SEARCH(Crewlist!$P$5,V1131)+ROW()/100000,"")</f>
        <v>1.0113099999999999</v>
      </c>
      <c r="T1131">
        <f t="shared" si="109"/>
        <v>1130</v>
      </c>
      <c r="U1131">
        <f t="shared" si="110"/>
        <v>0</v>
      </c>
      <c r="V1131" t="str">
        <f t="shared" si="107"/>
        <v xml:space="preserve"> </v>
      </c>
      <c r="Y1131" s="162" t="e">
        <f>VLOOKUP(B1131,Crewlist!AS:AU,3,FALSE)</f>
        <v>#N/A</v>
      </c>
      <c r="Z1131" s="163">
        <f t="shared" si="106"/>
        <v>0</v>
      </c>
    </row>
    <row r="1132" spans="2:26">
      <c r="B1132" s="171">
        <v>1131</v>
      </c>
      <c r="C1132" s="169"/>
      <c r="N1132" s="201">
        <v>0</v>
      </c>
      <c r="Q1132">
        <f t="shared" si="108"/>
        <v>0</v>
      </c>
      <c r="R1132">
        <f t="shared" si="105"/>
        <v>1130</v>
      </c>
      <c r="S1132">
        <f>IFERROR(SEARCH(Crewlist!$P$5,V1132)+ROW()/100000,"")</f>
        <v>1.01132</v>
      </c>
      <c r="T1132">
        <f t="shared" si="109"/>
        <v>1131</v>
      </c>
      <c r="U1132">
        <f t="shared" si="110"/>
        <v>0</v>
      </c>
      <c r="V1132" t="str">
        <f t="shared" si="107"/>
        <v xml:space="preserve"> </v>
      </c>
      <c r="Y1132" s="162" t="e">
        <f>VLOOKUP(B1132,Crewlist!AS:AU,3,FALSE)</f>
        <v>#N/A</v>
      </c>
      <c r="Z1132" s="163">
        <f t="shared" si="106"/>
        <v>0</v>
      </c>
    </row>
    <row r="1133" spans="2:26">
      <c r="B1133" s="202">
        <v>1132</v>
      </c>
      <c r="C1133" s="169"/>
      <c r="N1133" s="201">
        <v>0</v>
      </c>
      <c r="Q1133">
        <f t="shared" si="108"/>
        <v>0</v>
      </c>
      <c r="R1133">
        <f t="shared" si="105"/>
        <v>1131</v>
      </c>
      <c r="S1133">
        <f>IFERROR(SEARCH(Crewlist!$P$5,V1133)+ROW()/100000,"")</f>
        <v>1.0113300000000001</v>
      </c>
      <c r="T1133">
        <f t="shared" si="109"/>
        <v>1132</v>
      </c>
      <c r="U1133">
        <f t="shared" si="110"/>
        <v>0</v>
      </c>
      <c r="V1133" t="str">
        <f t="shared" si="107"/>
        <v xml:space="preserve"> </v>
      </c>
      <c r="Y1133" s="162" t="e">
        <f>VLOOKUP(B1133,Crewlist!AS:AU,3,FALSE)</f>
        <v>#N/A</v>
      </c>
      <c r="Z1133" s="163">
        <f t="shared" si="106"/>
        <v>0</v>
      </c>
    </row>
    <row r="1134" spans="2:26">
      <c r="B1134" s="171">
        <v>1133</v>
      </c>
      <c r="C1134" s="169"/>
      <c r="N1134" s="201">
        <v>0</v>
      </c>
      <c r="Q1134">
        <f t="shared" si="108"/>
        <v>0</v>
      </c>
      <c r="R1134">
        <f t="shared" si="105"/>
        <v>1132</v>
      </c>
      <c r="S1134">
        <f>IFERROR(SEARCH(Crewlist!$P$5,V1134)+ROW()/100000,"")</f>
        <v>1.0113399999999999</v>
      </c>
      <c r="T1134">
        <f t="shared" si="109"/>
        <v>1133</v>
      </c>
      <c r="U1134">
        <f t="shared" si="110"/>
        <v>0</v>
      </c>
      <c r="V1134" t="str">
        <f t="shared" si="107"/>
        <v xml:space="preserve"> </v>
      </c>
      <c r="Y1134" s="162" t="e">
        <f>VLOOKUP(B1134,Crewlist!AS:AU,3,FALSE)</f>
        <v>#N/A</v>
      </c>
      <c r="Z1134" s="163">
        <f t="shared" si="106"/>
        <v>0</v>
      </c>
    </row>
    <row r="1135" spans="2:26">
      <c r="B1135" s="171">
        <v>1134</v>
      </c>
      <c r="C1135" s="169"/>
      <c r="N1135" s="201">
        <v>0</v>
      </c>
      <c r="Q1135">
        <f t="shared" si="108"/>
        <v>0</v>
      </c>
      <c r="R1135">
        <f t="shared" si="105"/>
        <v>1133</v>
      </c>
      <c r="S1135">
        <f>IFERROR(SEARCH(Crewlist!$P$5,V1135)+ROW()/100000,"")</f>
        <v>1.01135</v>
      </c>
      <c r="T1135">
        <f t="shared" si="109"/>
        <v>1134</v>
      </c>
      <c r="U1135">
        <f t="shared" si="110"/>
        <v>0</v>
      </c>
      <c r="V1135" t="str">
        <f t="shared" si="107"/>
        <v xml:space="preserve"> </v>
      </c>
      <c r="Y1135" s="162" t="e">
        <f>VLOOKUP(B1135,Crewlist!AS:AU,3,FALSE)</f>
        <v>#N/A</v>
      </c>
      <c r="Z1135" s="163">
        <f t="shared" si="106"/>
        <v>0</v>
      </c>
    </row>
    <row r="1136" spans="2:26">
      <c r="B1136" s="202">
        <v>1135</v>
      </c>
      <c r="C1136" s="169"/>
      <c r="N1136" s="201">
        <v>0</v>
      </c>
      <c r="Q1136">
        <f t="shared" si="108"/>
        <v>0</v>
      </c>
      <c r="R1136">
        <f t="shared" si="105"/>
        <v>1134</v>
      </c>
      <c r="S1136">
        <f>IFERROR(SEARCH(Crewlist!$P$5,V1136)+ROW()/100000,"")</f>
        <v>1.01136</v>
      </c>
      <c r="T1136">
        <f t="shared" si="109"/>
        <v>1135</v>
      </c>
      <c r="U1136">
        <f t="shared" si="110"/>
        <v>0</v>
      </c>
      <c r="V1136" t="str">
        <f t="shared" si="107"/>
        <v xml:space="preserve"> </v>
      </c>
      <c r="Y1136" s="162" t="e">
        <f>VLOOKUP(B1136,Crewlist!AS:AU,3,FALSE)</f>
        <v>#N/A</v>
      </c>
      <c r="Z1136" s="163">
        <f t="shared" si="106"/>
        <v>0</v>
      </c>
    </row>
    <row r="1137" spans="2:26">
      <c r="B1137" s="171">
        <v>1136</v>
      </c>
      <c r="C1137" s="169"/>
      <c r="N1137" s="201">
        <v>0</v>
      </c>
      <c r="Q1137">
        <f t="shared" si="108"/>
        <v>0</v>
      </c>
      <c r="R1137">
        <f t="shared" si="105"/>
        <v>1135</v>
      </c>
      <c r="S1137">
        <f>IFERROR(SEARCH(Crewlist!$P$5,V1137)+ROW()/100000,"")</f>
        <v>1.0113700000000001</v>
      </c>
      <c r="T1137">
        <f t="shared" si="109"/>
        <v>1136</v>
      </c>
      <c r="U1137">
        <f t="shared" si="110"/>
        <v>0</v>
      </c>
      <c r="V1137" t="str">
        <f t="shared" si="107"/>
        <v xml:space="preserve"> </v>
      </c>
      <c r="Y1137" s="162" t="e">
        <f>VLOOKUP(B1137,Crewlist!AS:AU,3,FALSE)</f>
        <v>#N/A</v>
      </c>
      <c r="Z1137" s="163">
        <f t="shared" si="106"/>
        <v>0</v>
      </c>
    </row>
    <row r="1138" spans="2:26">
      <c r="B1138" s="171">
        <v>1137</v>
      </c>
      <c r="C1138" s="169"/>
      <c r="N1138" s="201">
        <v>0</v>
      </c>
      <c r="Q1138">
        <f t="shared" si="108"/>
        <v>0</v>
      </c>
      <c r="R1138">
        <f t="shared" si="105"/>
        <v>1136</v>
      </c>
      <c r="S1138">
        <f>IFERROR(SEARCH(Crewlist!$P$5,V1138)+ROW()/100000,"")</f>
        <v>1.0113799999999999</v>
      </c>
      <c r="T1138">
        <f t="shared" si="109"/>
        <v>1137</v>
      </c>
      <c r="U1138">
        <f t="shared" si="110"/>
        <v>0</v>
      </c>
      <c r="V1138" t="str">
        <f t="shared" si="107"/>
        <v xml:space="preserve"> </v>
      </c>
      <c r="Y1138" s="162" t="e">
        <f>VLOOKUP(B1138,Crewlist!AS:AU,3,FALSE)</f>
        <v>#N/A</v>
      </c>
      <c r="Z1138" s="163">
        <f t="shared" si="106"/>
        <v>0</v>
      </c>
    </row>
    <row r="1139" spans="2:26">
      <c r="B1139" s="202">
        <v>1138</v>
      </c>
      <c r="C1139" s="169"/>
      <c r="N1139" s="201">
        <v>0</v>
      </c>
      <c r="Q1139">
        <f t="shared" si="108"/>
        <v>0</v>
      </c>
      <c r="R1139">
        <f t="shared" si="105"/>
        <v>1137</v>
      </c>
      <c r="S1139">
        <f>IFERROR(SEARCH(Crewlist!$P$5,V1139)+ROW()/100000,"")</f>
        <v>1.01139</v>
      </c>
      <c r="T1139">
        <f t="shared" si="109"/>
        <v>1138</v>
      </c>
      <c r="U1139">
        <f t="shared" si="110"/>
        <v>0</v>
      </c>
      <c r="V1139" t="str">
        <f t="shared" si="107"/>
        <v xml:space="preserve"> </v>
      </c>
      <c r="Y1139" s="162" t="e">
        <f>VLOOKUP(B1139,Crewlist!AS:AU,3,FALSE)</f>
        <v>#N/A</v>
      </c>
      <c r="Z1139" s="163">
        <f t="shared" si="106"/>
        <v>0</v>
      </c>
    </row>
    <row r="1140" spans="2:26">
      <c r="B1140" s="171">
        <v>1139</v>
      </c>
      <c r="C1140" s="169"/>
      <c r="N1140" s="201">
        <v>0</v>
      </c>
      <c r="Q1140">
        <f t="shared" si="108"/>
        <v>0</v>
      </c>
      <c r="R1140">
        <f t="shared" si="105"/>
        <v>1138</v>
      </c>
      <c r="S1140">
        <f>IFERROR(SEARCH(Crewlist!$P$5,V1140)+ROW()/100000,"")</f>
        <v>1.0114000000000001</v>
      </c>
      <c r="T1140">
        <f t="shared" si="109"/>
        <v>1139</v>
      </c>
      <c r="U1140">
        <f t="shared" si="110"/>
        <v>0</v>
      </c>
      <c r="V1140" t="str">
        <f t="shared" si="107"/>
        <v xml:space="preserve"> </v>
      </c>
      <c r="Y1140" s="162" t="e">
        <f>VLOOKUP(B1140,Crewlist!AS:AU,3,FALSE)</f>
        <v>#N/A</v>
      </c>
      <c r="Z1140" s="163">
        <f t="shared" si="106"/>
        <v>0</v>
      </c>
    </row>
    <row r="1141" spans="2:26">
      <c r="B1141" s="171">
        <v>1140</v>
      </c>
      <c r="C1141" s="169"/>
      <c r="N1141" s="201">
        <v>0</v>
      </c>
      <c r="Q1141">
        <f t="shared" si="108"/>
        <v>0</v>
      </c>
      <c r="R1141">
        <f t="shared" si="105"/>
        <v>1139</v>
      </c>
      <c r="S1141">
        <f>IFERROR(SEARCH(Crewlist!$P$5,V1141)+ROW()/100000,"")</f>
        <v>1.0114099999999999</v>
      </c>
      <c r="T1141">
        <f t="shared" si="109"/>
        <v>1140</v>
      </c>
      <c r="U1141">
        <f t="shared" si="110"/>
        <v>0</v>
      </c>
      <c r="V1141" t="str">
        <f t="shared" si="107"/>
        <v xml:space="preserve"> </v>
      </c>
      <c r="Y1141" s="162" t="e">
        <f>VLOOKUP(B1141,Crewlist!AS:AU,3,FALSE)</f>
        <v>#N/A</v>
      </c>
      <c r="Z1141" s="163">
        <f t="shared" si="106"/>
        <v>0</v>
      </c>
    </row>
    <row r="1142" spans="2:26">
      <c r="B1142" s="202">
        <v>1141</v>
      </c>
      <c r="C1142" s="169"/>
      <c r="N1142" s="201">
        <v>0</v>
      </c>
      <c r="Q1142">
        <f t="shared" si="108"/>
        <v>0</v>
      </c>
      <c r="R1142">
        <f t="shared" si="105"/>
        <v>1140</v>
      </c>
      <c r="S1142">
        <f>IFERROR(SEARCH(Crewlist!$P$5,V1142)+ROW()/100000,"")</f>
        <v>1.01142</v>
      </c>
      <c r="T1142">
        <f t="shared" si="109"/>
        <v>1141</v>
      </c>
      <c r="U1142">
        <f t="shared" si="110"/>
        <v>0</v>
      </c>
      <c r="V1142" t="str">
        <f t="shared" si="107"/>
        <v xml:space="preserve"> </v>
      </c>
      <c r="Y1142" s="162" t="e">
        <f>VLOOKUP(B1142,Crewlist!AS:AU,3,FALSE)</f>
        <v>#N/A</v>
      </c>
      <c r="Z1142" s="163">
        <f t="shared" si="106"/>
        <v>0</v>
      </c>
    </row>
    <row r="1143" spans="2:26">
      <c r="B1143" s="171">
        <v>1142</v>
      </c>
      <c r="C1143" s="169"/>
      <c r="N1143" s="201">
        <v>0</v>
      </c>
      <c r="Q1143">
        <f t="shared" si="108"/>
        <v>0</v>
      </c>
      <c r="R1143">
        <f t="shared" si="105"/>
        <v>1141</v>
      </c>
      <c r="S1143">
        <f>IFERROR(SEARCH(Crewlist!$P$5,V1143)+ROW()/100000,"")</f>
        <v>1.0114300000000001</v>
      </c>
      <c r="T1143">
        <f t="shared" si="109"/>
        <v>1142</v>
      </c>
      <c r="U1143">
        <f t="shared" si="110"/>
        <v>0</v>
      </c>
      <c r="V1143" t="str">
        <f t="shared" si="107"/>
        <v xml:space="preserve"> </v>
      </c>
      <c r="Y1143" s="162" t="e">
        <f>VLOOKUP(B1143,Crewlist!AS:AU,3,FALSE)</f>
        <v>#N/A</v>
      </c>
      <c r="Z1143" s="163">
        <f t="shared" si="106"/>
        <v>0</v>
      </c>
    </row>
    <row r="1144" spans="2:26">
      <c r="B1144" s="171">
        <v>1143</v>
      </c>
      <c r="C1144" s="169"/>
      <c r="N1144" s="201">
        <v>0</v>
      </c>
      <c r="Q1144">
        <f t="shared" si="108"/>
        <v>0</v>
      </c>
      <c r="R1144">
        <f t="shared" si="105"/>
        <v>1142</v>
      </c>
      <c r="S1144">
        <f>IFERROR(SEARCH(Crewlist!$P$5,V1144)+ROW()/100000,"")</f>
        <v>1.0114399999999999</v>
      </c>
      <c r="T1144">
        <f t="shared" si="109"/>
        <v>1143</v>
      </c>
      <c r="U1144">
        <f t="shared" si="110"/>
        <v>0</v>
      </c>
      <c r="V1144" t="str">
        <f t="shared" si="107"/>
        <v xml:space="preserve"> </v>
      </c>
      <c r="Y1144" s="162" t="e">
        <f>VLOOKUP(B1144,Crewlist!AS:AU,3,FALSE)</f>
        <v>#N/A</v>
      </c>
      <c r="Z1144" s="163">
        <f t="shared" si="106"/>
        <v>0</v>
      </c>
    </row>
    <row r="1145" spans="2:26">
      <c r="B1145" s="202">
        <v>1144</v>
      </c>
      <c r="C1145" s="169"/>
      <c r="N1145" s="201">
        <v>0</v>
      </c>
      <c r="Q1145">
        <f t="shared" si="108"/>
        <v>0</v>
      </c>
      <c r="R1145">
        <f t="shared" si="105"/>
        <v>1143</v>
      </c>
      <c r="S1145">
        <f>IFERROR(SEARCH(Crewlist!$P$5,V1145)+ROW()/100000,"")</f>
        <v>1.01145</v>
      </c>
      <c r="T1145">
        <f t="shared" si="109"/>
        <v>1144</v>
      </c>
      <c r="U1145">
        <f t="shared" si="110"/>
        <v>0</v>
      </c>
      <c r="V1145" t="str">
        <f t="shared" si="107"/>
        <v xml:space="preserve"> </v>
      </c>
      <c r="Y1145" s="162" t="e">
        <f>VLOOKUP(B1145,Crewlist!AS:AU,3,FALSE)</f>
        <v>#N/A</v>
      </c>
      <c r="Z1145" s="163">
        <f t="shared" si="106"/>
        <v>0</v>
      </c>
    </row>
    <row r="1146" spans="2:26">
      <c r="B1146" s="171">
        <v>1145</v>
      </c>
      <c r="C1146" s="169"/>
      <c r="N1146" s="201">
        <v>0</v>
      </c>
      <c r="Q1146">
        <f t="shared" si="108"/>
        <v>0</v>
      </c>
      <c r="R1146">
        <f t="shared" si="105"/>
        <v>1144</v>
      </c>
      <c r="S1146">
        <f>IFERROR(SEARCH(Crewlist!$P$5,V1146)+ROW()/100000,"")</f>
        <v>1.01146</v>
      </c>
      <c r="T1146">
        <f t="shared" si="109"/>
        <v>1145</v>
      </c>
      <c r="U1146">
        <f t="shared" si="110"/>
        <v>0</v>
      </c>
      <c r="V1146" t="str">
        <f t="shared" si="107"/>
        <v xml:space="preserve"> </v>
      </c>
      <c r="Y1146" s="162" t="e">
        <f>VLOOKUP(B1146,Crewlist!AS:AU,3,FALSE)</f>
        <v>#N/A</v>
      </c>
      <c r="Z1146" s="163">
        <f t="shared" si="106"/>
        <v>0</v>
      </c>
    </row>
    <row r="1147" spans="2:26">
      <c r="B1147" s="171">
        <v>1146</v>
      </c>
      <c r="C1147" s="169"/>
      <c r="N1147" s="201">
        <v>0</v>
      </c>
      <c r="Q1147">
        <f t="shared" si="108"/>
        <v>0</v>
      </c>
      <c r="R1147">
        <f t="shared" si="105"/>
        <v>1145</v>
      </c>
      <c r="S1147">
        <f>IFERROR(SEARCH(Crewlist!$P$5,V1147)+ROW()/100000,"")</f>
        <v>1.0114700000000001</v>
      </c>
      <c r="T1147">
        <f t="shared" si="109"/>
        <v>1146</v>
      </c>
      <c r="U1147">
        <f t="shared" si="110"/>
        <v>0</v>
      </c>
      <c r="V1147" t="str">
        <f t="shared" si="107"/>
        <v xml:space="preserve"> </v>
      </c>
      <c r="Y1147" s="162" t="e">
        <f>VLOOKUP(B1147,Crewlist!AS:AU,3,FALSE)</f>
        <v>#N/A</v>
      </c>
      <c r="Z1147" s="163">
        <f t="shared" si="106"/>
        <v>0</v>
      </c>
    </row>
    <row r="1148" spans="2:26">
      <c r="B1148" s="202">
        <v>1147</v>
      </c>
      <c r="C1148" s="169"/>
      <c r="N1148" s="201">
        <v>0</v>
      </c>
      <c r="Q1148">
        <f t="shared" si="108"/>
        <v>0</v>
      </c>
      <c r="R1148">
        <f t="shared" si="105"/>
        <v>1146</v>
      </c>
      <c r="S1148">
        <f>IFERROR(SEARCH(Crewlist!$P$5,V1148)+ROW()/100000,"")</f>
        <v>1.0114799999999999</v>
      </c>
      <c r="T1148">
        <f t="shared" si="109"/>
        <v>1147</v>
      </c>
      <c r="U1148">
        <f t="shared" si="110"/>
        <v>0</v>
      </c>
      <c r="V1148" t="str">
        <f t="shared" si="107"/>
        <v xml:space="preserve"> </v>
      </c>
      <c r="Y1148" s="162" t="e">
        <f>VLOOKUP(B1148,Crewlist!AS:AU,3,FALSE)</f>
        <v>#N/A</v>
      </c>
      <c r="Z1148" s="163">
        <f t="shared" si="106"/>
        <v>0</v>
      </c>
    </row>
    <row r="1149" spans="2:26">
      <c r="B1149" s="171">
        <v>1148</v>
      </c>
      <c r="C1149" s="169"/>
      <c r="N1149" s="201">
        <v>0</v>
      </c>
      <c r="Q1149">
        <f t="shared" si="108"/>
        <v>0</v>
      </c>
      <c r="R1149">
        <f t="shared" si="105"/>
        <v>1147</v>
      </c>
      <c r="S1149">
        <f>IFERROR(SEARCH(Crewlist!$P$5,V1149)+ROW()/100000,"")</f>
        <v>1.01149</v>
      </c>
      <c r="T1149">
        <f t="shared" si="109"/>
        <v>1148</v>
      </c>
      <c r="U1149">
        <f t="shared" si="110"/>
        <v>0</v>
      </c>
      <c r="V1149" t="str">
        <f t="shared" si="107"/>
        <v xml:space="preserve"> </v>
      </c>
      <c r="Y1149" s="162" t="e">
        <f>VLOOKUP(B1149,Crewlist!AS:AU,3,FALSE)</f>
        <v>#N/A</v>
      </c>
      <c r="Z1149" s="163">
        <f t="shared" si="106"/>
        <v>0</v>
      </c>
    </row>
    <row r="1150" spans="2:26">
      <c r="B1150" s="171">
        <v>1149</v>
      </c>
      <c r="C1150" s="169"/>
      <c r="N1150" s="201">
        <v>0</v>
      </c>
      <c r="Q1150">
        <f t="shared" si="108"/>
        <v>0</v>
      </c>
      <c r="R1150">
        <f t="shared" si="105"/>
        <v>1148</v>
      </c>
      <c r="S1150">
        <f>IFERROR(SEARCH(Crewlist!$P$5,V1150)+ROW()/100000,"")</f>
        <v>1.0115000000000001</v>
      </c>
      <c r="T1150">
        <f t="shared" si="109"/>
        <v>1149</v>
      </c>
      <c r="U1150">
        <f t="shared" si="110"/>
        <v>0</v>
      </c>
      <c r="V1150" t="str">
        <f t="shared" si="107"/>
        <v xml:space="preserve"> </v>
      </c>
      <c r="Y1150" s="162" t="e">
        <f>VLOOKUP(B1150,Crewlist!AS:AU,3,FALSE)</f>
        <v>#N/A</v>
      </c>
      <c r="Z1150" s="163">
        <f t="shared" si="106"/>
        <v>0</v>
      </c>
    </row>
    <row r="1151" spans="2:26">
      <c r="B1151" s="202">
        <v>1150</v>
      </c>
      <c r="C1151" s="169"/>
      <c r="N1151" s="201">
        <v>0</v>
      </c>
      <c r="Q1151">
        <f t="shared" si="108"/>
        <v>0</v>
      </c>
      <c r="R1151">
        <f t="shared" si="105"/>
        <v>1149</v>
      </c>
      <c r="S1151">
        <f>IFERROR(SEARCH(Crewlist!$P$5,V1151)+ROW()/100000,"")</f>
        <v>1.0115099999999999</v>
      </c>
      <c r="T1151">
        <f t="shared" si="109"/>
        <v>1150</v>
      </c>
      <c r="U1151">
        <f t="shared" si="110"/>
        <v>0</v>
      </c>
      <c r="V1151" t="str">
        <f t="shared" si="107"/>
        <v xml:space="preserve"> </v>
      </c>
      <c r="Y1151" s="162" t="e">
        <f>VLOOKUP(B1151,Crewlist!AS:AU,3,FALSE)</f>
        <v>#N/A</v>
      </c>
      <c r="Z1151" s="163">
        <f t="shared" si="106"/>
        <v>0</v>
      </c>
    </row>
    <row r="1152" spans="2:26">
      <c r="B1152" s="171">
        <v>1151</v>
      </c>
      <c r="C1152" s="169"/>
      <c r="N1152" s="201">
        <v>0</v>
      </c>
      <c r="Q1152">
        <f t="shared" si="108"/>
        <v>0</v>
      </c>
      <c r="R1152">
        <f t="shared" si="105"/>
        <v>1150</v>
      </c>
      <c r="S1152">
        <f>IFERROR(SEARCH(Crewlist!$P$5,V1152)+ROW()/100000,"")</f>
        <v>1.01152</v>
      </c>
      <c r="T1152">
        <f t="shared" si="109"/>
        <v>1151</v>
      </c>
      <c r="U1152">
        <f t="shared" si="110"/>
        <v>0</v>
      </c>
      <c r="V1152" t="str">
        <f t="shared" si="107"/>
        <v xml:space="preserve"> </v>
      </c>
      <c r="Y1152" s="162" t="e">
        <f>VLOOKUP(B1152,Crewlist!AS:AU,3,FALSE)</f>
        <v>#N/A</v>
      </c>
      <c r="Z1152" s="163">
        <f t="shared" si="106"/>
        <v>0</v>
      </c>
    </row>
    <row r="1153" spans="2:26">
      <c r="B1153" s="171">
        <v>1152</v>
      </c>
      <c r="C1153" s="169"/>
      <c r="N1153" s="201">
        <v>0</v>
      </c>
      <c r="Q1153">
        <f t="shared" si="108"/>
        <v>0</v>
      </c>
      <c r="R1153">
        <f t="shared" si="105"/>
        <v>1151</v>
      </c>
      <c r="S1153">
        <f>IFERROR(SEARCH(Crewlist!$P$5,V1153)+ROW()/100000,"")</f>
        <v>1.01153</v>
      </c>
      <c r="T1153">
        <f t="shared" si="109"/>
        <v>1152</v>
      </c>
      <c r="U1153">
        <f t="shared" si="110"/>
        <v>0</v>
      </c>
      <c r="V1153" t="str">
        <f t="shared" si="107"/>
        <v xml:space="preserve"> </v>
      </c>
      <c r="Y1153" s="162" t="e">
        <f>VLOOKUP(B1153,Crewlist!AS:AU,3,FALSE)</f>
        <v>#N/A</v>
      </c>
      <c r="Z1153" s="163">
        <f t="shared" si="106"/>
        <v>0</v>
      </c>
    </row>
    <row r="1154" spans="2:26">
      <c r="B1154" s="202">
        <v>1153</v>
      </c>
      <c r="C1154" s="169"/>
      <c r="N1154" s="201">
        <v>0</v>
      </c>
      <c r="Q1154">
        <f t="shared" si="108"/>
        <v>0</v>
      </c>
      <c r="R1154">
        <f t="shared" ref="R1154:R1217" si="111">IFERROR(RANK(S1154,$S$2:$S$1998,1),"")</f>
        <v>1152</v>
      </c>
      <c r="S1154">
        <f>IFERROR(SEARCH(Crewlist!$P$5,V1154)+ROW()/100000,"")</f>
        <v>1.0115400000000001</v>
      </c>
      <c r="T1154">
        <f t="shared" si="109"/>
        <v>1153</v>
      </c>
      <c r="U1154">
        <f t="shared" si="110"/>
        <v>0</v>
      </c>
      <c r="V1154" t="str">
        <f t="shared" si="107"/>
        <v xml:space="preserve"> </v>
      </c>
      <c r="Y1154" s="162" t="e">
        <f>VLOOKUP(B1154,Crewlist!AS:AU,3,FALSE)</f>
        <v>#N/A</v>
      </c>
      <c r="Z1154" s="163">
        <f t="shared" ref="Z1154:Z1217" si="112">IF(ISNUMBER(SEARCH("",Y1154)),Y1154,N1154)</f>
        <v>0</v>
      </c>
    </row>
    <row r="1155" spans="2:26">
      <c r="B1155" s="171">
        <v>1154</v>
      </c>
      <c r="C1155" s="169"/>
      <c r="N1155" s="201">
        <v>0</v>
      </c>
      <c r="Q1155">
        <f t="shared" si="108"/>
        <v>0</v>
      </c>
      <c r="R1155">
        <f t="shared" si="111"/>
        <v>1153</v>
      </c>
      <c r="S1155">
        <f>IFERROR(SEARCH(Crewlist!$P$5,V1155)+ROW()/100000,"")</f>
        <v>1.0115499999999999</v>
      </c>
      <c r="T1155">
        <f t="shared" si="109"/>
        <v>1154</v>
      </c>
      <c r="U1155">
        <f t="shared" si="110"/>
        <v>0</v>
      </c>
      <c r="V1155" t="str">
        <f t="shared" ref="V1155:V1218" si="113">CONCATENATE(C1155," ",D1155)</f>
        <v xml:space="preserve"> </v>
      </c>
      <c r="Y1155" s="162" t="e">
        <f>VLOOKUP(B1155,Crewlist!AS:AU,3,FALSE)</f>
        <v>#N/A</v>
      </c>
      <c r="Z1155" s="163">
        <f t="shared" si="112"/>
        <v>0</v>
      </c>
    </row>
    <row r="1156" spans="2:26">
      <c r="B1156" s="171">
        <v>1155</v>
      </c>
      <c r="C1156" s="169"/>
      <c r="N1156" s="201">
        <v>0</v>
      </c>
      <c r="Q1156">
        <f t="shared" si="108"/>
        <v>0</v>
      </c>
      <c r="R1156">
        <f t="shared" si="111"/>
        <v>1154</v>
      </c>
      <c r="S1156">
        <f>IFERROR(SEARCH(Crewlist!$P$5,V1156)+ROW()/100000,"")</f>
        <v>1.01156</v>
      </c>
      <c r="T1156">
        <f t="shared" si="109"/>
        <v>1155</v>
      </c>
      <c r="U1156">
        <f t="shared" si="110"/>
        <v>0</v>
      </c>
      <c r="V1156" t="str">
        <f t="shared" si="113"/>
        <v xml:space="preserve"> </v>
      </c>
      <c r="Y1156" s="162" t="e">
        <f>VLOOKUP(B1156,Crewlist!AS:AU,3,FALSE)</f>
        <v>#N/A</v>
      </c>
      <c r="Z1156" s="163">
        <f t="shared" si="112"/>
        <v>0</v>
      </c>
    </row>
    <row r="1157" spans="2:26">
      <c r="B1157" s="202">
        <v>1156</v>
      </c>
      <c r="C1157" s="169"/>
      <c r="N1157" s="201">
        <v>0</v>
      </c>
      <c r="Q1157">
        <f t="shared" si="108"/>
        <v>0</v>
      </c>
      <c r="R1157">
        <f t="shared" si="111"/>
        <v>1155</v>
      </c>
      <c r="S1157">
        <f>IFERROR(SEARCH(Crewlist!$P$5,V1157)+ROW()/100000,"")</f>
        <v>1.0115700000000001</v>
      </c>
      <c r="T1157">
        <f t="shared" si="109"/>
        <v>1156</v>
      </c>
      <c r="U1157">
        <f t="shared" si="110"/>
        <v>0</v>
      </c>
      <c r="V1157" t="str">
        <f t="shared" si="113"/>
        <v xml:space="preserve"> </v>
      </c>
      <c r="Y1157" s="162" t="e">
        <f>VLOOKUP(B1157,Crewlist!AS:AU,3,FALSE)</f>
        <v>#N/A</v>
      </c>
      <c r="Z1157" s="163">
        <f t="shared" si="112"/>
        <v>0</v>
      </c>
    </row>
    <row r="1158" spans="2:26">
      <c r="B1158" s="171">
        <v>1157</v>
      </c>
      <c r="C1158" s="169"/>
      <c r="N1158" s="201">
        <v>0</v>
      </c>
      <c r="Q1158">
        <f t="shared" si="108"/>
        <v>0</v>
      </c>
      <c r="R1158">
        <f t="shared" si="111"/>
        <v>1156</v>
      </c>
      <c r="S1158">
        <f>IFERROR(SEARCH(Crewlist!$P$5,V1158)+ROW()/100000,"")</f>
        <v>1.0115799999999999</v>
      </c>
      <c r="T1158">
        <f t="shared" si="109"/>
        <v>1157</v>
      </c>
      <c r="U1158">
        <f t="shared" si="110"/>
        <v>0</v>
      </c>
      <c r="V1158" t="str">
        <f t="shared" si="113"/>
        <v xml:space="preserve"> </v>
      </c>
      <c r="Y1158" s="162" t="e">
        <f>VLOOKUP(B1158,Crewlist!AS:AU,3,FALSE)</f>
        <v>#N/A</v>
      </c>
      <c r="Z1158" s="163">
        <f t="shared" si="112"/>
        <v>0</v>
      </c>
    </row>
    <row r="1159" spans="2:26">
      <c r="B1159" s="171">
        <v>1158</v>
      </c>
      <c r="C1159" s="169"/>
      <c r="N1159" s="201">
        <v>0</v>
      </c>
      <c r="Q1159">
        <f t="shared" si="108"/>
        <v>0</v>
      </c>
      <c r="R1159">
        <f t="shared" si="111"/>
        <v>1157</v>
      </c>
      <c r="S1159">
        <f>IFERROR(SEARCH(Crewlist!$P$5,V1159)+ROW()/100000,"")</f>
        <v>1.01159</v>
      </c>
      <c r="T1159">
        <f t="shared" si="109"/>
        <v>1158</v>
      </c>
      <c r="U1159">
        <f t="shared" si="110"/>
        <v>0</v>
      </c>
      <c r="V1159" t="str">
        <f t="shared" si="113"/>
        <v xml:space="preserve"> </v>
      </c>
      <c r="Y1159" s="162" t="e">
        <f>VLOOKUP(B1159,Crewlist!AS:AU,3,FALSE)</f>
        <v>#N/A</v>
      </c>
      <c r="Z1159" s="163">
        <f t="shared" si="112"/>
        <v>0</v>
      </c>
    </row>
    <row r="1160" spans="2:26">
      <c r="B1160" s="202">
        <v>1159</v>
      </c>
      <c r="C1160" s="169"/>
      <c r="N1160" s="201">
        <v>0</v>
      </c>
      <c r="Q1160">
        <f t="shared" si="108"/>
        <v>0</v>
      </c>
      <c r="R1160">
        <f t="shared" si="111"/>
        <v>1158</v>
      </c>
      <c r="S1160">
        <f>IFERROR(SEARCH(Crewlist!$P$5,V1160)+ROW()/100000,"")</f>
        <v>1.0116000000000001</v>
      </c>
      <c r="T1160">
        <f t="shared" si="109"/>
        <v>1159</v>
      </c>
      <c r="U1160">
        <f t="shared" si="110"/>
        <v>0</v>
      </c>
      <c r="V1160" t="str">
        <f t="shared" si="113"/>
        <v xml:space="preserve"> </v>
      </c>
      <c r="Y1160" s="162" t="e">
        <f>VLOOKUP(B1160,Crewlist!AS:AU,3,FALSE)</f>
        <v>#N/A</v>
      </c>
      <c r="Z1160" s="163">
        <f t="shared" si="112"/>
        <v>0</v>
      </c>
    </row>
    <row r="1161" spans="2:26">
      <c r="B1161" s="171">
        <v>1160</v>
      </c>
      <c r="C1161" s="169"/>
      <c r="N1161" s="201">
        <v>0</v>
      </c>
      <c r="Q1161">
        <f t="shared" ref="Q1161:Q1224" si="114">IF(C1161&lt;&gt; "",B1161,0)</f>
        <v>0</v>
      </c>
      <c r="R1161">
        <f t="shared" si="111"/>
        <v>1159</v>
      </c>
      <c r="S1161">
        <f>IFERROR(SEARCH(Crewlist!$P$5,V1161)+ROW()/100000,"")</f>
        <v>1.0116099999999999</v>
      </c>
      <c r="T1161">
        <f t="shared" ref="T1161:T1224" si="115">B1161</f>
        <v>1160</v>
      </c>
      <c r="U1161">
        <f t="shared" ref="U1161:U1224" si="116">C1161</f>
        <v>0</v>
      </c>
      <c r="V1161" t="str">
        <f t="shared" si="113"/>
        <v xml:space="preserve"> </v>
      </c>
      <c r="Y1161" s="162" t="e">
        <f>VLOOKUP(B1161,Crewlist!AS:AU,3,FALSE)</f>
        <v>#N/A</v>
      </c>
      <c r="Z1161" s="163">
        <f t="shared" si="112"/>
        <v>0</v>
      </c>
    </row>
    <row r="1162" spans="2:26">
      <c r="B1162" s="171">
        <v>1161</v>
      </c>
      <c r="C1162" s="169"/>
      <c r="N1162" s="201">
        <v>0</v>
      </c>
      <c r="Q1162">
        <f t="shared" si="114"/>
        <v>0</v>
      </c>
      <c r="R1162">
        <f t="shared" si="111"/>
        <v>1160</v>
      </c>
      <c r="S1162">
        <f>IFERROR(SEARCH(Crewlist!$P$5,V1162)+ROW()/100000,"")</f>
        <v>1.01162</v>
      </c>
      <c r="T1162">
        <f t="shared" si="115"/>
        <v>1161</v>
      </c>
      <c r="U1162">
        <f t="shared" si="116"/>
        <v>0</v>
      </c>
      <c r="V1162" t="str">
        <f t="shared" si="113"/>
        <v xml:space="preserve"> </v>
      </c>
      <c r="Y1162" s="162" t="e">
        <f>VLOOKUP(B1162,Crewlist!AS:AU,3,FALSE)</f>
        <v>#N/A</v>
      </c>
      <c r="Z1162" s="163">
        <f t="shared" si="112"/>
        <v>0</v>
      </c>
    </row>
    <row r="1163" spans="2:26">
      <c r="B1163" s="202">
        <v>1162</v>
      </c>
      <c r="C1163" s="169"/>
      <c r="N1163" s="201">
        <v>0</v>
      </c>
      <c r="Q1163">
        <f t="shared" si="114"/>
        <v>0</v>
      </c>
      <c r="R1163">
        <f t="shared" si="111"/>
        <v>1161</v>
      </c>
      <c r="S1163">
        <f>IFERROR(SEARCH(Crewlist!$P$5,V1163)+ROW()/100000,"")</f>
        <v>1.01163</v>
      </c>
      <c r="T1163">
        <f t="shared" si="115"/>
        <v>1162</v>
      </c>
      <c r="U1163">
        <f t="shared" si="116"/>
        <v>0</v>
      </c>
      <c r="V1163" t="str">
        <f t="shared" si="113"/>
        <v xml:space="preserve"> </v>
      </c>
      <c r="Y1163" s="162" t="e">
        <f>VLOOKUP(B1163,Crewlist!AS:AU,3,FALSE)</f>
        <v>#N/A</v>
      </c>
      <c r="Z1163" s="163">
        <f t="shared" si="112"/>
        <v>0</v>
      </c>
    </row>
    <row r="1164" spans="2:26">
      <c r="B1164" s="171">
        <v>1163</v>
      </c>
      <c r="C1164" s="169"/>
      <c r="N1164" s="201">
        <v>0</v>
      </c>
      <c r="Q1164">
        <f t="shared" si="114"/>
        <v>0</v>
      </c>
      <c r="R1164">
        <f t="shared" si="111"/>
        <v>1162</v>
      </c>
      <c r="S1164">
        <f>IFERROR(SEARCH(Crewlist!$P$5,V1164)+ROW()/100000,"")</f>
        <v>1.0116400000000001</v>
      </c>
      <c r="T1164">
        <f t="shared" si="115"/>
        <v>1163</v>
      </c>
      <c r="U1164">
        <f t="shared" si="116"/>
        <v>0</v>
      </c>
      <c r="V1164" t="str">
        <f t="shared" si="113"/>
        <v xml:space="preserve"> </v>
      </c>
      <c r="Y1164" s="162" t="e">
        <f>VLOOKUP(B1164,Crewlist!AS:AU,3,FALSE)</f>
        <v>#N/A</v>
      </c>
      <c r="Z1164" s="163">
        <f t="shared" si="112"/>
        <v>0</v>
      </c>
    </row>
    <row r="1165" spans="2:26">
      <c r="B1165" s="171">
        <v>1164</v>
      </c>
      <c r="C1165" s="169"/>
      <c r="N1165" s="201">
        <v>0</v>
      </c>
      <c r="Q1165">
        <f t="shared" si="114"/>
        <v>0</v>
      </c>
      <c r="R1165">
        <f t="shared" si="111"/>
        <v>1163</v>
      </c>
      <c r="S1165">
        <f>IFERROR(SEARCH(Crewlist!$P$5,V1165)+ROW()/100000,"")</f>
        <v>1.0116499999999999</v>
      </c>
      <c r="T1165">
        <f t="shared" si="115"/>
        <v>1164</v>
      </c>
      <c r="U1165">
        <f t="shared" si="116"/>
        <v>0</v>
      </c>
      <c r="V1165" t="str">
        <f t="shared" si="113"/>
        <v xml:space="preserve"> </v>
      </c>
      <c r="Y1165" s="162" t="e">
        <f>VLOOKUP(B1165,Crewlist!AS:AU,3,FALSE)</f>
        <v>#N/A</v>
      </c>
      <c r="Z1165" s="163">
        <f t="shared" si="112"/>
        <v>0</v>
      </c>
    </row>
    <row r="1166" spans="2:26">
      <c r="B1166" s="202">
        <v>1165</v>
      </c>
      <c r="C1166" s="169"/>
      <c r="N1166" s="201">
        <v>0</v>
      </c>
      <c r="Q1166">
        <f t="shared" si="114"/>
        <v>0</v>
      </c>
      <c r="R1166">
        <f t="shared" si="111"/>
        <v>1164</v>
      </c>
      <c r="S1166">
        <f>IFERROR(SEARCH(Crewlist!$P$5,V1166)+ROW()/100000,"")</f>
        <v>1.01166</v>
      </c>
      <c r="T1166">
        <f t="shared" si="115"/>
        <v>1165</v>
      </c>
      <c r="U1166">
        <f t="shared" si="116"/>
        <v>0</v>
      </c>
      <c r="V1166" t="str">
        <f t="shared" si="113"/>
        <v xml:space="preserve"> </v>
      </c>
      <c r="Y1166" s="162" t="e">
        <f>VLOOKUP(B1166,Crewlist!AS:AU,3,FALSE)</f>
        <v>#N/A</v>
      </c>
      <c r="Z1166" s="163">
        <f t="shared" si="112"/>
        <v>0</v>
      </c>
    </row>
    <row r="1167" spans="2:26">
      <c r="B1167" s="171">
        <v>1166</v>
      </c>
      <c r="C1167" s="169"/>
      <c r="N1167" s="201">
        <v>0</v>
      </c>
      <c r="Q1167">
        <f t="shared" si="114"/>
        <v>0</v>
      </c>
      <c r="R1167">
        <f t="shared" si="111"/>
        <v>1165</v>
      </c>
      <c r="S1167">
        <f>IFERROR(SEARCH(Crewlist!$P$5,V1167)+ROW()/100000,"")</f>
        <v>1.0116700000000001</v>
      </c>
      <c r="T1167">
        <f t="shared" si="115"/>
        <v>1166</v>
      </c>
      <c r="U1167">
        <f t="shared" si="116"/>
        <v>0</v>
      </c>
      <c r="V1167" t="str">
        <f t="shared" si="113"/>
        <v xml:space="preserve"> </v>
      </c>
      <c r="Y1167" s="162" t="e">
        <f>VLOOKUP(B1167,Crewlist!AS:AU,3,FALSE)</f>
        <v>#N/A</v>
      </c>
      <c r="Z1167" s="163">
        <f t="shared" si="112"/>
        <v>0</v>
      </c>
    </row>
    <row r="1168" spans="2:26">
      <c r="B1168" s="171">
        <v>1167</v>
      </c>
      <c r="C1168" s="169"/>
      <c r="N1168" s="201">
        <v>0</v>
      </c>
      <c r="Q1168">
        <f t="shared" si="114"/>
        <v>0</v>
      </c>
      <c r="R1168">
        <f t="shared" si="111"/>
        <v>1166</v>
      </c>
      <c r="S1168">
        <f>IFERROR(SEARCH(Crewlist!$P$5,V1168)+ROW()/100000,"")</f>
        <v>1.0116799999999999</v>
      </c>
      <c r="T1168">
        <f t="shared" si="115"/>
        <v>1167</v>
      </c>
      <c r="U1168">
        <f t="shared" si="116"/>
        <v>0</v>
      </c>
      <c r="V1168" t="str">
        <f t="shared" si="113"/>
        <v xml:space="preserve"> </v>
      </c>
      <c r="Y1168" s="162" t="e">
        <f>VLOOKUP(B1168,Crewlist!AS:AU,3,FALSE)</f>
        <v>#N/A</v>
      </c>
      <c r="Z1168" s="163">
        <f t="shared" si="112"/>
        <v>0</v>
      </c>
    </row>
    <row r="1169" spans="2:26">
      <c r="B1169" s="202">
        <v>1168</v>
      </c>
      <c r="C1169" s="169"/>
      <c r="N1169" s="201">
        <v>0</v>
      </c>
      <c r="Q1169">
        <f t="shared" si="114"/>
        <v>0</v>
      </c>
      <c r="R1169">
        <f t="shared" si="111"/>
        <v>1167</v>
      </c>
      <c r="S1169">
        <f>IFERROR(SEARCH(Crewlist!$P$5,V1169)+ROW()/100000,"")</f>
        <v>1.01169</v>
      </c>
      <c r="T1169">
        <f t="shared" si="115"/>
        <v>1168</v>
      </c>
      <c r="U1169">
        <f t="shared" si="116"/>
        <v>0</v>
      </c>
      <c r="V1169" t="str">
        <f t="shared" si="113"/>
        <v xml:space="preserve"> </v>
      </c>
      <c r="Y1169" s="162" t="e">
        <f>VLOOKUP(B1169,Crewlist!AS:AU,3,FALSE)</f>
        <v>#N/A</v>
      </c>
      <c r="Z1169" s="163">
        <f t="shared" si="112"/>
        <v>0</v>
      </c>
    </row>
    <row r="1170" spans="2:26">
      <c r="B1170" s="171">
        <v>1169</v>
      </c>
      <c r="C1170" s="169"/>
      <c r="N1170" s="201">
        <v>0</v>
      </c>
      <c r="Q1170">
        <f t="shared" si="114"/>
        <v>0</v>
      </c>
      <c r="R1170">
        <f t="shared" si="111"/>
        <v>1168</v>
      </c>
      <c r="S1170">
        <f>IFERROR(SEARCH(Crewlist!$P$5,V1170)+ROW()/100000,"")</f>
        <v>1.0117</v>
      </c>
      <c r="T1170">
        <f t="shared" si="115"/>
        <v>1169</v>
      </c>
      <c r="U1170">
        <f t="shared" si="116"/>
        <v>0</v>
      </c>
      <c r="V1170" t="str">
        <f t="shared" si="113"/>
        <v xml:space="preserve"> </v>
      </c>
      <c r="Y1170" s="162" t="e">
        <f>VLOOKUP(B1170,Crewlist!AS:AU,3,FALSE)</f>
        <v>#N/A</v>
      </c>
      <c r="Z1170" s="163">
        <f t="shared" si="112"/>
        <v>0</v>
      </c>
    </row>
    <row r="1171" spans="2:26">
      <c r="B1171" s="171">
        <v>1170</v>
      </c>
      <c r="C1171" s="169"/>
      <c r="N1171" s="201">
        <v>0</v>
      </c>
      <c r="Q1171">
        <f t="shared" si="114"/>
        <v>0</v>
      </c>
      <c r="R1171">
        <f t="shared" si="111"/>
        <v>1169</v>
      </c>
      <c r="S1171">
        <f>IFERROR(SEARCH(Crewlist!$P$5,V1171)+ROW()/100000,"")</f>
        <v>1.0117100000000001</v>
      </c>
      <c r="T1171">
        <f t="shared" si="115"/>
        <v>1170</v>
      </c>
      <c r="U1171">
        <f t="shared" si="116"/>
        <v>0</v>
      </c>
      <c r="V1171" t="str">
        <f t="shared" si="113"/>
        <v xml:space="preserve"> </v>
      </c>
      <c r="Y1171" s="162" t="e">
        <f>VLOOKUP(B1171,Crewlist!AS:AU,3,FALSE)</f>
        <v>#N/A</v>
      </c>
      <c r="Z1171" s="163">
        <f t="shared" si="112"/>
        <v>0</v>
      </c>
    </row>
    <row r="1172" spans="2:26">
      <c r="B1172" s="202">
        <v>1171</v>
      </c>
      <c r="C1172" s="169"/>
      <c r="N1172" s="201">
        <v>0</v>
      </c>
      <c r="Q1172">
        <f t="shared" si="114"/>
        <v>0</v>
      </c>
      <c r="R1172">
        <f t="shared" si="111"/>
        <v>1170</v>
      </c>
      <c r="S1172">
        <f>IFERROR(SEARCH(Crewlist!$P$5,V1172)+ROW()/100000,"")</f>
        <v>1.01172</v>
      </c>
      <c r="T1172">
        <f t="shared" si="115"/>
        <v>1171</v>
      </c>
      <c r="U1172">
        <f t="shared" si="116"/>
        <v>0</v>
      </c>
      <c r="V1172" t="str">
        <f t="shared" si="113"/>
        <v xml:space="preserve"> </v>
      </c>
      <c r="Y1172" s="162" t="e">
        <f>VLOOKUP(B1172,Crewlist!AS:AU,3,FALSE)</f>
        <v>#N/A</v>
      </c>
      <c r="Z1172" s="163">
        <f t="shared" si="112"/>
        <v>0</v>
      </c>
    </row>
    <row r="1173" spans="2:26">
      <c r="B1173" s="171">
        <v>1172</v>
      </c>
      <c r="C1173" s="169"/>
      <c r="N1173" s="201">
        <v>0</v>
      </c>
      <c r="Q1173">
        <f t="shared" si="114"/>
        <v>0</v>
      </c>
      <c r="R1173">
        <f t="shared" si="111"/>
        <v>1171</v>
      </c>
      <c r="S1173">
        <f>IFERROR(SEARCH(Crewlist!$P$5,V1173)+ROW()/100000,"")</f>
        <v>1.01173</v>
      </c>
      <c r="T1173">
        <f t="shared" si="115"/>
        <v>1172</v>
      </c>
      <c r="U1173">
        <f t="shared" si="116"/>
        <v>0</v>
      </c>
      <c r="V1173" t="str">
        <f t="shared" si="113"/>
        <v xml:space="preserve"> </v>
      </c>
      <c r="Y1173" s="162" t="e">
        <f>VLOOKUP(B1173,Crewlist!AS:AU,3,FALSE)</f>
        <v>#N/A</v>
      </c>
      <c r="Z1173" s="163">
        <f t="shared" si="112"/>
        <v>0</v>
      </c>
    </row>
    <row r="1174" spans="2:26">
      <c r="B1174" s="171">
        <v>1173</v>
      </c>
      <c r="C1174" s="169"/>
      <c r="N1174" s="201">
        <v>0</v>
      </c>
      <c r="Q1174">
        <f t="shared" si="114"/>
        <v>0</v>
      </c>
      <c r="R1174">
        <f t="shared" si="111"/>
        <v>1172</v>
      </c>
      <c r="S1174">
        <f>IFERROR(SEARCH(Crewlist!$P$5,V1174)+ROW()/100000,"")</f>
        <v>1.0117400000000001</v>
      </c>
      <c r="T1174">
        <f t="shared" si="115"/>
        <v>1173</v>
      </c>
      <c r="U1174">
        <f t="shared" si="116"/>
        <v>0</v>
      </c>
      <c r="V1174" t="str">
        <f t="shared" si="113"/>
        <v xml:space="preserve"> </v>
      </c>
      <c r="Y1174" s="162" t="e">
        <f>VLOOKUP(B1174,Crewlist!AS:AU,3,FALSE)</f>
        <v>#N/A</v>
      </c>
      <c r="Z1174" s="163">
        <f t="shared" si="112"/>
        <v>0</v>
      </c>
    </row>
    <row r="1175" spans="2:26">
      <c r="B1175" s="202">
        <v>1174</v>
      </c>
      <c r="C1175" s="169"/>
      <c r="N1175" s="201">
        <v>0</v>
      </c>
      <c r="Q1175">
        <f t="shared" si="114"/>
        <v>0</v>
      </c>
      <c r="R1175">
        <f t="shared" si="111"/>
        <v>1173</v>
      </c>
      <c r="S1175">
        <f>IFERROR(SEARCH(Crewlist!$P$5,V1175)+ROW()/100000,"")</f>
        <v>1.0117499999999999</v>
      </c>
      <c r="T1175">
        <f t="shared" si="115"/>
        <v>1174</v>
      </c>
      <c r="U1175">
        <f t="shared" si="116"/>
        <v>0</v>
      </c>
      <c r="V1175" t="str">
        <f t="shared" si="113"/>
        <v xml:space="preserve"> </v>
      </c>
      <c r="Y1175" s="162" t="e">
        <f>VLOOKUP(B1175,Crewlist!AS:AU,3,FALSE)</f>
        <v>#N/A</v>
      </c>
      <c r="Z1175" s="163">
        <f t="shared" si="112"/>
        <v>0</v>
      </c>
    </row>
    <row r="1176" spans="2:26">
      <c r="B1176" s="171">
        <v>1175</v>
      </c>
      <c r="C1176" s="169"/>
      <c r="N1176" s="201">
        <v>0</v>
      </c>
      <c r="Q1176">
        <f t="shared" si="114"/>
        <v>0</v>
      </c>
      <c r="R1176">
        <f t="shared" si="111"/>
        <v>1174</v>
      </c>
      <c r="S1176">
        <f>IFERROR(SEARCH(Crewlist!$P$5,V1176)+ROW()/100000,"")</f>
        <v>1.01176</v>
      </c>
      <c r="T1176">
        <f t="shared" si="115"/>
        <v>1175</v>
      </c>
      <c r="U1176">
        <f t="shared" si="116"/>
        <v>0</v>
      </c>
      <c r="V1176" t="str">
        <f t="shared" si="113"/>
        <v xml:space="preserve"> </v>
      </c>
      <c r="Y1176" s="162" t="e">
        <f>VLOOKUP(B1176,Crewlist!AS:AU,3,FALSE)</f>
        <v>#N/A</v>
      </c>
      <c r="Z1176" s="163">
        <f t="shared" si="112"/>
        <v>0</v>
      </c>
    </row>
    <row r="1177" spans="2:26">
      <c r="B1177" s="171">
        <v>1176</v>
      </c>
      <c r="C1177" s="169"/>
      <c r="N1177" s="201">
        <v>0</v>
      </c>
      <c r="Q1177">
        <f t="shared" si="114"/>
        <v>0</v>
      </c>
      <c r="R1177">
        <f t="shared" si="111"/>
        <v>1175</v>
      </c>
      <c r="S1177">
        <f>IFERROR(SEARCH(Crewlist!$P$5,V1177)+ROW()/100000,"")</f>
        <v>1.0117700000000001</v>
      </c>
      <c r="T1177">
        <f t="shared" si="115"/>
        <v>1176</v>
      </c>
      <c r="U1177">
        <f t="shared" si="116"/>
        <v>0</v>
      </c>
      <c r="V1177" t="str">
        <f t="shared" si="113"/>
        <v xml:space="preserve"> </v>
      </c>
      <c r="Y1177" s="162" t="e">
        <f>VLOOKUP(B1177,Crewlist!AS:AU,3,FALSE)</f>
        <v>#N/A</v>
      </c>
      <c r="Z1177" s="163">
        <f t="shared" si="112"/>
        <v>0</v>
      </c>
    </row>
    <row r="1178" spans="2:26">
      <c r="B1178" s="202">
        <v>1177</v>
      </c>
      <c r="C1178" s="169"/>
      <c r="N1178" s="201">
        <v>0</v>
      </c>
      <c r="Q1178">
        <f t="shared" si="114"/>
        <v>0</v>
      </c>
      <c r="R1178">
        <f t="shared" si="111"/>
        <v>1176</v>
      </c>
      <c r="S1178">
        <f>IFERROR(SEARCH(Crewlist!$P$5,V1178)+ROW()/100000,"")</f>
        <v>1.0117799999999999</v>
      </c>
      <c r="T1178">
        <f t="shared" si="115"/>
        <v>1177</v>
      </c>
      <c r="U1178">
        <f t="shared" si="116"/>
        <v>0</v>
      </c>
      <c r="V1178" t="str">
        <f t="shared" si="113"/>
        <v xml:space="preserve"> </v>
      </c>
      <c r="Y1178" s="162" t="e">
        <f>VLOOKUP(B1178,Crewlist!AS:AU,3,FALSE)</f>
        <v>#N/A</v>
      </c>
      <c r="Z1178" s="163">
        <f t="shared" si="112"/>
        <v>0</v>
      </c>
    </row>
    <row r="1179" spans="2:26">
      <c r="B1179" s="171">
        <v>1178</v>
      </c>
      <c r="C1179" s="169"/>
      <c r="N1179" s="201">
        <v>0</v>
      </c>
      <c r="Q1179">
        <f t="shared" si="114"/>
        <v>0</v>
      </c>
      <c r="R1179">
        <f t="shared" si="111"/>
        <v>1177</v>
      </c>
      <c r="S1179">
        <f>IFERROR(SEARCH(Crewlist!$P$5,V1179)+ROW()/100000,"")</f>
        <v>1.01179</v>
      </c>
      <c r="T1179">
        <f t="shared" si="115"/>
        <v>1178</v>
      </c>
      <c r="U1179">
        <f t="shared" si="116"/>
        <v>0</v>
      </c>
      <c r="V1179" t="str">
        <f t="shared" si="113"/>
        <v xml:space="preserve"> </v>
      </c>
      <c r="Y1179" s="162" t="e">
        <f>VLOOKUP(B1179,Crewlist!AS:AU,3,FALSE)</f>
        <v>#N/A</v>
      </c>
      <c r="Z1179" s="163">
        <f t="shared" si="112"/>
        <v>0</v>
      </c>
    </row>
    <row r="1180" spans="2:26">
      <c r="B1180" s="171">
        <v>1179</v>
      </c>
      <c r="C1180" s="169"/>
      <c r="N1180" s="201">
        <v>0</v>
      </c>
      <c r="Q1180">
        <f t="shared" si="114"/>
        <v>0</v>
      </c>
      <c r="R1180">
        <f t="shared" si="111"/>
        <v>1178</v>
      </c>
      <c r="S1180">
        <f>IFERROR(SEARCH(Crewlist!$P$5,V1180)+ROW()/100000,"")</f>
        <v>1.0118</v>
      </c>
      <c r="T1180">
        <f t="shared" si="115"/>
        <v>1179</v>
      </c>
      <c r="U1180">
        <f t="shared" si="116"/>
        <v>0</v>
      </c>
      <c r="V1180" t="str">
        <f t="shared" si="113"/>
        <v xml:space="preserve"> </v>
      </c>
      <c r="Y1180" s="162" t="e">
        <f>VLOOKUP(B1180,Crewlist!AS:AU,3,FALSE)</f>
        <v>#N/A</v>
      </c>
      <c r="Z1180" s="163">
        <f t="shared" si="112"/>
        <v>0</v>
      </c>
    </row>
    <row r="1181" spans="2:26">
      <c r="B1181" s="202">
        <v>1180</v>
      </c>
      <c r="C1181" s="169"/>
      <c r="N1181" s="201">
        <v>0</v>
      </c>
      <c r="Q1181">
        <f t="shared" si="114"/>
        <v>0</v>
      </c>
      <c r="R1181">
        <f t="shared" si="111"/>
        <v>1179</v>
      </c>
      <c r="S1181">
        <f>IFERROR(SEARCH(Crewlist!$P$5,V1181)+ROW()/100000,"")</f>
        <v>1.0118100000000001</v>
      </c>
      <c r="T1181">
        <f t="shared" si="115"/>
        <v>1180</v>
      </c>
      <c r="U1181">
        <f t="shared" si="116"/>
        <v>0</v>
      </c>
      <c r="V1181" t="str">
        <f t="shared" si="113"/>
        <v xml:space="preserve"> </v>
      </c>
      <c r="Y1181" s="162" t="e">
        <f>VLOOKUP(B1181,Crewlist!AS:AU,3,FALSE)</f>
        <v>#N/A</v>
      </c>
      <c r="Z1181" s="163">
        <f t="shared" si="112"/>
        <v>0</v>
      </c>
    </row>
    <row r="1182" spans="2:26">
      <c r="B1182" s="171">
        <v>1181</v>
      </c>
      <c r="C1182" s="169"/>
      <c r="N1182" s="201">
        <v>0</v>
      </c>
      <c r="Q1182">
        <f t="shared" si="114"/>
        <v>0</v>
      </c>
      <c r="R1182">
        <f t="shared" si="111"/>
        <v>1180</v>
      </c>
      <c r="S1182">
        <f>IFERROR(SEARCH(Crewlist!$P$5,V1182)+ROW()/100000,"")</f>
        <v>1.0118199999999999</v>
      </c>
      <c r="T1182">
        <f t="shared" si="115"/>
        <v>1181</v>
      </c>
      <c r="U1182">
        <f t="shared" si="116"/>
        <v>0</v>
      </c>
      <c r="V1182" t="str">
        <f t="shared" si="113"/>
        <v xml:space="preserve"> </v>
      </c>
      <c r="Y1182" s="162" t="e">
        <f>VLOOKUP(B1182,Crewlist!AS:AU,3,FALSE)</f>
        <v>#N/A</v>
      </c>
      <c r="Z1182" s="163">
        <f t="shared" si="112"/>
        <v>0</v>
      </c>
    </row>
    <row r="1183" spans="2:26">
      <c r="B1183" s="171">
        <v>1182</v>
      </c>
      <c r="C1183" s="169"/>
      <c r="N1183" s="201">
        <v>0</v>
      </c>
      <c r="Q1183">
        <f t="shared" si="114"/>
        <v>0</v>
      </c>
      <c r="R1183">
        <f t="shared" si="111"/>
        <v>1181</v>
      </c>
      <c r="S1183">
        <f>IFERROR(SEARCH(Crewlist!$P$5,V1183)+ROW()/100000,"")</f>
        <v>1.01183</v>
      </c>
      <c r="T1183">
        <f t="shared" si="115"/>
        <v>1182</v>
      </c>
      <c r="U1183">
        <f t="shared" si="116"/>
        <v>0</v>
      </c>
      <c r="V1183" t="str">
        <f t="shared" si="113"/>
        <v xml:space="preserve"> </v>
      </c>
      <c r="Y1183" s="162" t="e">
        <f>VLOOKUP(B1183,Crewlist!AS:AU,3,FALSE)</f>
        <v>#N/A</v>
      </c>
      <c r="Z1183" s="163">
        <f t="shared" si="112"/>
        <v>0</v>
      </c>
    </row>
    <row r="1184" spans="2:26">
      <c r="B1184" s="202">
        <v>1183</v>
      </c>
      <c r="C1184" s="169"/>
      <c r="N1184" s="201">
        <v>0</v>
      </c>
      <c r="Q1184">
        <f t="shared" si="114"/>
        <v>0</v>
      </c>
      <c r="R1184">
        <f t="shared" si="111"/>
        <v>1182</v>
      </c>
      <c r="S1184">
        <f>IFERROR(SEARCH(Crewlist!$P$5,V1184)+ROW()/100000,"")</f>
        <v>1.0118400000000001</v>
      </c>
      <c r="T1184">
        <f t="shared" si="115"/>
        <v>1183</v>
      </c>
      <c r="U1184">
        <f t="shared" si="116"/>
        <v>0</v>
      </c>
      <c r="V1184" t="str">
        <f t="shared" si="113"/>
        <v xml:space="preserve"> </v>
      </c>
      <c r="Y1184" s="162" t="e">
        <f>VLOOKUP(B1184,Crewlist!AS:AU,3,FALSE)</f>
        <v>#N/A</v>
      </c>
      <c r="Z1184" s="163">
        <f t="shared" si="112"/>
        <v>0</v>
      </c>
    </row>
    <row r="1185" spans="2:26">
      <c r="B1185" s="171">
        <v>1184</v>
      </c>
      <c r="C1185" s="169"/>
      <c r="N1185" s="201">
        <v>0</v>
      </c>
      <c r="Q1185">
        <f t="shared" si="114"/>
        <v>0</v>
      </c>
      <c r="R1185">
        <f t="shared" si="111"/>
        <v>1183</v>
      </c>
      <c r="S1185">
        <f>IFERROR(SEARCH(Crewlist!$P$5,V1185)+ROW()/100000,"")</f>
        <v>1.0118499999999999</v>
      </c>
      <c r="T1185">
        <f t="shared" si="115"/>
        <v>1184</v>
      </c>
      <c r="U1185">
        <f t="shared" si="116"/>
        <v>0</v>
      </c>
      <c r="V1185" t="str">
        <f t="shared" si="113"/>
        <v xml:space="preserve"> </v>
      </c>
      <c r="Y1185" s="162" t="e">
        <f>VLOOKUP(B1185,Crewlist!AS:AU,3,FALSE)</f>
        <v>#N/A</v>
      </c>
      <c r="Z1185" s="163">
        <f t="shared" si="112"/>
        <v>0</v>
      </c>
    </row>
    <row r="1186" spans="2:26">
      <c r="B1186" s="171">
        <v>1185</v>
      </c>
      <c r="C1186" s="169"/>
      <c r="N1186" s="201">
        <v>0</v>
      </c>
      <c r="Q1186">
        <f t="shared" si="114"/>
        <v>0</v>
      </c>
      <c r="R1186">
        <f t="shared" si="111"/>
        <v>1184</v>
      </c>
      <c r="S1186">
        <f>IFERROR(SEARCH(Crewlist!$P$5,V1186)+ROW()/100000,"")</f>
        <v>1.01186</v>
      </c>
      <c r="T1186">
        <f t="shared" si="115"/>
        <v>1185</v>
      </c>
      <c r="U1186">
        <f t="shared" si="116"/>
        <v>0</v>
      </c>
      <c r="V1186" t="str">
        <f t="shared" si="113"/>
        <v xml:space="preserve"> </v>
      </c>
      <c r="Y1186" s="162" t="e">
        <f>VLOOKUP(B1186,Crewlist!AS:AU,3,FALSE)</f>
        <v>#N/A</v>
      </c>
      <c r="Z1186" s="163">
        <f t="shared" si="112"/>
        <v>0</v>
      </c>
    </row>
    <row r="1187" spans="2:26">
      <c r="B1187" s="202">
        <v>1186</v>
      </c>
      <c r="C1187" s="169"/>
      <c r="N1187" s="201">
        <v>0</v>
      </c>
      <c r="Q1187">
        <f t="shared" si="114"/>
        <v>0</v>
      </c>
      <c r="R1187">
        <f t="shared" si="111"/>
        <v>1185</v>
      </c>
      <c r="S1187">
        <f>IFERROR(SEARCH(Crewlist!$P$5,V1187)+ROW()/100000,"")</f>
        <v>1.01187</v>
      </c>
      <c r="T1187">
        <f t="shared" si="115"/>
        <v>1186</v>
      </c>
      <c r="U1187">
        <f t="shared" si="116"/>
        <v>0</v>
      </c>
      <c r="V1187" t="str">
        <f t="shared" si="113"/>
        <v xml:space="preserve"> </v>
      </c>
      <c r="Y1187" s="162" t="e">
        <f>VLOOKUP(B1187,Crewlist!AS:AU,3,FALSE)</f>
        <v>#N/A</v>
      </c>
      <c r="Z1187" s="163">
        <f t="shared" si="112"/>
        <v>0</v>
      </c>
    </row>
    <row r="1188" spans="2:26">
      <c r="B1188" s="171">
        <v>1187</v>
      </c>
      <c r="C1188" s="169"/>
      <c r="N1188" s="201">
        <v>0</v>
      </c>
      <c r="Q1188">
        <f t="shared" si="114"/>
        <v>0</v>
      </c>
      <c r="R1188">
        <f t="shared" si="111"/>
        <v>1186</v>
      </c>
      <c r="S1188">
        <f>IFERROR(SEARCH(Crewlist!$P$5,V1188)+ROW()/100000,"")</f>
        <v>1.0118799999999999</v>
      </c>
      <c r="T1188">
        <f t="shared" si="115"/>
        <v>1187</v>
      </c>
      <c r="U1188">
        <f t="shared" si="116"/>
        <v>0</v>
      </c>
      <c r="V1188" t="str">
        <f t="shared" si="113"/>
        <v xml:space="preserve"> </v>
      </c>
      <c r="Y1188" s="162" t="e">
        <f>VLOOKUP(B1188,Crewlist!AS:AU,3,FALSE)</f>
        <v>#N/A</v>
      </c>
      <c r="Z1188" s="163">
        <f t="shared" si="112"/>
        <v>0</v>
      </c>
    </row>
    <row r="1189" spans="2:26">
      <c r="B1189" s="171">
        <v>1188</v>
      </c>
      <c r="C1189" s="169"/>
      <c r="N1189" s="201">
        <v>0</v>
      </c>
      <c r="Q1189">
        <f t="shared" si="114"/>
        <v>0</v>
      </c>
      <c r="R1189">
        <f t="shared" si="111"/>
        <v>1187</v>
      </c>
      <c r="S1189">
        <f>IFERROR(SEARCH(Crewlist!$P$5,V1189)+ROW()/100000,"")</f>
        <v>1.01189</v>
      </c>
      <c r="T1189">
        <f t="shared" si="115"/>
        <v>1188</v>
      </c>
      <c r="U1189">
        <f t="shared" si="116"/>
        <v>0</v>
      </c>
      <c r="V1189" t="str">
        <f t="shared" si="113"/>
        <v xml:space="preserve"> </v>
      </c>
      <c r="Y1189" s="162" t="e">
        <f>VLOOKUP(B1189,Crewlist!AS:AU,3,FALSE)</f>
        <v>#N/A</v>
      </c>
      <c r="Z1189" s="163">
        <f t="shared" si="112"/>
        <v>0</v>
      </c>
    </row>
    <row r="1190" spans="2:26">
      <c r="B1190" s="202">
        <v>1189</v>
      </c>
      <c r="C1190" s="169"/>
      <c r="N1190" s="201">
        <v>0</v>
      </c>
      <c r="Q1190">
        <f t="shared" si="114"/>
        <v>0</v>
      </c>
      <c r="R1190">
        <f t="shared" si="111"/>
        <v>1188</v>
      </c>
      <c r="S1190">
        <f>IFERROR(SEARCH(Crewlist!$P$5,V1190)+ROW()/100000,"")</f>
        <v>1.0119</v>
      </c>
      <c r="T1190">
        <f t="shared" si="115"/>
        <v>1189</v>
      </c>
      <c r="U1190">
        <f t="shared" si="116"/>
        <v>0</v>
      </c>
      <c r="V1190" t="str">
        <f t="shared" si="113"/>
        <v xml:space="preserve"> </v>
      </c>
      <c r="Y1190" s="162" t="e">
        <f>VLOOKUP(B1190,Crewlist!AS:AU,3,FALSE)</f>
        <v>#N/A</v>
      </c>
      <c r="Z1190" s="163">
        <f t="shared" si="112"/>
        <v>0</v>
      </c>
    </row>
    <row r="1191" spans="2:26">
      <c r="B1191" s="171">
        <v>1190</v>
      </c>
      <c r="C1191" s="169"/>
      <c r="N1191" s="201">
        <v>0</v>
      </c>
      <c r="Q1191">
        <f t="shared" si="114"/>
        <v>0</v>
      </c>
      <c r="R1191">
        <f t="shared" si="111"/>
        <v>1189</v>
      </c>
      <c r="S1191">
        <f>IFERROR(SEARCH(Crewlist!$P$5,V1191)+ROW()/100000,"")</f>
        <v>1.0119100000000001</v>
      </c>
      <c r="T1191">
        <f t="shared" si="115"/>
        <v>1190</v>
      </c>
      <c r="U1191">
        <f t="shared" si="116"/>
        <v>0</v>
      </c>
      <c r="V1191" t="str">
        <f t="shared" si="113"/>
        <v xml:space="preserve"> </v>
      </c>
      <c r="Y1191" s="162" t="e">
        <f>VLOOKUP(B1191,Crewlist!AS:AU,3,FALSE)</f>
        <v>#N/A</v>
      </c>
      <c r="Z1191" s="163">
        <f t="shared" si="112"/>
        <v>0</v>
      </c>
    </row>
    <row r="1192" spans="2:26">
      <c r="B1192" s="171">
        <v>1191</v>
      </c>
      <c r="C1192" s="169"/>
      <c r="N1192" s="201">
        <v>0</v>
      </c>
      <c r="Q1192">
        <f t="shared" si="114"/>
        <v>0</v>
      </c>
      <c r="R1192">
        <f t="shared" si="111"/>
        <v>1190</v>
      </c>
      <c r="S1192">
        <f>IFERROR(SEARCH(Crewlist!$P$5,V1192)+ROW()/100000,"")</f>
        <v>1.0119199999999999</v>
      </c>
      <c r="T1192">
        <f t="shared" si="115"/>
        <v>1191</v>
      </c>
      <c r="U1192">
        <f t="shared" si="116"/>
        <v>0</v>
      </c>
      <c r="V1192" t="str">
        <f t="shared" si="113"/>
        <v xml:space="preserve"> </v>
      </c>
      <c r="Y1192" s="162" t="e">
        <f>VLOOKUP(B1192,Crewlist!AS:AU,3,FALSE)</f>
        <v>#N/A</v>
      </c>
      <c r="Z1192" s="163">
        <f t="shared" si="112"/>
        <v>0</v>
      </c>
    </row>
    <row r="1193" spans="2:26">
      <c r="B1193" s="202">
        <v>1192</v>
      </c>
      <c r="C1193" s="169"/>
      <c r="N1193" s="201">
        <v>0</v>
      </c>
      <c r="Q1193">
        <f t="shared" si="114"/>
        <v>0</v>
      </c>
      <c r="R1193">
        <f t="shared" si="111"/>
        <v>1191</v>
      </c>
      <c r="S1193">
        <f>IFERROR(SEARCH(Crewlist!$P$5,V1193)+ROW()/100000,"")</f>
        <v>1.01193</v>
      </c>
      <c r="T1193">
        <f t="shared" si="115"/>
        <v>1192</v>
      </c>
      <c r="U1193">
        <f t="shared" si="116"/>
        <v>0</v>
      </c>
      <c r="V1193" t="str">
        <f t="shared" si="113"/>
        <v xml:space="preserve"> </v>
      </c>
      <c r="Y1193" s="162" t="e">
        <f>VLOOKUP(B1193,Crewlist!AS:AU,3,FALSE)</f>
        <v>#N/A</v>
      </c>
      <c r="Z1193" s="163">
        <f t="shared" si="112"/>
        <v>0</v>
      </c>
    </row>
    <row r="1194" spans="2:26">
      <c r="B1194" s="171">
        <v>1193</v>
      </c>
      <c r="C1194" s="169"/>
      <c r="N1194" s="201">
        <v>0</v>
      </c>
      <c r="Q1194">
        <f t="shared" si="114"/>
        <v>0</v>
      </c>
      <c r="R1194">
        <f t="shared" si="111"/>
        <v>1192</v>
      </c>
      <c r="S1194">
        <f>IFERROR(SEARCH(Crewlist!$P$5,V1194)+ROW()/100000,"")</f>
        <v>1.0119400000000001</v>
      </c>
      <c r="T1194">
        <f t="shared" si="115"/>
        <v>1193</v>
      </c>
      <c r="U1194">
        <f t="shared" si="116"/>
        <v>0</v>
      </c>
      <c r="V1194" t="str">
        <f t="shared" si="113"/>
        <v xml:space="preserve"> </v>
      </c>
      <c r="Y1194" s="162" t="e">
        <f>VLOOKUP(B1194,Crewlist!AS:AU,3,FALSE)</f>
        <v>#N/A</v>
      </c>
      <c r="Z1194" s="163">
        <f t="shared" si="112"/>
        <v>0</v>
      </c>
    </row>
    <row r="1195" spans="2:26">
      <c r="B1195" s="171">
        <v>1194</v>
      </c>
      <c r="C1195" s="169"/>
      <c r="N1195" s="201">
        <v>0</v>
      </c>
      <c r="Q1195">
        <f t="shared" si="114"/>
        <v>0</v>
      </c>
      <c r="R1195">
        <f t="shared" si="111"/>
        <v>1193</v>
      </c>
      <c r="S1195">
        <f>IFERROR(SEARCH(Crewlist!$P$5,V1195)+ROW()/100000,"")</f>
        <v>1.0119499999999999</v>
      </c>
      <c r="T1195">
        <f t="shared" si="115"/>
        <v>1194</v>
      </c>
      <c r="U1195">
        <f t="shared" si="116"/>
        <v>0</v>
      </c>
      <c r="V1195" t="str">
        <f t="shared" si="113"/>
        <v xml:space="preserve"> </v>
      </c>
      <c r="Y1195" s="162" t="e">
        <f>VLOOKUP(B1195,Crewlist!AS:AU,3,FALSE)</f>
        <v>#N/A</v>
      </c>
      <c r="Z1195" s="163">
        <f t="shared" si="112"/>
        <v>0</v>
      </c>
    </row>
    <row r="1196" spans="2:26">
      <c r="B1196" s="202">
        <v>1195</v>
      </c>
      <c r="C1196" s="169"/>
      <c r="N1196" s="201">
        <v>0</v>
      </c>
      <c r="Q1196">
        <f t="shared" si="114"/>
        <v>0</v>
      </c>
      <c r="R1196">
        <f t="shared" si="111"/>
        <v>1194</v>
      </c>
      <c r="S1196">
        <f>IFERROR(SEARCH(Crewlist!$P$5,V1196)+ROW()/100000,"")</f>
        <v>1.01196</v>
      </c>
      <c r="T1196">
        <f t="shared" si="115"/>
        <v>1195</v>
      </c>
      <c r="U1196">
        <f t="shared" si="116"/>
        <v>0</v>
      </c>
      <c r="V1196" t="str">
        <f t="shared" si="113"/>
        <v xml:space="preserve"> </v>
      </c>
      <c r="Y1196" s="162" t="e">
        <f>VLOOKUP(B1196,Crewlist!AS:AU,3,FALSE)</f>
        <v>#N/A</v>
      </c>
      <c r="Z1196" s="163">
        <f t="shared" si="112"/>
        <v>0</v>
      </c>
    </row>
    <row r="1197" spans="2:26">
      <c r="B1197" s="171">
        <v>1196</v>
      </c>
      <c r="C1197" s="169"/>
      <c r="N1197" s="201">
        <v>0</v>
      </c>
      <c r="Q1197">
        <f t="shared" si="114"/>
        <v>0</v>
      </c>
      <c r="R1197">
        <f t="shared" si="111"/>
        <v>1195</v>
      </c>
      <c r="S1197">
        <f>IFERROR(SEARCH(Crewlist!$P$5,V1197)+ROW()/100000,"")</f>
        <v>1.01197</v>
      </c>
      <c r="T1197">
        <f t="shared" si="115"/>
        <v>1196</v>
      </c>
      <c r="U1197">
        <f t="shared" si="116"/>
        <v>0</v>
      </c>
      <c r="V1197" t="str">
        <f t="shared" si="113"/>
        <v xml:space="preserve"> </v>
      </c>
      <c r="Y1197" s="162" t="e">
        <f>VLOOKUP(B1197,Crewlist!AS:AU,3,FALSE)</f>
        <v>#N/A</v>
      </c>
      <c r="Z1197" s="163">
        <f t="shared" si="112"/>
        <v>0</v>
      </c>
    </row>
    <row r="1198" spans="2:26">
      <c r="B1198" s="171">
        <v>1197</v>
      </c>
      <c r="C1198" s="169"/>
      <c r="N1198" s="201">
        <v>0</v>
      </c>
      <c r="Q1198">
        <f t="shared" si="114"/>
        <v>0</v>
      </c>
      <c r="R1198">
        <f t="shared" si="111"/>
        <v>1196</v>
      </c>
      <c r="S1198">
        <f>IFERROR(SEARCH(Crewlist!$P$5,V1198)+ROW()/100000,"")</f>
        <v>1.0119800000000001</v>
      </c>
      <c r="T1198">
        <f t="shared" si="115"/>
        <v>1197</v>
      </c>
      <c r="U1198">
        <f t="shared" si="116"/>
        <v>0</v>
      </c>
      <c r="V1198" t="str">
        <f t="shared" si="113"/>
        <v xml:space="preserve"> </v>
      </c>
      <c r="Y1198" s="162" t="e">
        <f>VLOOKUP(B1198,Crewlist!AS:AU,3,FALSE)</f>
        <v>#N/A</v>
      </c>
      <c r="Z1198" s="163">
        <f t="shared" si="112"/>
        <v>0</v>
      </c>
    </row>
    <row r="1199" spans="2:26">
      <c r="B1199" s="202">
        <v>1198</v>
      </c>
      <c r="C1199" s="169"/>
      <c r="N1199" s="201">
        <v>0</v>
      </c>
      <c r="Q1199">
        <f t="shared" si="114"/>
        <v>0</v>
      </c>
      <c r="R1199">
        <f t="shared" si="111"/>
        <v>1197</v>
      </c>
      <c r="S1199">
        <f>IFERROR(SEARCH(Crewlist!$P$5,V1199)+ROW()/100000,"")</f>
        <v>1.0119899999999999</v>
      </c>
      <c r="T1199">
        <f t="shared" si="115"/>
        <v>1198</v>
      </c>
      <c r="U1199">
        <f t="shared" si="116"/>
        <v>0</v>
      </c>
      <c r="V1199" t="str">
        <f t="shared" si="113"/>
        <v xml:space="preserve"> </v>
      </c>
      <c r="Y1199" s="162" t="e">
        <f>VLOOKUP(B1199,Crewlist!AS:AU,3,FALSE)</f>
        <v>#N/A</v>
      </c>
      <c r="Z1199" s="163">
        <f t="shared" si="112"/>
        <v>0</v>
      </c>
    </row>
    <row r="1200" spans="2:26">
      <c r="B1200" s="171">
        <v>1199</v>
      </c>
      <c r="C1200" s="169"/>
      <c r="N1200" s="201">
        <v>0</v>
      </c>
      <c r="Q1200">
        <f t="shared" si="114"/>
        <v>0</v>
      </c>
      <c r="R1200">
        <f t="shared" si="111"/>
        <v>1198</v>
      </c>
      <c r="S1200">
        <f>IFERROR(SEARCH(Crewlist!$P$5,V1200)+ROW()/100000,"")</f>
        <v>1.012</v>
      </c>
      <c r="T1200">
        <f t="shared" si="115"/>
        <v>1199</v>
      </c>
      <c r="U1200">
        <f t="shared" si="116"/>
        <v>0</v>
      </c>
      <c r="V1200" t="str">
        <f t="shared" si="113"/>
        <v xml:space="preserve"> </v>
      </c>
      <c r="Y1200" s="162" t="e">
        <f>VLOOKUP(B1200,Crewlist!AS:AU,3,FALSE)</f>
        <v>#N/A</v>
      </c>
      <c r="Z1200" s="163">
        <f t="shared" si="112"/>
        <v>0</v>
      </c>
    </row>
    <row r="1201" spans="2:26">
      <c r="B1201" s="171">
        <v>1200</v>
      </c>
      <c r="C1201" s="169"/>
      <c r="N1201" s="201">
        <v>0</v>
      </c>
      <c r="Q1201">
        <f t="shared" si="114"/>
        <v>0</v>
      </c>
      <c r="R1201">
        <f t="shared" si="111"/>
        <v>1199</v>
      </c>
      <c r="S1201">
        <f>IFERROR(SEARCH(Crewlist!$P$5,V1201)+ROW()/100000,"")</f>
        <v>1.0120100000000001</v>
      </c>
      <c r="T1201">
        <f t="shared" si="115"/>
        <v>1200</v>
      </c>
      <c r="U1201">
        <f t="shared" si="116"/>
        <v>0</v>
      </c>
      <c r="V1201" t="str">
        <f t="shared" si="113"/>
        <v xml:space="preserve"> </v>
      </c>
      <c r="Y1201" s="162" t="e">
        <f>VLOOKUP(B1201,Crewlist!AS:AU,3,FALSE)</f>
        <v>#N/A</v>
      </c>
      <c r="Z1201" s="163">
        <f t="shared" si="112"/>
        <v>0</v>
      </c>
    </row>
    <row r="1202" spans="2:26">
      <c r="B1202" s="202">
        <v>1201</v>
      </c>
      <c r="C1202" s="169"/>
      <c r="N1202" s="201">
        <v>0</v>
      </c>
      <c r="Q1202">
        <f t="shared" si="114"/>
        <v>0</v>
      </c>
      <c r="R1202">
        <f t="shared" si="111"/>
        <v>1200</v>
      </c>
      <c r="S1202">
        <f>IFERROR(SEARCH(Crewlist!$P$5,V1202)+ROW()/100000,"")</f>
        <v>1.0120199999999999</v>
      </c>
      <c r="T1202">
        <f t="shared" si="115"/>
        <v>1201</v>
      </c>
      <c r="U1202">
        <f t="shared" si="116"/>
        <v>0</v>
      </c>
      <c r="V1202" t="str">
        <f t="shared" si="113"/>
        <v xml:space="preserve"> </v>
      </c>
      <c r="Y1202" s="162" t="e">
        <f>VLOOKUP(B1202,Crewlist!AS:AU,3,FALSE)</f>
        <v>#N/A</v>
      </c>
      <c r="Z1202" s="163">
        <f t="shared" si="112"/>
        <v>0</v>
      </c>
    </row>
    <row r="1203" spans="2:26">
      <c r="B1203" s="171">
        <v>1202</v>
      </c>
      <c r="C1203" s="169"/>
      <c r="N1203" s="201">
        <v>0</v>
      </c>
      <c r="Q1203">
        <f t="shared" si="114"/>
        <v>0</v>
      </c>
      <c r="R1203">
        <f t="shared" si="111"/>
        <v>1201</v>
      </c>
      <c r="S1203">
        <f>IFERROR(SEARCH(Crewlist!$P$5,V1203)+ROW()/100000,"")</f>
        <v>1.01203</v>
      </c>
      <c r="T1203">
        <f t="shared" si="115"/>
        <v>1202</v>
      </c>
      <c r="U1203">
        <f t="shared" si="116"/>
        <v>0</v>
      </c>
      <c r="V1203" t="str">
        <f t="shared" si="113"/>
        <v xml:space="preserve"> </v>
      </c>
      <c r="Y1203" s="162" t="e">
        <f>VLOOKUP(B1203,Crewlist!AS:AU,3,FALSE)</f>
        <v>#N/A</v>
      </c>
      <c r="Z1203" s="163">
        <f t="shared" si="112"/>
        <v>0</v>
      </c>
    </row>
    <row r="1204" spans="2:26">
      <c r="B1204" s="171">
        <v>1203</v>
      </c>
      <c r="C1204" s="169"/>
      <c r="N1204" s="201">
        <v>0</v>
      </c>
      <c r="Q1204">
        <f t="shared" si="114"/>
        <v>0</v>
      </c>
      <c r="R1204">
        <f t="shared" si="111"/>
        <v>1202</v>
      </c>
      <c r="S1204">
        <f>IFERROR(SEARCH(Crewlist!$P$5,V1204)+ROW()/100000,"")</f>
        <v>1.0120400000000001</v>
      </c>
      <c r="T1204">
        <f t="shared" si="115"/>
        <v>1203</v>
      </c>
      <c r="U1204">
        <f t="shared" si="116"/>
        <v>0</v>
      </c>
      <c r="V1204" t="str">
        <f t="shared" si="113"/>
        <v xml:space="preserve"> </v>
      </c>
      <c r="Y1204" s="162" t="e">
        <f>VLOOKUP(B1204,Crewlist!AS:AU,3,FALSE)</f>
        <v>#N/A</v>
      </c>
      <c r="Z1204" s="163">
        <f t="shared" si="112"/>
        <v>0</v>
      </c>
    </row>
    <row r="1205" spans="2:26">
      <c r="B1205" s="202">
        <v>1204</v>
      </c>
      <c r="C1205" s="169"/>
      <c r="N1205" s="201">
        <v>0</v>
      </c>
      <c r="Q1205">
        <f t="shared" si="114"/>
        <v>0</v>
      </c>
      <c r="R1205">
        <f t="shared" si="111"/>
        <v>1203</v>
      </c>
      <c r="S1205">
        <f>IFERROR(SEARCH(Crewlist!$P$5,V1205)+ROW()/100000,"")</f>
        <v>1.0120499999999999</v>
      </c>
      <c r="T1205">
        <f t="shared" si="115"/>
        <v>1204</v>
      </c>
      <c r="U1205">
        <f t="shared" si="116"/>
        <v>0</v>
      </c>
      <c r="V1205" t="str">
        <f t="shared" si="113"/>
        <v xml:space="preserve"> </v>
      </c>
      <c r="Y1205" s="162" t="e">
        <f>VLOOKUP(B1205,Crewlist!AS:AU,3,FALSE)</f>
        <v>#N/A</v>
      </c>
      <c r="Z1205" s="163">
        <f t="shared" si="112"/>
        <v>0</v>
      </c>
    </row>
    <row r="1206" spans="2:26">
      <c r="B1206" s="171">
        <v>1205</v>
      </c>
      <c r="C1206" s="169"/>
      <c r="N1206" s="201">
        <v>0</v>
      </c>
      <c r="Q1206">
        <f t="shared" si="114"/>
        <v>0</v>
      </c>
      <c r="R1206">
        <f t="shared" si="111"/>
        <v>1204</v>
      </c>
      <c r="S1206">
        <f>IFERROR(SEARCH(Crewlist!$P$5,V1206)+ROW()/100000,"")</f>
        <v>1.01206</v>
      </c>
      <c r="T1206">
        <f t="shared" si="115"/>
        <v>1205</v>
      </c>
      <c r="U1206">
        <f t="shared" si="116"/>
        <v>0</v>
      </c>
      <c r="V1206" t="str">
        <f t="shared" si="113"/>
        <v xml:space="preserve"> </v>
      </c>
      <c r="Y1206" s="162" t="e">
        <f>VLOOKUP(B1206,Crewlist!AS:AU,3,FALSE)</f>
        <v>#N/A</v>
      </c>
      <c r="Z1206" s="163">
        <f t="shared" si="112"/>
        <v>0</v>
      </c>
    </row>
    <row r="1207" spans="2:26">
      <c r="B1207" s="171">
        <v>1206</v>
      </c>
      <c r="C1207" s="169"/>
      <c r="N1207" s="201">
        <v>0</v>
      </c>
      <c r="Q1207">
        <f t="shared" si="114"/>
        <v>0</v>
      </c>
      <c r="R1207">
        <f t="shared" si="111"/>
        <v>1205</v>
      </c>
      <c r="S1207">
        <f>IFERROR(SEARCH(Crewlist!$P$5,V1207)+ROW()/100000,"")</f>
        <v>1.01207</v>
      </c>
      <c r="T1207">
        <f t="shared" si="115"/>
        <v>1206</v>
      </c>
      <c r="U1207">
        <f t="shared" si="116"/>
        <v>0</v>
      </c>
      <c r="V1207" t="str">
        <f t="shared" si="113"/>
        <v xml:space="preserve"> </v>
      </c>
      <c r="Y1207" s="162" t="e">
        <f>VLOOKUP(B1207,Crewlist!AS:AU,3,FALSE)</f>
        <v>#N/A</v>
      </c>
      <c r="Z1207" s="163">
        <f t="shared" si="112"/>
        <v>0</v>
      </c>
    </row>
    <row r="1208" spans="2:26">
      <c r="B1208" s="202">
        <v>1207</v>
      </c>
      <c r="C1208" s="169"/>
      <c r="N1208" s="201">
        <v>0</v>
      </c>
      <c r="Q1208">
        <f t="shared" si="114"/>
        <v>0</v>
      </c>
      <c r="R1208">
        <f t="shared" si="111"/>
        <v>1206</v>
      </c>
      <c r="S1208">
        <f>IFERROR(SEARCH(Crewlist!$P$5,V1208)+ROW()/100000,"")</f>
        <v>1.0120800000000001</v>
      </c>
      <c r="T1208">
        <f t="shared" si="115"/>
        <v>1207</v>
      </c>
      <c r="U1208">
        <f t="shared" si="116"/>
        <v>0</v>
      </c>
      <c r="V1208" t="str">
        <f t="shared" si="113"/>
        <v xml:space="preserve"> </v>
      </c>
      <c r="Y1208" s="162" t="e">
        <f>VLOOKUP(B1208,Crewlist!AS:AU,3,FALSE)</f>
        <v>#N/A</v>
      </c>
      <c r="Z1208" s="163">
        <f t="shared" si="112"/>
        <v>0</v>
      </c>
    </row>
    <row r="1209" spans="2:26">
      <c r="B1209" s="171">
        <v>1208</v>
      </c>
      <c r="C1209" s="169"/>
      <c r="N1209" s="201">
        <v>0</v>
      </c>
      <c r="Q1209">
        <f t="shared" si="114"/>
        <v>0</v>
      </c>
      <c r="R1209">
        <f t="shared" si="111"/>
        <v>1207</v>
      </c>
      <c r="S1209">
        <f>IFERROR(SEARCH(Crewlist!$P$5,V1209)+ROW()/100000,"")</f>
        <v>1.0120899999999999</v>
      </c>
      <c r="T1209">
        <f t="shared" si="115"/>
        <v>1208</v>
      </c>
      <c r="U1209">
        <f t="shared" si="116"/>
        <v>0</v>
      </c>
      <c r="V1209" t="str">
        <f t="shared" si="113"/>
        <v xml:space="preserve"> </v>
      </c>
      <c r="Y1209" s="162" t="e">
        <f>VLOOKUP(B1209,Crewlist!AS:AU,3,FALSE)</f>
        <v>#N/A</v>
      </c>
      <c r="Z1209" s="163">
        <f t="shared" si="112"/>
        <v>0</v>
      </c>
    </row>
    <row r="1210" spans="2:26">
      <c r="B1210" s="171">
        <v>1209</v>
      </c>
      <c r="C1210" s="169"/>
      <c r="N1210" s="201">
        <v>0</v>
      </c>
      <c r="Q1210">
        <f t="shared" si="114"/>
        <v>0</v>
      </c>
      <c r="R1210">
        <f t="shared" si="111"/>
        <v>1208</v>
      </c>
      <c r="S1210">
        <f>IFERROR(SEARCH(Crewlist!$P$5,V1210)+ROW()/100000,"")</f>
        <v>1.0121</v>
      </c>
      <c r="T1210">
        <f t="shared" si="115"/>
        <v>1209</v>
      </c>
      <c r="U1210">
        <f t="shared" si="116"/>
        <v>0</v>
      </c>
      <c r="V1210" t="str">
        <f t="shared" si="113"/>
        <v xml:space="preserve"> </v>
      </c>
      <c r="Y1210" s="162" t="e">
        <f>VLOOKUP(B1210,Crewlist!AS:AU,3,FALSE)</f>
        <v>#N/A</v>
      </c>
      <c r="Z1210" s="163">
        <f t="shared" si="112"/>
        <v>0</v>
      </c>
    </row>
    <row r="1211" spans="2:26">
      <c r="B1211" s="202">
        <v>1210</v>
      </c>
      <c r="C1211" s="169"/>
      <c r="N1211" s="201">
        <v>0</v>
      </c>
      <c r="Q1211">
        <f t="shared" si="114"/>
        <v>0</v>
      </c>
      <c r="R1211">
        <f t="shared" si="111"/>
        <v>1209</v>
      </c>
      <c r="S1211">
        <f>IFERROR(SEARCH(Crewlist!$P$5,V1211)+ROW()/100000,"")</f>
        <v>1.0121100000000001</v>
      </c>
      <c r="T1211">
        <f t="shared" si="115"/>
        <v>1210</v>
      </c>
      <c r="U1211">
        <f t="shared" si="116"/>
        <v>0</v>
      </c>
      <c r="V1211" t="str">
        <f t="shared" si="113"/>
        <v xml:space="preserve"> </v>
      </c>
      <c r="Y1211" s="162" t="e">
        <f>VLOOKUP(B1211,Crewlist!AS:AU,3,FALSE)</f>
        <v>#N/A</v>
      </c>
      <c r="Z1211" s="163">
        <f t="shared" si="112"/>
        <v>0</v>
      </c>
    </row>
    <row r="1212" spans="2:26">
      <c r="B1212" s="171">
        <v>1211</v>
      </c>
      <c r="C1212" s="169"/>
      <c r="N1212" s="201">
        <v>0</v>
      </c>
      <c r="Q1212">
        <f t="shared" si="114"/>
        <v>0</v>
      </c>
      <c r="R1212">
        <f t="shared" si="111"/>
        <v>1210</v>
      </c>
      <c r="S1212">
        <f>IFERROR(SEARCH(Crewlist!$P$5,V1212)+ROW()/100000,"")</f>
        <v>1.0121199999999999</v>
      </c>
      <c r="T1212">
        <f t="shared" si="115"/>
        <v>1211</v>
      </c>
      <c r="U1212">
        <f t="shared" si="116"/>
        <v>0</v>
      </c>
      <c r="V1212" t="str">
        <f t="shared" si="113"/>
        <v xml:space="preserve"> </v>
      </c>
      <c r="Y1212" s="162" t="e">
        <f>VLOOKUP(B1212,Crewlist!AS:AU,3,FALSE)</f>
        <v>#N/A</v>
      </c>
      <c r="Z1212" s="163">
        <f t="shared" si="112"/>
        <v>0</v>
      </c>
    </row>
    <row r="1213" spans="2:26">
      <c r="B1213" s="171">
        <v>1212</v>
      </c>
      <c r="C1213" s="169"/>
      <c r="N1213" s="201">
        <v>0</v>
      </c>
      <c r="Q1213">
        <f t="shared" si="114"/>
        <v>0</v>
      </c>
      <c r="R1213">
        <f t="shared" si="111"/>
        <v>1211</v>
      </c>
      <c r="S1213">
        <f>IFERROR(SEARCH(Crewlist!$P$5,V1213)+ROW()/100000,"")</f>
        <v>1.01213</v>
      </c>
      <c r="T1213">
        <f t="shared" si="115"/>
        <v>1212</v>
      </c>
      <c r="U1213">
        <f t="shared" si="116"/>
        <v>0</v>
      </c>
      <c r="V1213" t="str">
        <f t="shared" si="113"/>
        <v xml:space="preserve"> </v>
      </c>
      <c r="Y1213" s="162" t="e">
        <f>VLOOKUP(B1213,Crewlist!AS:AU,3,FALSE)</f>
        <v>#N/A</v>
      </c>
      <c r="Z1213" s="163">
        <f t="shared" si="112"/>
        <v>0</v>
      </c>
    </row>
    <row r="1214" spans="2:26">
      <c r="B1214" s="202">
        <v>1213</v>
      </c>
      <c r="C1214" s="169"/>
      <c r="N1214" s="201">
        <v>0</v>
      </c>
      <c r="Q1214">
        <f t="shared" si="114"/>
        <v>0</v>
      </c>
      <c r="R1214">
        <f t="shared" si="111"/>
        <v>1212</v>
      </c>
      <c r="S1214">
        <f>IFERROR(SEARCH(Crewlist!$P$5,V1214)+ROW()/100000,"")</f>
        <v>1.01214</v>
      </c>
      <c r="T1214">
        <f t="shared" si="115"/>
        <v>1213</v>
      </c>
      <c r="U1214">
        <f t="shared" si="116"/>
        <v>0</v>
      </c>
      <c r="V1214" t="str">
        <f t="shared" si="113"/>
        <v xml:space="preserve"> </v>
      </c>
      <c r="Y1214" s="162" t="e">
        <f>VLOOKUP(B1214,Crewlist!AS:AU,3,FALSE)</f>
        <v>#N/A</v>
      </c>
      <c r="Z1214" s="163">
        <f t="shared" si="112"/>
        <v>0</v>
      </c>
    </row>
    <row r="1215" spans="2:26">
      <c r="B1215" s="171">
        <v>1214</v>
      </c>
      <c r="C1215" s="169"/>
      <c r="N1215" s="201">
        <v>0</v>
      </c>
      <c r="Q1215">
        <f t="shared" si="114"/>
        <v>0</v>
      </c>
      <c r="R1215">
        <f t="shared" si="111"/>
        <v>1213</v>
      </c>
      <c r="S1215">
        <f>IFERROR(SEARCH(Crewlist!$P$5,V1215)+ROW()/100000,"")</f>
        <v>1.0121500000000001</v>
      </c>
      <c r="T1215">
        <f t="shared" si="115"/>
        <v>1214</v>
      </c>
      <c r="U1215">
        <f t="shared" si="116"/>
        <v>0</v>
      </c>
      <c r="V1215" t="str">
        <f t="shared" si="113"/>
        <v xml:space="preserve"> </v>
      </c>
      <c r="Y1215" s="162" t="e">
        <f>VLOOKUP(B1215,Crewlist!AS:AU,3,FALSE)</f>
        <v>#N/A</v>
      </c>
      <c r="Z1215" s="163">
        <f t="shared" si="112"/>
        <v>0</v>
      </c>
    </row>
    <row r="1216" spans="2:26">
      <c r="B1216" s="171">
        <v>1215</v>
      </c>
      <c r="C1216" s="169"/>
      <c r="N1216" s="201">
        <v>0</v>
      </c>
      <c r="Q1216">
        <f t="shared" si="114"/>
        <v>0</v>
      </c>
      <c r="R1216">
        <f t="shared" si="111"/>
        <v>1214</v>
      </c>
      <c r="S1216">
        <f>IFERROR(SEARCH(Crewlist!$P$5,V1216)+ROW()/100000,"")</f>
        <v>1.0121599999999999</v>
      </c>
      <c r="T1216">
        <f t="shared" si="115"/>
        <v>1215</v>
      </c>
      <c r="U1216">
        <f t="shared" si="116"/>
        <v>0</v>
      </c>
      <c r="V1216" t="str">
        <f t="shared" si="113"/>
        <v xml:space="preserve"> </v>
      </c>
      <c r="Y1216" s="162" t="e">
        <f>VLOOKUP(B1216,Crewlist!AS:AU,3,FALSE)</f>
        <v>#N/A</v>
      </c>
      <c r="Z1216" s="163">
        <f t="shared" si="112"/>
        <v>0</v>
      </c>
    </row>
    <row r="1217" spans="2:26">
      <c r="B1217" s="202">
        <v>1216</v>
      </c>
      <c r="C1217" s="169"/>
      <c r="N1217" s="201">
        <v>0</v>
      </c>
      <c r="Q1217">
        <f t="shared" si="114"/>
        <v>0</v>
      </c>
      <c r="R1217">
        <f t="shared" si="111"/>
        <v>1215</v>
      </c>
      <c r="S1217">
        <f>IFERROR(SEARCH(Crewlist!$P$5,V1217)+ROW()/100000,"")</f>
        <v>1.01217</v>
      </c>
      <c r="T1217">
        <f t="shared" si="115"/>
        <v>1216</v>
      </c>
      <c r="U1217">
        <f t="shared" si="116"/>
        <v>0</v>
      </c>
      <c r="V1217" t="str">
        <f t="shared" si="113"/>
        <v xml:space="preserve"> </v>
      </c>
      <c r="Y1217" s="162" t="e">
        <f>VLOOKUP(B1217,Crewlist!AS:AU,3,FALSE)</f>
        <v>#N/A</v>
      </c>
      <c r="Z1217" s="163">
        <f t="shared" si="112"/>
        <v>0</v>
      </c>
    </row>
    <row r="1218" spans="2:26">
      <c r="B1218" s="171">
        <v>1217</v>
      </c>
      <c r="C1218" s="169"/>
      <c r="N1218" s="201">
        <v>0</v>
      </c>
      <c r="Q1218">
        <f t="shared" si="114"/>
        <v>0</v>
      </c>
      <c r="R1218">
        <f t="shared" ref="R1218:R1281" si="117">IFERROR(RANK(S1218,$S$2:$S$1998,1),"")</f>
        <v>1216</v>
      </c>
      <c r="S1218">
        <f>IFERROR(SEARCH(Crewlist!$P$5,V1218)+ROW()/100000,"")</f>
        <v>1.0121800000000001</v>
      </c>
      <c r="T1218">
        <f t="shared" si="115"/>
        <v>1217</v>
      </c>
      <c r="U1218">
        <f t="shared" si="116"/>
        <v>0</v>
      </c>
      <c r="V1218" t="str">
        <f t="shared" si="113"/>
        <v xml:space="preserve"> </v>
      </c>
      <c r="Y1218" s="162" t="e">
        <f>VLOOKUP(B1218,Crewlist!AS:AU,3,FALSE)</f>
        <v>#N/A</v>
      </c>
      <c r="Z1218" s="163">
        <f t="shared" ref="Z1218:Z1281" si="118">IF(ISNUMBER(SEARCH("",Y1218)),Y1218,N1218)</f>
        <v>0</v>
      </c>
    </row>
    <row r="1219" spans="2:26">
      <c r="B1219" s="171">
        <v>1218</v>
      </c>
      <c r="C1219" s="169"/>
      <c r="N1219" s="201">
        <v>0</v>
      </c>
      <c r="Q1219">
        <f t="shared" si="114"/>
        <v>0</v>
      </c>
      <c r="R1219">
        <f t="shared" si="117"/>
        <v>1217</v>
      </c>
      <c r="S1219">
        <f>IFERROR(SEARCH(Crewlist!$P$5,V1219)+ROW()/100000,"")</f>
        <v>1.0121899999999999</v>
      </c>
      <c r="T1219">
        <f t="shared" si="115"/>
        <v>1218</v>
      </c>
      <c r="U1219">
        <f t="shared" si="116"/>
        <v>0</v>
      </c>
      <c r="V1219" t="str">
        <f t="shared" ref="V1219:V1282" si="119">CONCATENATE(C1219," ",D1219)</f>
        <v xml:space="preserve"> </v>
      </c>
      <c r="Y1219" s="162" t="e">
        <f>VLOOKUP(B1219,Crewlist!AS:AU,3,FALSE)</f>
        <v>#N/A</v>
      </c>
      <c r="Z1219" s="163">
        <f t="shared" si="118"/>
        <v>0</v>
      </c>
    </row>
    <row r="1220" spans="2:26">
      <c r="B1220" s="202">
        <v>1219</v>
      </c>
      <c r="C1220" s="169"/>
      <c r="N1220" s="201">
        <v>0</v>
      </c>
      <c r="Q1220">
        <f t="shared" si="114"/>
        <v>0</v>
      </c>
      <c r="R1220">
        <f t="shared" si="117"/>
        <v>1218</v>
      </c>
      <c r="S1220">
        <f>IFERROR(SEARCH(Crewlist!$P$5,V1220)+ROW()/100000,"")</f>
        <v>1.0122</v>
      </c>
      <c r="T1220">
        <f t="shared" si="115"/>
        <v>1219</v>
      </c>
      <c r="U1220">
        <f t="shared" si="116"/>
        <v>0</v>
      </c>
      <c r="V1220" t="str">
        <f t="shared" si="119"/>
        <v xml:space="preserve"> </v>
      </c>
      <c r="Y1220" s="162" t="e">
        <f>VLOOKUP(B1220,Crewlist!AS:AU,3,FALSE)</f>
        <v>#N/A</v>
      </c>
      <c r="Z1220" s="163">
        <f t="shared" si="118"/>
        <v>0</v>
      </c>
    </row>
    <row r="1221" spans="2:26">
      <c r="B1221" s="171">
        <v>1220</v>
      </c>
      <c r="C1221" s="169"/>
      <c r="N1221" s="201">
        <v>0</v>
      </c>
      <c r="Q1221">
        <f t="shared" si="114"/>
        <v>0</v>
      </c>
      <c r="R1221">
        <f t="shared" si="117"/>
        <v>1219</v>
      </c>
      <c r="S1221">
        <f>IFERROR(SEARCH(Crewlist!$P$5,V1221)+ROW()/100000,"")</f>
        <v>1.0122100000000001</v>
      </c>
      <c r="T1221">
        <f t="shared" si="115"/>
        <v>1220</v>
      </c>
      <c r="U1221">
        <f t="shared" si="116"/>
        <v>0</v>
      </c>
      <c r="V1221" t="str">
        <f t="shared" si="119"/>
        <v xml:space="preserve"> </v>
      </c>
      <c r="Y1221" s="162" t="e">
        <f>VLOOKUP(B1221,Crewlist!AS:AU,3,FALSE)</f>
        <v>#N/A</v>
      </c>
      <c r="Z1221" s="163">
        <f t="shared" si="118"/>
        <v>0</v>
      </c>
    </row>
    <row r="1222" spans="2:26">
      <c r="B1222" s="171">
        <v>1221</v>
      </c>
      <c r="C1222" s="169"/>
      <c r="N1222" s="201">
        <v>0</v>
      </c>
      <c r="Q1222">
        <f t="shared" si="114"/>
        <v>0</v>
      </c>
      <c r="R1222">
        <f t="shared" si="117"/>
        <v>1220</v>
      </c>
      <c r="S1222">
        <f>IFERROR(SEARCH(Crewlist!$P$5,V1222)+ROW()/100000,"")</f>
        <v>1.0122199999999999</v>
      </c>
      <c r="T1222">
        <f t="shared" si="115"/>
        <v>1221</v>
      </c>
      <c r="U1222">
        <f t="shared" si="116"/>
        <v>0</v>
      </c>
      <c r="V1222" t="str">
        <f t="shared" si="119"/>
        <v xml:space="preserve"> </v>
      </c>
      <c r="Y1222" s="162" t="e">
        <f>VLOOKUP(B1222,Crewlist!AS:AU,3,FALSE)</f>
        <v>#N/A</v>
      </c>
      <c r="Z1222" s="163">
        <f t="shared" si="118"/>
        <v>0</v>
      </c>
    </row>
    <row r="1223" spans="2:26">
      <c r="B1223" s="202">
        <v>1222</v>
      </c>
      <c r="C1223" s="169"/>
      <c r="N1223" s="201">
        <v>0</v>
      </c>
      <c r="Q1223">
        <f t="shared" si="114"/>
        <v>0</v>
      </c>
      <c r="R1223">
        <f t="shared" si="117"/>
        <v>1221</v>
      </c>
      <c r="S1223">
        <f>IFERROR(SEARCH(Crewlist!$P$5,V1223)+ROW()/100000,"")</f>
        <v>1.01223</v>
      </c>
      <c r="T1223">
        <f t="shared" si="115"/>
        <v>1222</v>
      </c>
      <c r="U1223">
        <f t="shared" si="116"/>
        <v>0</v>
      </c>
      <c r="V1223" t="str">
        <f t="shared" si="119"/>
        <v xml:space="preserve"> </v>
      </c>
      <c r="Y1223" s="162" t="e">
        <f>VLOOKUP(B1223,Crewlist!AS:AU,3,FALSE)</f>
        <v>#N/A</v>
      </c>
      <c r="Z1223" s="163">
        <f t="shared" si="118"/>
        <v>0</v>
      </c>
    </row>
    <row r="1224" spans="2:26">
      <c r="B1224" s="171">
        <v>1223</v>
      </c>
      <c r="C1224" s="169"/>
      <c r="N1224" s="201">
        <v>0</v>
      </c>
      <c r="Q1224">
        <f t="shared" si="114"/>
        <v>0</v>
      </c>
      <c r="R1224">
        <f t="shared" si="117"/>
        <v>1222</v>
      </c>
      <c r="S1224">
        <f>IFERROR(SEARCH(Crewlist!$P$5,V1224)+ROW()/100000,"")</f>
        <v>1.01224</v>
      </c>
      <c r="T1224">
        <f t="shared" si="115"/>
        <v>1223</v>
      </c>
      <c r="U1224">
        <f t="shared" si="116"/>
        <v>0</v>
      </c>
      <c r="V1224" t="str">
        <f t="shared" si="119"/>
        <v xml:space="preserve"> </v>
      </c>
      <c r="Y1224" s="162" t="e">
        <f>VLOOKUP(B1224,Crewlist!AS:AU,3,FALSE)</f>
        <v>#N/A</v>
      </c>
      <c r="Z1224" s="163">
        <f t="shared" si="118"/>
        <v>0</v>
      </c>
    </row>
    <row r="1225" spans="2:26">
      <c r="B1225" s="171">
        <v>1224</v>
      </c>
      <c r="C1225" s="169"/>
      <c r="N1225" s="201">
        <v>0</v>
      </c>
      <c r="Q1225">
        <f t="shared" ref="Q1225:Q1288" si="120">IF(C1225&lt;&gt; "",B1225,0)</f>
        <v>0</v>
      </c>
      <c r="R1225">
        <f t="shared" si="117"/>
        <v>1223</v>
      </c>
      <c r="S1225">
        <f>IFERROR(SEARCH(Crewlist!$P$5,V1225)+ROW()/100000,"")</f>
        <v>1.0122500000000001</v>
      </c>
      <c r="T1225">
        <f t="shared" ref="T1225:T1288" si="121">B1225</f>
        <v>1224</v>
      </c>
      <c r="U1225">
        <f t="shared" ref="U1225:U1288" si="122">C1225</f>
        <v>0</v>
      </c>
      <c r="V1225" t="str">
        <f t="shared" si="119"/>
        <v xml:space="preserve"> </v>
      </c>
      <c r="Y1225" s="162" t="e">
        <f>VLOOKUP(B1225,Crewlist!AS:AU,3,FALSE)</f>
        <v>#N/A</v>
      </c>
      <c r="Z1225" s="163">
        <f t="shared" si="118"/>
        <v>0</v>
      </c>
    </row>
    <row r="1226" spans="2:26">
      <c r="B1226" s="202">
        <v>1225</v>
      </c>
      <c r="C1226" s="169"/>
      <c r="N1226" s="201">
        <v>0</v>
      </c>
      <c r="Q1226">
        <f t="shared" si="120"/>
        <v>0</v>
      </c>
      <c r="R1226">
        <f t="shared" si="117"/>
        <v>1224</v>
      </c>
      <c r="S1226">
        <f>IFERROR(SEARCH(Crewlist!$P$5,V1226)+ROW()/100000,"")</f>
        <v>1.0122599999999999</v>
      </c>
      <c r="T1226">
        <f t="shared" si="121"/>
        <v>1225</v>
      </c>
      <c r="U1226">
        <f t="shared" si="122"/>
        <v>0</v>
      </c>
      <c r="V1226" t="str">
        <f t="shared" si="119"/>
        <v xml:space="preserve"> </v>
      </c>
      <c r="Y1226" s="162" t="e">
        <f>VLOOKUP(B1226,Crewlist!AS:AU,3,FALSE)</f>
        <v>#N/A</v>
      </c>
      <c r="Z1226" s="163">
        <f t="shared" si="118"/>
        <v>0</v>
      </c>
    </row>
    <row r="1227" spans="2:26">
      <c r="B1227" s="171">
        <v>1226</v>
      </c>
      <c r="C1227" s="169"/>
      <c r="N1227" s="201">
        <v>0</v>
      </c>
      <c r="Q1227">
        <f t="shared" si="120"/>
        <v>0</v>
      </c>
      <c r="R1227">
        <f t="shared" si="117"/>
        <v>1225</v>
      </c>
      <c r="S1227">
        <f>IFERROR(SEARCH(Crewlist!$P$5,V1227)+ROW()/100000,"")</f>
        <v>1.01227</v>
      </c>
      <c r="T1227">
        <f t="shared" si="121"/>
        <v>1226</v>
      </c>
      <c r="U1227">
        <f t="shared" si="122"/>
        <v>0</v>
      </c>
      <c r="V1227" t="str">
        <f t="shared" si="119"/>
        <v xml:space="preserve"> </v>
      </c>
      <c r="Y1227" s="162" t="e">
        <f>VLOOKUP(B1227,Crewlist!AS:AU,3,FALSE)</f>
        <v>#N/A</v>
      </c>
      <c r="Z1227" s="163">
        <f t="shared" si="118"/>
        <v>0</v>
      </c>
    </row>
    <row r="1228" spans="2:26">
      <c r="B1228" s="171">
        <v>1227</v>
      </c>
      <c r="C1228" s="169"/>
      <c r="N1228" s="201">
        <v>0</v>
      </c>
      <c r="Q1228">
        <f t="shared" si="120"/>
        <v>0</v>
      </c>
      <c r="R1228">
        <f t="shared" si="117"/>
        <v>1226</v>
      </c>
      <c r="S1228">
        <f>IFERROR(SEARCH(Crewlist!$P$5,V1228)+ROW()/100000,"")</f>
        <v>1.0122800000000001</v>
      </c>
      <c r="T1228">
        <f t="shared" si="121"/>
        <v>1227</v>
      </c>
      <c r="U1228">
        <f t="shared" si="122"/>
        <v>0</v>
      </c>
      <c r="V1228" t="str">
        <f t="shared" si="119"/>
        <v xml:space="preserve"> </v>
      </c>
      <c r="Y1228" s="162" t="e">
        <f>VLOOKUP(B1228,Crewlist!AS:AU,3,FALSE)</f>
        <v>#N/A</v>
      </c>
      <c r="Z1228" s="163">
        <f t="shared" si="118"/>
        <v>0</v>
      </c>
    </row>
    <row r="1229" spans="2:26">
      <c r="B1229" s="202">
        <v>1228</v>
      </c>
      <c r="C1229" s="169"/>
      <c r="N1229" s="201">
        <v>0</v>
      </c>
      <c r="Q1229">
        <f t="shared" si="120"/>
        <v>0</v>
      </c>
      <c r="R1229">
        <f t="shared" si="117"/>
        <v>1227</v>
      </c>
      <c r="S1229">
        <f>IFERROR(SEARCH(Crewlist!$P$5,V1229)+ROW()/100000,"")</f>
        <v>1.0122899999999999</v>
      </c>
      <c r="T1229">
        <f t="shared" si="121"/>
        <v>1228</v>
      </c>
      <c r="U1229">
        <f t="shared" si="122"/>
        <v>0</v>
      </c>
      <c r="V1229" t="str">
        <f t="shared" si="119"/>
        <v xml:space="preserve"> </v>
      </c>
      <c r="Y1229" s="162" t="e">
        <f>VLOOKUP(B1229,Crewlist!AS:AU,3,FALSE)</f>
        <v>#N/A</v>
      </c>
      <c r="Z1229" s="163">
        <f t="shared" si="118"/>
        <v>0</v>
      </c>
    </row>
    <row r="1230" spans="2:26">
      <c r="B1230" s="171">
        <v>1229</v>
      </c>
      <c r="C1230" s="169"/>
      <c r="N1230" s="201">
        <v>0</v>
      </c>
      <c r="Q1230">
        <f t="shared" si="120"/>
        <v>0</v>
      </c>
      <c r="R1230">
        <f t="shared" si="117"/>
        <v>1228</v>
      </c>
      <c r="S1230">
        <f>IFERROR(SEARCH(Crewlist!$P$5,V1230)+ROW()/100000,"")</f>
        <v>1.0123</v>
      </c>
      <c r="T1230">
        <f t="shared" si="121"/>
        <v>1229</v>
      </c>
      <c r="U1230">
        <f t="shared" si="122"/>
        <v>0</v>
      </c>
      <c r="V1230" t="str">
        <f t="shared" si="119"/>
        <v xml:space="preserve"> </v>
      </c>
      <c r="Y1230" s="162" t="e">
        <f>VLOOKUP(B1230,Crewlist!AS:AU,3,FALSE)</f>
        <v>#N/A</v>
      </c>
      <c r="Z1230" s="163">
        <f t="shared" si="118"/>
        <v>0</v>
      </c>
    </row>
    <row r="1231" spans="2:26">
      <c r="B1231" s="171">
        <v>1230</v>
      </c>
      <c r="C1231" s="169"/>
      <c r="N1231" s="201">
        <v>0</v>
      </c>
      <c r="Q1231">
        <f t="shared" si="120"/>
        <v>0</v>
      </c>
      <c r="R1231">
        <f t="shared" si="117"/>
        <v>1229</v>
      </c>
      <c r="S1231">
        <f>IFERROR(SEARCH(Crewlist!$P$5,V1231)+ROW()/100000,"")</f>
        <v>1.01231</v>
      </c>
      <c r="T1231">
        <f t="shared" si="121"/>
        <v>1230</v>
      </c>
      <c r="U1231">
        <f t="shared" si="122"/>
        <v>0</v>
      </c>
      <c r="V1231" t="str">
        <f t="shared" si="119"/>
        <v xml:space="preserve"> </v>
      </c>
      <c r="Y1231" s="162" t="e">
        <f>VLOOKUP(B1231,Crewlist!AS:AU,3,FALSE)</f>
        <v>#N/A</v>
      </c>
      <c r="Z1231" s="163">
        <f t="shared" si="118"/>
        <v>0</v>
      </c>
    </row>
    <row r="1232" spans="2:26">
      <c r="B1232" s="202">
        <v>1231</v>
      </c>
      <c r="C1232" s="169"/>
      <c r="N1232" s="201">
        <v>0</v>
      </c>
      <c r="Q1232">
        <f t="shared" si="120"/>
        <v>0</v>
      </c>
      <c r="R1232">
        <f t="shared" si="117"/>
        <v>1230</v>
      </c>
      <c r="S1232">
        <f>IFERROR(SEARCH(Crewlist!$P$5,V1232)+ROW()/100000,"")</f>
        <v>1.0123200000000001</v>
      </c>
      <c r="T1232">
        <f t="shared" si="121"/>
        <v>1231</v>
      </c>
      <c r="U1232">
        <f t="shared" si="122"/>
        <v>0</v>
      </c>
      <c r="V1232" t="str">
        <f t="shared" si="119"/>
        <v xml:space="preserve"> </v>
      </c>
      <c r="Y1232" s="162" t="e">
        <f>VLOOKUP(B1232,Crewlist!AS:AU,3,FALSE)</f>
        <v>#N/A</v>
      </c>
      <c r="Z1232" s="163">
        <f t="shared" si="118"/>
        <v>0</v>
      </c>
    </row>
    <row r="1233" spans="2:26">
      <c r="B1233" s="171">
        <v>1232</v>
      </c>
      <c r="C1233" s="169"/>
      <c r="N1233" s="201">
        <v>0</v>
      </c>
      <c r="Q1233">
        <f t="shared" si="120"/>
        <v>0</v>
      </c>
      <c r="R1233">
        <f t="shared" si="117"/>
        <v>1231</v>
      </c>
      <c r="S1233">
        <f>IFERROR(SEARCH(Crewlist!$P$5,V1233)+ROW()/100000,"")</f>
        <v>1.01233</v>
      </c>
      <c r="T1233">
        <f t="shared" si="121"/>
        <v>1232</v>
      </c>
      <c r="U1233">
        <f t="shared" si="122"/>
        <v>0</v>
      </c>
      <c r="V1233" t="str">
        <f t="shared" si="119"/>
        <v xml:space="preserve"> </v>
      </c>
      <c r="Y1233" s="162" t="e">
        <f>VLOOKUP(B1233,Crewlist!AS:AU,3,FALSE)</f>
        <v>#N/A</v>
      </c>
      <c r="Z1233" s="163">
        <f t="shared" si="118"/>
        <v>0</v>
      </c>
    </row>
    <row r="1234" spans="2:26">
      <c r="B1234" s="171">
        <v>1233</v>
      </c>
      <c r="C1234" s="169"/>
      <c r="N1234" s="201">
        <v>0</v>
      </c>
      <c r="Q1234">
        <f t="shared" si="120"/>
        <v>0</v>
      </c>
      <c r="R1234">
        <f t="shared" si="117"/>
        <v>1232</v>
      </c>
      <c r="S1234">
        <f>IFERROR(SEARCH(Crewlist!$P$5,V1234)+ROW()/100000,"")</f>
        <v>1.01234</v>
      </c>
      <c r="T1234">
        <f t="shared" si="121"/>
        <v>1233</v>
      </c>
      <c r="U1234">
        <f t="shared" si="122"/>
        <v>0</v>
      </c>
      <c r="V1234" t="str">
        <f t="shared" si="119"/>
        <v xml:space="preserve"> </v>
      </c>
      <c r="Y1234" s="162" t="e">
        <f>VLOOKUP(B1234,Crewlist!AS:AU,3,FALSE)</f>
        <v>#N/A</v>
      </c>
      <c r="Z1234" s="163">
        <f t="shared" si="118"/>
        <v>0</v>
      </c>
    </row>
    <row r="1235" spans="2:26">
      <c r="B1235" s="202">
        <v>1234</v>
      </c>
      <c r="C1235" s="169"/>
      <c r="N1235" s="201">
        <v>0</v>
      </c>
      <c r="Q1235">
        <f t="shared" si="120"/>
        <v>0</v>
      </c>
      <c r="R1235">
        <f t="shared" si="117"/>
        <v>1233</v>
      </c>
      <c r="S1235">
        <f>IFERROR(SEARCH(Crewlist!$P$5,V1235)+ROW()/100000,"")</f>
        <v>1.0123500000000001</v>
      </c>
      <c r="T1235">
        <f t="shared" si="121"/>
        <v>1234</v>
      </c>
      <c r="U1235">
        <f t="shared" si="122"/>
        <v>0</v>
      </c>
      <c r="V1235" t="str">
        <f t="shared" si="119"/>
        <v xml:space="preserve"> </v>
      </c>
      <c r="Y1235" s="162" t="e">
        <f>VLOOKUP(B1235,Crewlist!AS:AU,3,FALSE)</f>
        <v>#N/A</v>
      </c>
      <c r="Z1235" s="163">
        <f t="shared" si="118"/>
        <v>0</v>
      </c>
    </row>
    <row r="1236" spans="2:26">
      <c r="B1236" s="171">
        <v>1235</v>
      </c>
      <c r="C1236" s="169"/>
      <c r="N1236" s="201">
        <v>0</v>
      </c>
      <c r="Q1236">
        <f t="shared" si="120"/>
        <v>0</v>
      </c>
      <c r="R1236">
        <f t="shared" si="117"/>
        <v>1234</v>
      </c>
      <c r="S1236">
        <f>IFERROR(SEARCH(Crewlist!$P$5,V1236)+ROW()/100000,"")</f>
        <v>1.0123599999999999</v>
      </c>
      <c r="T1236">
        <f t="shared" si="121"/>
        <v>1235</v>
      </c>
      <c r="U1236">
        <f t="shared" si="122"/>
        <v>0</v>
      </c>
      <c r="V1236" t="str">
        <f t="shared" si="119"/>
        <v xml:space="preserve"> </v>
      </c>
      <c r="Y1236" s="162" t="e">
        <f>VLOOKUP(B1236,Crewlist!AS:AU,3,FALSE)</f>
        <v>#N/A</v>
      </c>
      <c r="Z1236" s="163">
        <f t="shared" si="118"/>
        <v>0</v>
      </c>
    </row>
    <row r="1237" spans="2:26">
      <c r="B1237" s="171">
        <v>1236</v>
      </c>
      <c r="C1237" s="169"/>
      <c r="N1237" s="201">
        <v>0</v>
      </c>
      <c r="Q1237">
        <f t="shared" si="120"/>
        <v>0</v>
      </c>
      <c r="R1237">
        <f t="shared" si="117"/>
        <v>1235</v>
      </c>
      <c r="S1237">
        <f>IFERROR(SEARCH(Crewlist!$P$5,V1237)+ROW()/100000,"")</f>
        <v>1.01237</v>
      </c>
      <c r="T1237">
        <f t="shared" si="121"/>
        <v>1236</v>
      </c>
      <c r="U1237">
        <f t="shared" si="122"/>
        <v>0</v>
      </c>
      <c r="V1237" t="str">
        <f t="shared" si="119"/>
        <v xml:space="preserve"> </v>
      </c>
      <c r="Y1237" s="162" t="e">
        <f>VLOOKUP(B1237,Crewlist!AS:AU,3,FALSE)</f>
        <v>#N/A</v>
      </c>
      <c r="Z1237" s="163">
        <f t="shared" si="118"/>
        <v>0</v>
      </c>
    </row>
    <row r="1238" spans="2:26">
      <c r="B1238" s="202">
        <v>1237</v>
      </c>
      <c r="C1238" s="169"/>
      <c r="N1238" s="201">
        <v>0</v>
      </c>
      <c r="Q1238">
        <f t="shared" si="120"/>
        <v>0</v>
      </c>
      <c r="R1238">
        <f t="shared" si="117"/>
        <v>1236</v>
      </c>
      <c r="S1238">
        <f>IFERROR(SEARCH(Crewlist!$P$5,V1238)+ROW()/100000,"")</f>
        <v>1.0123800000000001</v>
      </c>
      <c r="T1238">
        <f t="shared" si="121"/>
        <v>1237</v>
      </c>
      <c r="U1238">
        <f t="shared" si="122"/>
        <v>0</v>
      </c>
      <c r="V1238" t="str">
        <f t="shared" si="119"/>
        <v xml:space="preserve"> </v>
      </c>
      <c r="Y1238" s="162" t="e">
        <f>VLOOKUP(B1238,Crewlist!AS:AU,3,FALSE)</f>
        <v>#N/A</v>
      </c>
      <c r="Z1238" s="163">
        <f t="shared" si="118"/>
        <v>0</v>
      </c>
    </row>
    <row r="1239" spans="2:26">
      <c r="B1239" s="171">
        <v>1238</v>
      </c>
      <c r="C1239" s="169"/>
      <c r="N1239" s="201">
        <v>0</v>
      </c>
      <c r="Q1239">
        <f t="shared" si="120"/>
        <v>0</v>
      </c>
      <c r="R1239">
        <f t="shared" si="117"/>
        <v>1237</v>
      </c>
      <c r="S1239">
        <f>IFERROR(SEARCH(Crewlist!$P$5,V1239)+ROW()/100000,"")</f>
        <v>1.0123899999999999</v>
      </c>
      <c r="T1239">
        <f t="shared" si="121"/>
        <v>1238</v>
      </c>
      <c r="U1239">
        <f t="shared" si="122"/>
        <v>0</v>
      </c>
      <c r="V1239" t="str">
        <f t="shared" si="119"/>
        <v xml:space="preserve"> </v>
      </c>
      <c r="Y1239" s="162" t="e">
        <f>VLOOKUP(B1239,Crewlist!AS:AU,3,FALSE)</f>
        <v>#N/A</v>
      </c>
      <c r="Z1239" s="163">
        <f t="shared" si="118"/>
        <v>0</v>
      </c>
    </row>
    <row r="1240" spans="2:26">
      <c r="B1240" s="171">
        <v>1239</v>
      </c>
      <c r="C1240" s="169"/>
      <c r="N1240" s="201">
        <v>0</v>
      </c>
      <c r="Q1240">
        <f t="shared" si="120"/>
        <v>0</v>
      </c>
      <c r="R1240">
        <f t="shared" si="117"/>
        <v>1238</v>
      </c>
      <c r="S1240">
        <f>IFERROR(SEARCH(Crewlist!$P$5,V1240)+ROW()/100000,"")</f>
        <v>1.0124</v>
      </c>
      <c r="T1240">
        <f t="shared" si="121"/>
        <v>1239</v>
      </c>
      <c r="U1240">
        <f t="shared" si="122"/>
        <v>0</v>
      </c>
      <c r="V1240" t="str">
        <f t="shared" si="119"/>
        <v xml:space="preserve"> </v>
      </c>
      <c r="Y1240" s="162" t="e">
        <f>VLOOKUP(B1240,Crewlist!AS:AU,3,FALSE)</f>
        <v>#N/A</v>
      </c>
      <c r="Z1240" s="163">
        <f t="shared" si="118"/>
        <v>0</v>
      </c>
    </row>
    <row r="1241" spans="2:26">
      <c r="B1241" s="202">
        <v>1240</v>
      </c>
      <c r="C1241" s="169"/>
      <c r="N1241" s="201">
        <v>0</v>
      </c>
      <c r="Q1241">
        <f t="shared" si="120"/>
        <v>0</v>
      </c>
      <c r="R1241">
        <f t="shared" si="117"/>
        <v>1239</v>
      </c>
      <c r="S1241">
        <f>IFERROR(SEARCH(Crewlist!$P$5,V1241)+ROW()/100000,"")</f>
        <v>1.01241</v>
      </c>
      <c r="T1241">
        <f t="shared" si="121"/>
        <v>1240</v>
      </c>
      <c r="U1241">
        <f t="shared" si="122"/>
        <v>0</v>
      </c>
      <c r="V1241" t="str">
        <f t="shared" si="119"/>
        <v xml:space="preserve"> </v>
      </c>
      <c r="Y1241" s="162" t="e">
        <f>VLOOKUP(B1241,Crewlist!AS:AU,3,FALSE)</f>
        <v>#N/A</v>
      </c>
      <c r="Z1241" s="163">
        <f t="shared" si="118"/>
        <v>0</v>
      </c>
    </row>
    <row r="1242" spans="2:26">
      <c r="B1242" s="171">
        <v>1241</v>
      </c>
      <c r="C1242" s="169"/>
      <c r="N1242" s="201">
        <v>0</v>
      </c>
      <c r="Q1242">
        <f t="shared" si="120"/>
        <v>0</v>
      </c>
      <c r="R1242">
        <f t="shared" si="117"/>
        <v>1240</v>
      </c>
      <c r="S1242">
        <f>IFERROR(SEARCH(Crewlist!$P$5,V1242)+ROW()/100000,"")</f>
        <v>1.0124200000000001</v>
      </c>
      <c r="T1242">
        <f t="shared" si="121"/>
        <v>1241</v>
      </c>
      <c r="U1242">
        <f t="shared" si="122"/>
        <v>0</v>
      </c>
      <c r="V1242" t="str">
        <f t="shared" si="119"/>
        <v xml:space="preserve"> </v>
      </c>
      <c r="Y1242" s="162" t="e">
        <f>VLOOKUP(B1242,Crewlist!AS:AU,3,FALSE)</f>
        <v>#N/A</v>
      </c>
      <c r="Z1242" s="163">
        <f t="shared" si="118"/>
        <v>0</v>
      </c>
    </row>
    <row r="1243" spans="2:26">
      <c r="B1243" s="171">
        <v>1242</v>
      </c>
      <c r="C1243" s="169"/>
      <c r="N1243" s="201">
        <v>0</v>
      </c>
      <c r="Q1243">
        <f t="shared" si="120"/>
        <v>0</v>
      </c>
      <c r="R1243">
        <f t="shared" si="117"/>
        <v>1241</v>
      </c>
      <c r="S1243">
        <f>IFERROR(SEARCH(Crewlist!$P$5,V1243)+ROW()/100000,"")</f>
        <v>1.0124299999999999</v>
      </c>
      <c r="T1243">
        <f t="shared" si="121"/>
        <v>1242</v>
      </c>
      <c r="U1243">
        <f t="shared" si="122"/>
        <v>0</v>
      </c>
      <c r="V1243" t="str">
        <f t="shared" si="119"/>
        <v xml:space="preserve"> </v>
      </c>
      <c r="Y1243" s="162" t="e">
        <f>VLOOKUP(B1243,Crewlist!AS:AU,3,FALSE)</f>
        <v>#N/A</v>
      </c>
      <c r="Z1243" s="163">
        <f t="shared" si="118"/>
        <v>0</v>
      </c>
    </row>
    <row r="1244" spans="2:26">
      <c r="B1244" s="202">
        <v>1243</v>
      </c>
      <c r="C1244" s="169"/>
      <c r="N1244" s="201">
        <v>0</v>
      </c>
      <c r="Q1244">
        <f t="shared" si="120"/>
        <v>0</v>
      </c>
      <c r="R1244">
        <f t="shared" si="117"/>
        <v>1242</v>
      </c>
      <c r="S1244">
        <f>IFERROR(SEARCH(Crewlist!$P$5,V1244)+ROW()/100000,"")</f>
        <v>1.01244</v>
      </c>
      <c r="T1244">
        <f t="shared" si="121"/>
        <v>1243</v>
      </c>
      <c r="U1244">
        <f t="shared" si="122"/>
        <v>0</v>
      </c>
      <c r="V1244" t="str">
        <f t="shared" si="119"/>
        <v xml:space="preserve"> </v>
      </c>
      <c r="Y1244" s="162" t="e">
        <f>VLOOKUP(B1244,Crewlist!AS:AU,3,FALSE)</f>
        <v>#N/A</v>
      </c>
      <c r="Z1244" s="163">
        <f t="shared" si="118"/>
        <v>0</v>
      </c>
    </row>
    <row r="1245" spans="2:26">
      <c r="B1245" s="171">
        <v>1244</v>
      </c>
      <c r="C1245" s="169"/>
      <c r="N1245" s="201">
        <v>0</v>
      </c>
      <c r="Q1245">
        <f t="shared" si="120"/>
        <v>0</v>
      </c>
      <c r="R1245">
        <f t="shared" si="117"/>
        <v>1243</v>
      </c>
      <c r="S1245">
        <f>IFERROR(SEARCH(Crewlist!$P$5,V1245)+ROW()/100000,"")</f>
        <v>1.0124500000000001</v>
      </c>
      <c r="T1245">
        <f t="shared" si="121"/>
        <v>1244</v>
      </c>
      <c r="U1245">
        <f t="shared" si="122"/>
        <v>0</v>
      </c>
      <c r="V1245" t="str">
        <f t="shared" si="119"/>
        <v xml:space="preserve"> </v>
      </c>
      <c r="Y1245" s="162" t="e">
        <f>VLOOKUP(B1245,Crewlist!AS:AU,3,FALSE)</f>
        <v>#N/A</v>
      </c>
      <c r="Z1245" s="163">
        <f t="shared" si="118"/>
        <v>0</v>
      </c>
    </row>
    <row r="1246" spans="2:26">
      <c r="B1246" s="171">
        <v>1245</v>
      </c>
      <c r="C1246" s="169"/>
      <c r="N1246" s="201">
        <v>0</v>
      </c>
      <c r="Q1246">
        <f t="shared" si="120"/>
        <v>0</v>
      </c>
      <c r="R1246">
        <f t="shared" si="117"/>
        <v>1244</v>
      </c>
      <c r="S1246">
        <f>IFERROR(SEARCH(Crewlist!$P$5,V1246)+ROW()/100000,"")</f>
        <v>1.0124599999999999</v>
      </c>
      <c r="T1246">
        <f t="shared" si="121"/>
        <v>1245</v>
      </c>
      <c r="U1246">
        <f t="shared" si="122"/>
        <v>0</v>
      </c>
      <c r="V1246" t="str">
        <f t="shared" si="119"/>
        <v xml:space="preserve"> </v>
      </c>
      <c r="Y1246" s="162" t="e">
        <f>VLOOKUP(B1246,Crewlist!AS:AU,3,FALSE)</f>
        <v>#N/A</v>
      </c>
      <c r="Z1246" s="163">
        <f t="shared" si="118"/>
        <v>0</v>
      </c>
    </row>
    <row r="1247" spans="2:26">
      <c r="B1247" s="202">
        <v>1246</v>
      </c>
      <c r="C1247" s="169"/>
      <c r="N1247" s="201">
        <v>0</v>
      </c>
      <c r="Q1247">
        <f t="shared" si="120"/>
        <v>0</v>
      </c>
      <c r="R1247">
        <f t="shared" si="117"/>
        <v>1245</v>
      </c>
      <c r="S1247">
        <f>IFERROR(SEARCH(Crewlist!$P$5,V1247)+ROW()/100000,"")</f>
        <v>1.01247</v>
      </c>
      <c r="T1247">
        <f t="shared" si="121"/>
        <v>1246</v>
      </c>
      <c r="U1247">
        <f t="shared" si="122"/>
        <v>0</v>
      </c>
      <c r="V1247" t="str">
        <f t="shared" si="119"/>
        <v xml:space="preserve"> </v>
      </c>
      <c r="Y1247" s="162" t="e">
        <f>VLOOKUP(B1247,Crewlist!AS:AU,3,FALSE)</f>
        <v>#N/A</v>
      </c>
      <c r="Z1247" s="163">
        <f t="shared" si="118"/>
        <v>0</v>
      </c>
    </row>
    <row r="1248" spans="2:26">
      <c r="B1248" s="171">
        <v>1247</v>
      </c>
      <c r="C1248" s="169"/>
      <c r="N1248" s="201">
        <v>0</v>
      </c>
      <c r="Q1248">
        <f t="shared" si="120"/>
        <v>0</v>
      </c>
      <c r="R1248">
        <f t="shared" si="117"/>
        <v>1246</v>
      </c>
      <c r="S1248">
        <f>IFERROR(SEARCH(Crewlist!$P$5,V1248)+ROW()/100000,"")</f>
        <v>1.01248</v>
      </c>
      <c r="T1248">
        <f t="shared" si="121"/>
        <v>1247</v>
      </c>
      <c r="U1248">
        <f t="shared" si="122"/>
        <v>0</v>
      </c>
      <c r="V1248" t="str">
        <f t="shared" si="119"/>
        <v xml:space="preserve"> </v>
      </c>
      <c r="Y1248" s="162" t="e">
        <f>VLOOKUP(B1248,Crewlist!AS:AU,3,FALSE)</f>
        <v>#N/A</v>
      </c>
      <c r="Z1248" s="163">
        <f t="shared" si="118"/>
        <v>0</v>
      </c>
    </row>
    <row r="1249" spans="2:26">
      <c r="B1249" s="171">
        <v>1248</v>
      </c>
      <c r="C1249" s="169"/>
      <c r="N1249" s="201">
        <v>0</v>
      </c>
      <c r="Q1249">
        <f t="shared" si="120"/>
        <v>0</v>
      </c>
      <c r="R1249">
        <f t="shared" si="117"/>
        <v>1247</v>
      </c>
      <c r="S1249">
        <f>IFERROR(SEARCH(Crewlist!$P$5,V1249)+ROW()/100000,"")</f>
        <v>1.0124899999999999</v>
      </c>
      <c r="T1249">
        <f t="shared" si="121"/>
        <v>1248</v>
      </c>
      <c r="U1249">
        <f t="shared" si="122"/>
        <v>0</v>
      </c>
      <c r="V1249" t="str">
        <f t="shared" si="119"/>
        <v xml:space="preserve"> </v>
      </c>
      <c r="Y1249" s="162" t="e">
        <f>VLOOKUP(B1249,Crewlist!AS:AU,3,FALSE)</f>
        <v>#N/A</v>
      </c>
      <c r="Z1249" s="163">
        <f t="shared" si="118"/>
        <v>0</v>
      </c>
    </row>
    <row r="1250" spans="2:26">
      <c r="B1250" s="202">
        <v>1249</v>
      </c>
      <c r="C1250" s="169"/>
      <c r="N1250" s="201">
        <v>0</v>
      </c>
      <c r="Q1250">
        <f t="shared" si="120"/>
        <v>0</v>
      </c>
      <c r="R1250">
        <f t="shared" si="117"/>
        <v>1248</v>
      </c>
      <c r="S1250">
        <f>IFERROR(SEARCH(Crewlist!$P$5,V1250)+ROW()/100000,"")</f>
        <v>1.0125</v>
      </c>
      <c r="T1250">
        <f t="shared" si="121"/>
        <v>1249</v>
      </c>
      <c r="U1250">
        <f t="shared" si="122"/>
        <v>0</v>
      </c>
      <c r="V1250" t="str">
        <f t="shared" si="119"/>
        <v xml:space="preserve"> </v>
      </c>
      <c r="Y1250" s="162" t="e">
        <f>VLOOKUP(B1250,Crewlist!AS:AU,3,FALSE)</f>
        <v>#N/A</v>
      </c>
      <c r="Z1250" s="163">
        <f t="shared" si="118"/>
        <v>0</v>
      </c>
    </row>
    <row r="1251" spans="2:26">
      <c r="B1251" s="171">
        <v>1250</v>
      </c>
      <c r="C1251" s="169"/>
      <c r="N1251" s="201">
        <v>0</v>
      </c>
      <c r="Q1251">
        <f t="shared" si="120"/>
        <v>0</v>
      </c>
      <c r="R1251">
        <f t="shared" si="117"/>
        <v>1249</v>
      </c>
      <c r="S1251">
        <f>IFERROR(SEARCH(Crewlist!$P$5,V1251)+ROW()/100000,"")</f>
        <v>1.01251</v>
      </c>
      <c r="T1251">
        <f t="shared" si="121"/>
        <v>1250</v>
      </c>
      <c r="U1251">
        <f t="shared" si="122"/>
        <v>0</v>
      </c>
      <c r="V1251" t="str">
        <f t="shared" si="119"/>
        <v xml:space="preserve"> </v>
      </c>
      <c r="Y1251" s="162" t="e">
        <f>VLOOKUP(B1251,Crewlist!AS:AU,3,FALSE)</f>
        <v>#N/A</v>
      </c>
      <c r="Z1251" s="163">
        <f t="shared" si="118"/>
        <v>0</v>
      </c>
    </row>
    <row r="1252" spans="2:26">
      <c r="B1252" s="171">
        <v>1251</v>
      </c>
      <c r="C1252" s="169"/>
      <c r="N1252" s="201">
        <v>0</v>
      </c>
      <c r="Q1252">
        <f t="shared" si="120"/>
        <v>0</v>
      </c>
      <c r="R1252">
        <f t="shared" si="117"/>
        <v>1250</v>
      </c>
      <c r="S1252">
        <f>IFERROR(SEARCH(Crewlist!$P$5,V1252)+ROW()/100000,"")</f>
        <v>1.0125200000000001</v>
      </c>
      <c r="T1252">
        <f t="shared" si="121"/>
        <v>1251</v>
      </c>
      <c r="U1252">
        <f t="shared" si="122"/>
        <v>0</v>
      </c>
      <c r="V1252" t="str">
        <f t="shared" si="119"/>
        <v xml:space="preserve"> </v>
      </c>
      <c r="Y1252" s="162" t="e">
        <f>VLOOKUP(B1252,Crewlist!AS:AU,3,FALSE)</f>
        <v>#N/A</v>
      </c>
      <c r="Z1252" s="163">
        <f t="shared" si="118"/>
        <v>0</v>
      </c>
    </row>
    <row r="1253" spans="2:26">
      <c r="B1253" s="202">
        <v>1252</v>
      </c>
      <c r="C1253" s="169"/>
      <c r="N1253" s="201">
        <v>0</v>
      </c>
      <c r="Q1253">
        <f t="shared" si="120"/>
        <v>0</v>
      </c>
      <c r="R1253">
        <f t="shared" si="117"/>
        <v>1251</v>
      </c>
      <c r="S1253">
        <f>IFERROR(SEARCH(Crewlist!$P$5,V1253)+ROW()/100000,"")</f>
        <v>1.0125299999999999</v>
      </c>
      <c r="T1253">
        <f t="shared" si="121"/>
        <v>1252</v>
      </c>
      <c r="U1253">
        <f t="shared" si="122"/>
        <v>0</v>
      </c>
      <c r="V1253" t="str">
        <f t="shared" si="119"/>
        <v xml:space="preserve"> </v>
      </c>
      <c r="Y1253" s="162" t="e">
        <f>VLOOKUP(B1253,Crewlist!AS:AU,3,FALSE)</f>
        <v>#N/A</v>
      </c>
      <c r="Z1253" s="163">
        <f t="shared" si="118"/>
        <v>0</v>
      </c>
    </row>
    <row r="1254" spans="2:26">
      <c r="B1254" s="171">
        <v>1253</v>
      </c>
      <c r="C1254" s="169"/>
      <c r="N1254" s="201">
        <v>0</v>
      </c>
      <c r="Q1254">
        <f t="shared" si="120"/>
        <v>0</v>
      </c>
      <c r="R1254">
        <f t="shared" si="117"/>
        <v>1252</v>
      </c>
      <c r="S1254">
        <f>IFERROR(SEARCH(Crewlist!$P$5,V1254)+ROW()/100000,"")</f>
        <v>1.01254</v>
      </c>
      <c r="T1254">
        <f t="shared" si="121"/>
        <v>1253</v>
      </c>
      <c r="U1254">
        <f t="shared" si="122"/>
        <v>0</v>
      </c>
      <c r="V1254" t="str">
        <f t="shared" si="119"/>
        <v xml:space="preserve"> </v>
      </c>
      <c r="Y1254" s="162" t="e">
        <f>VLOOKUP(B1254,Crewlist!AS:AU,3,FALSE)</f>
        <v>#N/A</v>
      </c>
      <c r="Z1254" s="163">
        <f t="shared" si="118"/>
        <v>0</v>
      </c>
    </row>
    <row r="1255" spans="2:26">
      <c r="B1255" s="171">
        <v>1254</v>
      </c>
      <c r="C1255" s="169"/>
      <c r="N1255" s="201">
        <v>0</v>
      </c>
      <c r="Q1255">
        <f t="shared" si="120"/>
        <v>0</v>
      </c>
      <c r="R1255">
        <f t="shared" si="117"/>
        <v>1253</v>
      </c>
      <c r="S1255">
        <f>IFERROR(SEARCH(Crewlist!$P$5,V1255)+ROW()/100000,"")</f>
        <v>1.0125500000000001</v>
      </c>
      <c r="T1255">
        <f t="shared" si="121"/>
        <v>1254</v>
      </c>
      <c r="U1255">
        <f t="shared" si="122"/>
        <v>0</v>
      </c>
      <c r="V1255" t="str">
        <f t="shared" si="119"/>
        <v xml:space="preserve"> </v>
      </c>
      <c r="Y1255" s="162" t="e">
        <f>VLOOKUP(B1255,Crewlist!AS:AU,3,FALSE)</f>
        <v>#N/A</v>
      </c>
      <c r="Z1255" s="163">
        <f t="shared" si="118"/>
        <v>0</v>
      </c>
    </row>
    <row r="1256" spans="2:26">
      <c r="B1256" s="202">
        <v>1255</v>
      </c>
      <c r="C1256" s="169"/>
      <c r="N1256" s="201">
        <v>0</v>
      </c>
      <c r="Q1256">
        <f t="shared" si="120"/>
        <v>0</v>
      </c>
      <c r="R1256">
        <f t="shared" si="117"/>
        <v>1254</v>
      </c>
      <c r="S1256">
        <f>IFERROR(SEARCH(Crewlist!$P$5,V1256)+ROW()/100000,"")</f>
        <v>1.0125599999999999</v>
      </c>
      <c r="T1256">
        <f t="shared" si="121"/>
        <v>1255</v>
      </c>
      <c r="U1256">
        <f t="shared" si="122"/>
        <v>0</v>
      </c>
      <c r="V1256" t="str">
        <f t="shared" si="119"/>
        <v xml:space="preserve"> </v>
      </c>
      <c r="Y1256" s="162" t="e">
        <f>VLOOKUP(B1256,Crewlist!AS:AU,3,FALSE)</f>
        <v>#N/A</v>
      </c>
      <c r="Z1256" s="163">
        <f t="shared" si="118"/>
        <v>0</v>
      </c>
    </row>
    <row r="1257" spans="2:26">
      <c r="B1257" s="171">
        <v>1256</v>
      </c>
      <c r="C1257" s="169"/>
      <c r="N1257" s="201">
        <v>0</v>
      </c>
      <c r="Q1257">
        <f t="shared" si="120"/>
        <v>0</v>
      </c>
      <c r="R1257">
        <f t="shared" si="117"/>
        <v>1255</v>
      </c>
      <c r="S1257">
        <f>IFERROR(SEARCH(Crewlist!$P$5,V1257)+ROW()/100000,"")</f>
        <v>1.01257</v>
      </c>
      <c r="T1257">
        <f t="shared" si="121"/>
        <v>1256</v>
      </c>
      <c r="U1257">
        <f t="shared" si="122"/>
        <v>0</v>
      </c>
      <c r="V1257" t="str">
        <f t="shared" si="119"/>
        <v xml:space="preserve"> </v>
      </c>
      <c r="Y1257" s="162" t="e">
        <f>VLOOKUP(B1257,Crewlist!AS:AU,3,FALSE)</f>
        <v>#N/A</v>
      </c>
      <c r="Z1257" s="163">
        <f t="shared" si="118"/>
        <v>0</v>
      </c>
    </row>
    <row r="1258" spans="2:26">
      <c r="B1258" s="171">
        <v>1257</v>
      </c>
      <c r="C1258" s="169"/>
      <c r="N1258" s="201">
        <v>0</v>
      </c>
      <c r="Q1258">
        <f t="shared" si="120"/>
        <v>0</v>
      </c>
      <c r="R1258">
        <f t="shared" si="117"/>
        <v>1256</v>
      </c>
      <c r="S1258">
        <f>IFERROR(SEARCH(Crewlist!$P$5,V1258)+ROW()/100000,"")</f>
        <v>1.01258</v>
      </c>
      <c r="T1258">
        <f t="shared" si="121"/>
        <v>1257</v>
      </c>
      <c r="U1258">
        <f t="shared" si="122"/>
        <v>0</v>
      </c>
      <c r="V1258" t="str">
        <f t="shared" si="119"/>
        <v xml:space="preserve"> </v>
      </c>
      <c r="Y1258" s="162" t="e">
        <f>VLOOKUP(B1258,Crewlist!AS:AU,3,FALSE)</f>
        <v>#N/A</v>
      </c>
      <c r="Z1258" s="163">
        <f t="shared" si="118"/>
        <v>0</v>
      </c>
    </row>
    <row r="1259" spans="2:26">
      <c r="B1259" s="202">
        <v>1258</v>
      </c>
      <c r="C1259" s="169"/>
      <c r="N1259" s="201">
        <v>0</v>
      </c>
      <c r="Q1259">
        <f t="shared" si="120"/>
        <v>0</v>
      </c>
      <c r="R1259">
        <f t="shared" si="117"/>
        <v>1257</v>
      </c>
      <c r="S1259">
        <f>IFERROR(SEARCH(Crewlist!$P$5,V1259)+ROW()/100000,"")</f>
        <v>1.0125900000000001</v>
      </c>
      <c r="T1259">
        <f t="shared" si="121"/>
        <v>1258</v>
      </c>
      <c r="U1259">
        <f t="shared" si="122"/>
        <v>0</v>
      </c>
      <c r="V1259" t="str">
        <f t="shared" si="119"/>
        <v xml:space="preserve"> </v>
      </c>
      <c r="Y1259" s="162" t="e">
        <f>VLOOKUP(B1259,Crewlist!AS:AU,3,FALSE)</f>
        <v>#N/A</v>
      </c>
      <c r="Z1259" s="163">
        <f t="shared" si="118"/>
        <v>0</v>
      </c>
    </row>
    <row r="1260" spans="2:26">
      <c r="B1260" s="171">
        <v>1259</v>
      </c>
      <c r="C1260" s="169"/>
      <c r="N1260" s="201">
        <v>0</v>
      </c>
      <c r="Q1260">
        <f t="shared" si="120"/>
        <v>0</v>
      </c>
      <c r="R1260">
        <f t="shared" si="117"/>
        <v>1258</v>
      </c>
      <c r="S1260">
        <f>IFERROR(SEARCH(Crewlist!$P$5,V1260)+ROW()/100000,"")</f>
        <v>1.0125999999999999</v>
      </c>
      <c r="T1260">
        <f t="shared" si="121"/>
        <v>1259</v>
      </c>
      <c r="U1260">
        <f t="shared" si="122"/>
        <v>0</v>
      </c>
      <c r="V1260" t="str">
        <f t="shared" si="119"/>
        <v xml:space="preserve"> </v>
      </c>
      <c r="Y1260" s="162" t="e">
        <f>VLOOKUP(B1260,Crewlist!AS:AU,3,FALSE)</f>
        <v>#N/A</v>
      </c>
      <c r="Z1260" s="163">
        <f t="shared" si="118"/>
        <v>0</v>
      </c>
    </row>
    <row r="1261" spans="2:26">
      <c r="B1261" s="171">
        <v>1260</v>
      </c>
      <c r="C1261" s="169"/>
      <c r="N1261" s="201">
        <v>0</v>
      </c>
      <c r="Q1261">
        <f t="shared" si="120"/>
        <v>0</v>
      </c>
      <c r="R1261">
        <f t="shared" si="117"/>
        <v>1259</v>
      </c>
      <c r="S1261">
        <f>IFERROR(SEARCH(Crewlist!$P$5,V1261)+ROW()/100000,"")</f>
        <v>1.01261</v>
      </c>
      <c r="T1261">
        <f t="shared" si="121"/>
        <v>1260</v>
      </c>
      <c r="U1261">
        <f t="shared" si="122"/>
        <v>0</v>
      </c>
      <c r="V1261" t="str">
        <f t="shared" si="119"/>
        <v xml:space="preserve"> </v>
      </c>
      <c r="Y1261" s="162" t="e">
        <f>VLOOKUP(B1261,Crewlist!AS:AU,3,FALSE)</f>
        <v>#N/A</v>
      </c>
      <c r="Z1261" s="163">
        <f t="shared" si="118"/>
        <v>0</v>
      </c>
    </row>
    <row r="1262" spans="2:26">
      <c r="B1262" s="202">
        <v>1261</v>
      </c>
      <c r="C1262" s="169"/>
      <c r="N1262" s="201">
        <v>0</v>
      </c>
      <c r="Q1262">
        <f t="shared" si="120"/>
        <v>0</v>
      </c>
      <c r="R1262">
        <f t="shared" si="117"/>
        <v>1260</v>
      </c>
      <c r="S1262">
        <f>IFERROR(SEARCH(Crewlist!$P$5,V1262)+ROW()/100000,"")</f>
        <v>1.0126200000000001</v>
      </c>
      <c r="T1262">
        <f t="shared" si="121"/>
        <v>1261</v>
      </c>
      <c r="U1262">
        <f t="shared" si="122"/>
        <v>0</v>
      </c>
      <c r="V1262" t="str">
        <f t="shared" si="119"/>
        <v xml:space="preserve"> </v>
      </c>
      <c r="Y1262" s="162" t="e">
        <f>VLOOKUP(B1262,Crewlist!AS:AU,3,FALSE)</f>
        <v>#N/A</v>
      </c>
      <c r="Z1262" s="163">
        <f t="shared" si="118"/>
        <v>0</v>
      </c>
    </row>
    <row r="1263" spans="2:26">
      <c r="B1263" s="171">
        <v>1262</v>
      </c>
      <c r="C1263" s="169"/>
      <c r="N1263" s="201">
        <v>0</v>
      </c>
      <c r="Q1263">
        <f t="shared" si="120"/>
        <v>0</v>
      </c>
      <c r="R1263">
        <f t="shared" si="117"/>
        <v>1261</v>
      </c>
      <c r="S1263">
        <f>IFERROR(SEARCH(Crewlist!$P$5,V1263)+ROW()/100000,"")</f>
        <v>1.0126299999999999</v>
      </c>
      <c r="T1263">
        <f t="shared" si="121"/>
        <v>1262</v>
      </c>
      <c r="U1263">
        <f t="shared" si="122"/>
        <v>0</v>
      </c>
      <c r="V1263" t="str">
        <f t="shared" si="119"/>
        <v xml:space="preserve"> </v>
      </c>
      <c r="Y1263" s="162" t="e">
        <f>VLOOKUP(B1263,Crewlist!AS:AU,3,FALSE)</f>
        <v>#N/A</v>
      </c>
      <c r="Z1263" s="163">
        <f t="shared" si="118"/>
        <v>0</v>
      </c>
    </row>
    <row r="1264" spans="2:26">
      <c r="B1264" s="171">
        <v>1263</v>
      </c>
      <c r="C1264" s="169"/>
      <c r="N1264" s="201">
        <v>0</v>
      </c>
      <c r="Q1264">
        <f t="shared" si="120"/>
        <v>0</v>
      </c>
      <c r="R1264">
        <f t="shared" si="117"/>
        <v>1262</v>
      </c>
      <c r="S1264">
        <f>IFERROR(SEARCH(Crewlist!$P$5,V1264)+ROW()/100000,"")</f>
        <v>1.01264</v>
      </c>
      <c r="T1264">
        <f t="shared" si="121"/>
        <v>1263</v>
      </c>
      <c r="U1264">
        <f t="shared" si="122"/>
        <v>0</v>
      </c>
      <c r="V1264" t="str">
        <f t="shared" si="119"/>
        <v xml:space="preserve"> </v>
      </c>
      <c r="Y1264" s="162" t="e">
        <f>VLOOKUP(B1264,Crewlist!AS:AU,3,FALSE)</f>
        <v>#N/A</v>
      </c>
      <c r="Z1264" s="163">
        <f t="shared" si="118"/>
        <v>0</v>
      </c>
    </row>
    <row r="1265" spans="2:26">
      <c r="B1265" s="202">
        <v>1264</v>
      </c>
      <c r="C1265" s="169"/>
      <c r="N1265" s="201">
        <v>0</v>
      </c>
      <c r="Q1265">
        <f t="shared" si="120"/>
        <v>0</v>
      </c>
      <c r="R1265">
        <f t="shared" si="117"/>
        <v>1263</v>
      </c>
      <c r="S1265">
        <f>IFERROR(SEARCH(Crewlist!$P$5,V1265)+ROW()/100000,"")</f>
        <v>1.0126500000000001</v>
      </c>
      <c r="T1265">
        <f t="shared" si="121"/>
        <v>1264</v>
      </c>
      <c r="U1265">
        <f t="shared" si="122"/>
        <v>0</v>
      </c>
      <c r="V1265" t="str">
        <f t="shared" si="119"/>
        <v xml:space="preserve"> </v>
      </c>
      <c r="Y1265" s="162" t="e">
        <f>VLOOKUP(B1265,Crewlist!AS:AU,3,FALSE)</f>
        <v>#N/A</v>
      </c>
      <c r="Z1265" s="163">
        <f t="shared" si="118"/>
        <v>0</v>
      </c>
    </row>
    <row r="1266" spans="2:26">
      <c r="B1266" s="171">
        <v>1265</v>
      </c>
      <c r="C1266" s="169"/>
      <c r="N1266" s="201">
        <v>0</v>
      </c>
      <c r="Q1266">
        <f t="shared" si="120"/>
        <v>0</v>
      </c>
      <c r="R1266">
        <f t="shared" si="117"/>
        <v>1264</v>
      </c>
      <c r="S1266">
        <f>IFERROR(SEARCH(Crewlist!$P$5,V1266)+ROW()/100000,"")</f>
        <v>1.0126599999999999</v>
      </c>
      <c r="T1266">
        <f t="shared" si="121"/>
        <v>1265</v>
      </c>
      <c r="U1266">
        <f t="shared" si="122"/>
        <v>0</v>
      </c>
      <c r="V1266" t="str">
        <f t="shared" si="119"/>
        <v xml:space="preserve"> </v>
      </c>
      <c r="Y1266" s="162" t="e">
        <f>VLOOKUP(B1266,Crewlist!AS:AU,3,FALSE)</f>
        <v>#N/A</v>
      </c>
      <c r="Z1266" s="163">
        <f t="shared" si="118"/>
        <v>0</v>
      </c>
    </row>
    <row r="1267" spans="2:26">
      <c r="B1267" s="171">
        <v>1266</v>
      </c>
      <c r="C1267" s="169"/>
      <c r="N1267" s="201">
        <v>0</v>
      </c>
      <c r="Q1267">
        <f t="shared" si="120"/>
        <v>0</v>
      </c>
      <c r="R1267">
        <f t="shared" si="117"/>
        <v>1265</v>
      </c>
      <c r="S1267">
        <f>IFERROR(SEARCH(Crewlist!$P$5,V1267)+ROW()/100000,"")</f>
        <v>1.01267</v>
      </c>
      <c r="T1267">
        <f t="shared" si="121"/>
        <v>1266</v>
      </c>
      <c r="U1267">
        <f t="shared" si="122"/>
        <v>0</v>
      </c>
      <c r="V1267" t="str">
        <f t="shared" si="119"/>
        <v xml:space="preserve"> </v>
      </c>
      <c r="Y1267" s="162" t="e">
        <f>VLOOKUP(B1267,Crewlist!AS:AU,3,FALSE)</f>
        <v>#N/A</v>
      </c>
      <c r="Z1267" s="163">
        <f t="shared" si="118"/>
        <v>0</v>
      </c>
    </row>
    <row r="1268" spans="2:26">
      <c r="B1268" s="202">
        <v>1267</v>
      </c>
      <c r="C1268" s="169"/>
      <c r="N1268" s="201">
        <v>0</v>
      </c>
      <c r="Q1268">
        <f t="shared" si="120"/>
        <v>0</v>
      </c>
      <c r="R1268">
        <f t="shared" si="117"/>
        <v>1266</v>
      </c>
      <c r="S1268">
        <f>IFERROR(SEARCH(Crewlist!$P$5,V1268)+ROW()/100000,"")</f>
        <v>1.01268</v>
      </c>
      <c r="T1268">
        <f t="shared" si="121"/>
        <v>1267</v>
      </c>
      <c r="U1268">
        <f t="shared" si="122"/>
        <v>0</v>
      </c>
      <c r="V1268" t="str">
        <f t="shared" si="119"/>
        <v xml:space="preserve"> </v>
      </c>
      <c r="Y1268" s="162" t="e">
        <f>VLOOKUP(B1268,Crewlist!AS:AU,3,FALSE)</f>
        <v>#N/A</v>
      </c>
      <c r="Z1268" s="163">
        <f t="shared" si="118"/>
        <v>0</v>
      </c>
    </row>
    <row r="1269" spans="2:26">
      <c r="B1269" s="171">
        <v>1268</v>
      </c>
      <c r="C1269" s="169"/>
      <c r="N1269" s="201">
        <v>0</v>
      </c>
      <c r="Q1269">
        <f t="shared" si="120"/>
        <v>0</v>
      </c>
      <c r="R1269">
        <f t="shared" si="117"/>
        <v>1267</v>
      </c>
      <c r="S1269">
        <f>IFERROR(SEARCH(Crewlist!$P$5,V1269)+ROW()/100000,"")</f>
        <v>1.0126900000000001</v>
      </c>
      <c r="T1269">
        <f t="shared" si="121"/>
        <v>1268</v>
      </c>
      <c r="U1269">
        <f t="shared" si="122"/>
        <v>0</v>
      </c>
      <c r="V1269" t="str">
        <f t="shared" si="119"/>
        <v xml:space="preserve"> </v>
      </c>
      <c r="Y1269" s="162" t="e">
        <f>VLOOKUP(B1269,Crewlist!AS:AU,3,FALSE)</f>
        <v>#N/A</v>
      </c>
      <c r="Z1269" s="163">
        <f t="shared" si="118"/>
        <v>0</v>
      </c>
    </row>
    <row r="1270" spans="2:26">
      <c r="B1270" s="171">
        <v>1269</v>
      </c>
      <c r="C1270" s="169"/>
      <c r="N1270" s="201">
        <v>0</v>
      </c>
      <c r="Q1270">
        <f t="shared" si="120"/>
        <v>0</v>
      </c>
      <c r="R1270">
        <f t="shared" si="117"/>
        <v>1268</v>
      </c>
      <c r="S1270">
        <f>IFERROR(SEARCH(Crewlist!$P$5,V1270)+ROW()/100000,"")</f>
        <v>1.0126999999999999</v>
      </c>
      <c r="T1270">
        <f t="shared" si="121"/>
        <v>1269</v>
      </c>
      <c r="U1270">
        <f t="shared" si="122"/>
        <v>0</v>
      </c>
      <c r="V1270" t="str">
        <f t="shared" si="119"/>
        <v xml:space="preserve"> </v>
      </c>
      <c r="Y1270" s="162" t="e">
        <f>VLOOKUP(B1270,Crewlist!AS:AU,3,FALSE)</f>
        <v>#N/A</v>
      </c>
      <c r="Z1270" s="163">
        <f t="shared" si="118"/>
        <v>0</v>
      </c>
    </row>
    <row r="1271" spans="2:26">
      <c r="B1271" s="202">
        <v>1270</v>
      </c>
      <c r="C1271" s="169"/>
      <c r="N1271" s="201">
        <v>0</v>
      </c>
      <c r="Q1271">
        <f t="shared" si="120"/>
        <v>0</v>
      </c>
      <c r="R1271">
        <f t="shared" si="117"/>
        <v>1269</v>
      </c>
      <c r="S1271">
        <f>IFERROR(SEARCH(Crewlist!$P$5,V1271)+ROW()/100000,"")</f>
        <v>1.01271</v>
      </c>
      <c r="T1271">
        <f t="shared" si="121"/>
        <v>1270</v>
      </c>
      <c r="U1271">
        <f t="shared" si="122"/>
        <v>0</v>
      </c>
      <c r="V1271" t="str">
        <f t="shared" si="119"/>
        <v xml:space="preserve"> </v>
      </c>
      <c r="Y1271" s="162" t="e">
        <f>VLOOKUP(B1271,Crewlist!AS:AU,3,FALSE)</f>
        <v>#N/A</v>
      </c>
      <c r="Z1271" s="163">
        <f t="shared" si="118"/>
        <v>0</v>
      </c>
    </row>
    <row r="1272" spans="2:26">
      <c r="B1272" s="171">
        <v>1271</v>
      </c>
      <c r="C1272" s="169"/>
      <c r="N1272" s="201">
        <v>0</v>
      </c>
      <c r="Q1272">
        <f t="shared" si="120"/>
        <v>0</v>
      </c>
      <c r="R1272">
        <f t="shared" si="117"/>
        <v>1270</v>
      </c>
      <c r="S1272">
        <f>IFERROR(SEARCH(Crewlist!$P$5,V1272)+ROW()/100000,"")</f>
        <v>1.0127200000000001</v>
      </c>
      <c r="T1272">
        <f t="shared" si="121"/>
        <v>1271</v>
      </c>
      <c r="U1272">
        <f t="shared" si="122"/>
        <v>0</v>
      </c>
      <c r="V1272" t="str">
        <f t="shared" si="119"/>
        <v xml:space="preserve"> </v>
      </c>
      <c r="Y1272" s="162" t="e">
        <f>VLOOKUP(B1272,Crewlist!AS:AU,3,FALSE)</f>
        <v>#N/A</v>
      </c>
      <c r="Z1272" s="163">
        <f t="shared" si="118"/>
        <v>0</v>
      </c>
    </row>
    <row r="1273" spans="2:26">
      <c r="B1273" s="171">
        <v>1272</v>
      </c>
      <c r="C1273" s="169"/>
      <c r="N1273" s="201">
        <v>0</v>
      </c>
      <c r="Q1273">
        <f t="shared" si="120"/>
        <v>0</v>
      </c>
      <c r="R1273">
        <f t="shared" si="117"/>
        <v>1271</v>
      </c>
      <c r="S1273">
        <f>IFERROR(SEARCH(Crewlist!$P$5,V1273)+ROW()/100000,"")</f>
        <v>1.0127299999999999</v>
      </c>
      <c r="T1273">
        <f t="shared" si="121"/>
        <v>1272</v>
      </c>
      <c r="U1273">
        <f t="shared" si="122"/>
        <v>0</v>
      </c>
      <c r="V1273" t="str">
        <f t="shared" si="119"/>
        <v xml:space="preserve"> </v>
      </c>
      <c r="Y1273" s="162" t="e">
        <f>VLOOKUP(B1273,Crewlist!AS:AU,3,FALSE)</f>
        <v>#N/A</v>
      </c>
      <c r="Z1273" s="163">
        <f t="shared" si="118"/>
        <v>0</v>
      </c>
    </row>
    <row r="1274" spans="2:26">
      <c r="B1274" s="202">
        <v>1273</v>
      </c>
      <c r="C1274" s="169"/>
      <c r="N1274" s="201">
        <v>0</v>
      </c>
      <c r="Q1274">
        <f t="shared" si="120"/>
        <v>0</v>
      </c>
      <c r="R1274">
        <f t="shared" si="117"/>
        <v>1272</v>
      </c>
      <c r="S1274">
        <f>IFERROR(SEARCH(Crewlist!$P$5,V1274)+ROW()/100000,"")</f>
        <v>1.01274</v>
      </c>
      <c r="T1274">
        <f t="shared" si="121"/>
        <v>1273</v>
      </c>
      <c r="U1274">
        <f t="shared" si="122"/>
        <v>0</v>
      </c>
      <c r="V1274" t="str">
        <f t="shared" si="119"/>
        <v xml:space="preserve"> </v>
      </c>
      <c r="Y1274" s="162" t="e">
        <f>VLOOKUP(B1274,Crewlist!AS:AU,3,FALSE)</f>
        <v>#N/A</v>
      </c>
      <c r="Z1274" s="163">
        <f t="shared" si="118"/>
        <v>0</v>
      </c>
    </row>
    <row r="1275" spans="2:26">
      <c r="B1275" s="171">
        <v>1274</v>
      </c>
      <c r="C1275" s="169"/>
      <c r="N1275" s="201">
        <v>0</v>
      </c>
      <c r="Q1275">
        <f t="shared" si="120"/>
        <v>0</v>
      </c>
      <c r="R1275">
        <f t="shared" si="117"/>
        <v>1273</v>
      </c>
      <c r="S1275">
        <f>IFERROR(SEARCH(Crewlist!$P$5,V1275)+ROW()/100000,"")</f>
        <v>1.01275</v>
      </c>
      <c r="T1275">
        <f t="shared" si="121"/>
        <v>1274</v>
      </c>
      <c r="U1275">
        <f t="shared" si="122"/>
        <v>0</v>
      </c>
      <c r="V1275" t="str">
        <f t="shared" si="119"/>
        <v xml:space="preserve"> </v>
      </c>
      <c r="Y1275" s="162" t="e">
        <f>VLOOKUP(B1275,Crewlist!AS:AU,3,FALSE)</f>
        <v>#N/A</v>
      </c>
      <c r="Z1275" s="163">
        <f t="shared" si="118"/>
        <v>0</v>
      </c>
    </row>
    <row r="1276" spans="2:26">
      <c r="B1276" s="171">
        <v>1275</v>
      </c>
      <c r="C1276" s="169"/>
      <c r="N1276" s="201">
        <v>0</v>
      </c>
      <c r="Q1276">
        <f t="shared" si="120"/>
        <v>0</v>
      </c>
      <c r="R1276">
        <f t="shared" si="117"/>
        <v>1274</v>
      </c>
      <c r="S1276">
        <f>IFERROR(SEARCH(Crewlist!$P$5,V1276)+ROW()/100000,"")</f>
        <v>1.0127600000000001</v>
      </c>
      <c r="T1276">
        <f t="shared" si="121"/>
        <v>1275</v>
      </c>
      <c r="U1276">
        <f t="shared" si="122"/>
        <v>0</v>
      </c>
      <c r="V1276" t="str">
        <f t="shared" si="119"/>
        <v xml:space="preserve"> </v>
      </c>
      <c r="Y1276" s="162" t="e">
        <f>VLOOKUP(B1276,Crewlist!AS:AU,3,FALSE)</f>
        <v>#N/A</v>
      </c>
      <c r="Z1276" s="163">
        <f t="shared" si="118"/>
        <v>0</v>
      </c>
    </row>
    <row r="1277" spans="2:26">
      <c r="B1277" s="202">
        <v>1276</v>
      </c>
      <c r="C1277" s="169"/>
      <c r="N1277" s="201">
        <v>0</v>
      </c>
      <c r="Q1277">
        <f t="shared" si="120"/>
        <v>0</v>
      </c>
      <c r="R1277">
        <f t="shared" si="117"/>
        <v>1275</v>
      </c>
      <c r="S1277">
        <f>IFERROR(SEARCH(Crewlist!$P$5,V1277)+ROW()/100000,"")</f>
        <v>1.0127699999999999</v>
      </c>
      <c r="T1277">
        <f t="shared" si="121"/>
        <v>1276</v>
      </c>
      <c r="U1277">
        <f t="shared" si="122"/>
        <v>0</v>
      </c>
      <c r="V1277" t="str">
        <f t="shared" si="119"/>
        <v xml:space="preserve"> </v>
      </c>
      <c r="Y1277" s="162" t="e">
        <f>VLOOKUP(B1277,Crewlist!AS:AU,3,FALSE)</f>
        <v>#N/A</v>
      </c>
      <c r="Z1277" s="163">
        <f t="shared" si="118"/>
        <v>0</v>
      </c>
    </row>
    <row r="1278" spans="2:26">
      <c r="B1278" s="171">
        <v>1277</v>
      </c>
      <c r="C1278" s="169"/>
      <c r="N1278" s="201">
        <v>0</v>
      </c>
      <c r="Q1278">
        <f t="shared" si="120"/>
        <v>0</v>
      </c>
      <c r="R1278">
        <f t="shared" si="117"/>
        <v>1276</v>
      </c>
      <c r="S1278">
        <f>IFERROR(SEARCH(Crewlist!$P$5,V1278)+ROW()/100000,"")</f>
        <v>1.01278</v>
      </c>
      <c r="T1278">
        <f t="shared" si="121"/>
        <v>1277</v>
      </c>
      <c r="U1278">
        <f t="shared" si="122"/>
        <v>0</v>
      </c>
      <c r="V1278" t="str">
        <f t="shared" si="119"/>
        <v xml:space="preserve"> </v>
      </c>
      <c r="Y1278" s="162" t="e">
        <f>VLOOKUP(B1278,Crewlist!AS:AU,3,FALSE)</f>
        <v>#N/A</v>
      </c>
      <c r="Z1278" s="163">
        <f t="shared" si="118"/>
        <v>0</v>
      </c>
    </row>
    <row r="1279" spans="2:26">
      <c r="B1279" s="171">
        <v>1278</v>
      </c>
      <c r="C1279" s="169"/>
      <c r="N1279" s="201">
        <v>0</v>
      </c>
      <c r="Q1279">
        <f t="shared" si="120"/>
        <v>0</v>
      </c>
      <c r="R1279">
        <f t="shared" si="117"/>
        <v>1277</v>
      </c>
      <c r="S1279">
        <f>IFERROR(SEARCH(Crewlist!$P$5,V1279)+ROW()/100000,"")</f>
        <v>1.0127900000000001</v>
      </c>
      <c r="T1279">
        <f t="shared" si="121"/>
        <v>1278</v>
      </c>
      <c r="U1279">
        <f t="shared" si="122"/>
        <v>0</v>
      </c>
      <c r="V1279" t="str">
        <f t="shared" si="119"/>
        <v xml:space="preserve"> </v>
      </c>
      <c r="Y1279" s="162" t="e">
        <f>VLOOKUP(B1279,Crewlist!AS:AU,3,FALSE)</f>
        <v>#N/A</v>
      </c>
      <c r="Z1279" s="163">
        <f t="shared" si="118"/>
        <v>0</v>
      </c>
    </row>
    <row r="1280" spans="2:26">
      <c r="B1280" s="202">
        <v>1279</v>
      </c>
      <c r="C1280" s="169"/>
      <c r="N1280" s="201">
        <v>0</v>
      </c>
      <c r="Q1280">
        <f t="shared" si="120"/>
        <v>0</v>
      </c>
      <c r="R1280">
        <f t="shared" si="117"/>
        <v>1278</v>
      </c>
      <c r="S1280">
        <f>IFERROR(SEARCH(Crewlist!$P$5,V1280)+ROW()/100000,"")</f>
        <v>1.0127999999999999</v>
      </c>
      <c r="T1280">
        <f t="shared" si="121"/>
        <v>1279</v>
      </c>
      <c r="U1280">
        <f t="shared" si="122"/>
        <v>0</v>
      </c>
      <c r="V1280" t="str">
        <f t="shared" si="119"/>
        <v xml:space="preserve"> </v>
      </c>
      <c r="Y1280" s="162" t="e">
        <f>VLOOKUP(B1280,Crewlist!AS:AU,3,FALSE)</f>
        <v>#N/A</v>
      </c>
      <c r="Z1280" s="163">
        <f t="shared" si="118"/>
        <v>0</v>
      </c>
    </row>
    <row r="1281" spans="2:26">
      <c r="B1281" s="171">
        <v>1280</v>
      </c>
      <c r="C1281" s="169"/>
      <c r="N1281" s="201">
        <v>0</v>
      </c>
      <c r="Q1281">
        <f t="shared" si="120"/>
        <v>0</v>
      </c>
      <c r="R1281">
        <f t="shared" si="117"/>
        <v>1279</v>
      </c>
      <c r="S1281">
        <f>IFERROR(SEARCH(Crewlist!$P$5,V1281)+ROW()/100000,"")</f>
        <v>1.01281</v>
      </c>
      <c r="T1281">
        <f t="shared" si="121"/>
        <v>1280</v>
      </c>
      <c r="U1281">
        <f t="shared" si="122"/>
        <v>0</v>
      </c>
      <c r="V1281" t="str">
        <f t="shared" si="119"/>
        <v xml:space="preserve"> </v>
      </c>
      <c r="Y1281" s="162" t="e">
        <f>VLOOKUP(B1281,Crewlist!AS:AU,3,FALSE)</f>
        <v>#N/A</v>
      </c>
      <c r="Z1281" s="163">
        <f t="shared" si="118"/>
        <v>0</v>
      </c>
    </row>
    <row r="1282" spans="2:26">
      <c r="B1282" s="171">
        <v>1281</v>
      </c>
      <c r="C1282" s="169"/>
      <c r="N1282" s="201">
        <v>0</v>
      </c>
      <c r="Q1282">
        <f t="shared" si="120"/>
        <v>0</v>
      </c>
      <c r="R1282">
        <f t="shared" ref="R1282:R1345" si="123">IFERROR(RANK(S1282,$S$2:$S$1998,1),"")</f>
        <v>1280</v>
      </c>
      <c r="S1282">
        <f>IFERROR(SEARCH(Crewlist!$P$5,V1282)+ROW()/100000,"")</f>
        <v>1.0128200000000001</v>
      </c>
      <c r="T1282">
        <f t="shared" si="121"/>
        <v>1281</v>
      </c>
      <c r="U1282">
        <f t="shared" si="122"/>
        <v>0</v>
      </c>
      <c r="V1282" t="str">
        <f t="shared" si="119"/>
        <v xml:space="preserve"> </v>
      </c>
      <c r="Y1282" s="162" t="e">
        <f>VLOOKUP(B1282,Crewlist!AS:AU,3,FALSE)</f>
        <v>#N/A</v>
      </c>
      <c r="Z1282" s="163">
        <f t="shared" ref="Z1282:Z1345" si="124">IF(ISNUMBER(SEARCH("",Y1282)),Y1282,N1282)</f>
        <v>0</v>
      </c>
    </row>
    <row r="1283" spans="2:26">
      <c r="B1283" s="202">
        <v>1282</v>
      </c>
      <c r="C1283" s="169"/>
      <c r="N1283" s="201">
        <v>0</v>
      </c>
      <c r="Q1283">
        <f t="shared" si="120"/>
        <v>0</v>
      </c>
      <c r="R1283">
        <f t="shared" si="123"/>
        <v>1281</v>
      </c>
      <c r="S1283">
        <f>IFERROR(SEARCH(Crewlist!$P$5,V1283)+ROW()/100000,"")</f>
        <v>1.0128299999999999</v>
      </c>
      <c r="T1283">
        <f t="shared" si="121"/>
        <v>1282</v>
      </c>
      <c r="U1283">
        <f t="shared" si="122"/>
        <v>0</v>
      </c>
      <c r="V1283" t="str">
        <f t="shared" ref="V1283:V1346" si="125">CONCATENATE(C1283," ",D1283)</f>
        <v xml:space="preserve"> </v>
      </c>
      <c r="Y1283" s="162" t="e">
        <f>VLOOKUP(B1283,Crewlist!AS:AU,3,FALSE)</f>
        <v>#N/A</v>
      </c>
      <c r="Z1283" s="163">
        <f t="shared" si="124"/>
        <v>0</v>
      </c>
    </row>
    <row r="1284" spans="2:26">
      <c r="B1284" s="171">
        <v>1283</v>
      </c>
      <c r="C1284" s="169"/>
      <c r="N1284" s="201">
        <v>0</v>
      </c>
      <c r="Q1284">
        <f t="shared" si="120"/>
        <v>0</v>
      </c>
      <c r="R1284">
        <f t="shared" si="123"/>
        <v>1282</v>
      </c>
      <c r="S1284">
        <f>IFERROR(SEARCH(Crewlist!$P$5,V1284)+ROW()/100000,"")</f>
        <v>1.01284</v>
      </c>
      <c r="T1284">
        <f t="shared" si="121"/>
        <v>1283</v>
      </c>
      <c r="U1284">
        <f t="shared" si="122"/>
        <v>0</v>
      </c>
      <c r="V1284" t="str">
        <f t="shared" si="125"/>
        <v xml:space="preserve"> </v>
      </c>
      <c r="Y1284" s="162" t="e">
        <f>VLOOKUP(B1284,Crewlist!AS:AU,3,FALSE)</f>
        <v>#N/A</v>
      </c>
      <c r="Z1284" s="163">
        <f t="shared" si="124"/>
        <v>0</v>
      </c>
    </row>
    <row r="1285" spans="2:26">
      <c r="B1285" s="171">
        <v>1284</v>
      </c>
      <c r="C1285" s="169"/>
      <c r="N1285" s="201">
        <v>0</v>
      </c>
      <c r="Q1285">
        <f t="shared" si="120"/>
        <v>0</v>
      </c>
      <c r="R1285">
        <f t="shared" si="123"/>
        <v>1283</v>
      </c>
      <c r="S1285">
        <f>IFERROR(SEARCH(Crewlist!$P$5,V1285)+ROW()/100000,"")</f>
        <v>1.01285</v>
      </c>
      <c r="T1285">
        <f t="shared" si="121"/>
        <v>1284</v>
      </c>
      <c r="U1285">
        <f t="shared" si="122"/>
        <v>0</v>
      </c>
      <c r="V1285" t="str">
        <f t="shared" si="125"/>
        <v xml:space="preserve"> </v>
      </c>
      <c r="Y1285" s="162" t="e">
        <f>VLOOKUP(B1285,Crewlist!AS:AU,3,FALSE)</f>
        <v>#N/A</v>
      </c>
      <c r="Z1285" s="163">
        <f t="shared" si="124"/>
        <v>0</v>
      </c>
    </row>
    <row r="1286" spans="2:26">
      <c r="B1286" s="202">
        <v>1285</v>
      </c>
      <c r="C1286" s="169"/>
      <c r="N1286" s="201">
        <v>0</v>
      </c>
      <c r="Q1286">
        <f t="shared" si="120"/>
        <v>0</v>
      </c>
      <c r="R1286">
        <f t="shared" si="123"/>
        <v>1284</v>
      </c>
      <c r="S1286">
        <f>IFERROR(SEARCH(Crewlist!$P$5,V1286)+ROW()/100000,"")</f>
        <v>1.0128600000000001</v>
      </c>
      <c r="T1286">
        <f t="shared" si="121"/>
        <v>1285</v>
      </c>
      <c r="U1286">
        <f t="shared" si="122"/>
        <v>0</v>
      </c>
      <c r="V1286" t="str">
        <f t="shared" si="125"/>
        <v xml:space="preserve"> </v>
      </c>
      <c r="Y1286" s="162" t="e">
        <f>VLOOKUP(B1286,Crewlist!AS:AU,3,FALSE)</f>
        <v>#N/A</v>
      </c>
      <c r="Z1286" s="163">
        <f t="shared" si="124"/>
        <v>0</v>
      </c>
    </row>
    <row r="1287" spans="2:26">
      <c r="B1287" s="171">
        <v>1286</v>
      </c>
      <c r="C1287" s="169"/>
      <c r="N1287" s="201">
        <v>0</v>
      </c>
      <c r="Q1287">
        <f t="shared" si="120"/>
        <v>0</v>
      </c>
      <c r="R1287">
        <f t="shared" si="123"/>
        <v>1285</v>
      </c>
      <c r="S1287">
        <f>IFERROR(SEARCH(Crewlist!$P$5,V1287)+ROW()/100000,"")</f>
        <v>1.0128699999999999</v>
      </c>
      <c r="T1287">
        <f t="shared" si="121"/>
        <v>1286</v>
      </c>
      <c r="U1287">
        <f t="shared" si="122"/>
        <v>0</v>
      </c>
      <c r="V1287" t="str">
        <f t="shared" si="125"/>
        <v xml:space="preserve"> </v>
      </c>
      <c r="Y1287" s="162" t="e">
        <f>VLOOKUP(B1287,Crewlist!AS:AU,3,FALSE)</f>
        <v>#N/A</v>
      </c>
      <c r="Z1287" s="163">
        <f t="shared" si="124"/>
        <v>0</v>
      </c>
    </row>
    <row r="1288" spans="2:26">
      <c r="B1288" s="171">
        <v>1287</v>
      </c>
      <c r="C1288" s="169"/>
      <c r="N1288" s="201">
        <v>0</v>
      </c>
      <c r="Q1288">
        <f t="shared" si="120"/>
        <v>0</v>
      </c>
      <c r="R1288">
        <f t="shared" si="123"/>
        <v>1286</v>
      </c>
      <c r="S1288">
        <f>IFERROR(SEARCH(Crewlist!$P$5,V1288)+ROW()/100000,"")</f>
        <v>1.01288</v>
      </c>
      <c r="T1288">
        <f t="shared" si="121"/>
        <v>1287</v>
      </c>
      <c r="U1288">
        <f t="shared" si="122"/>
        <v>0</v>
      </c>
      <c r="V1288" t="str">
        <f t="shared" si="125"/>
        <v xml:space="preserve"> </v>
      </c>
      <c r="Y1288" s="162" t="e">
        <f>VLOOKUP(B1288,Crewlist!AS:AU,3,FALSE)</f>
        <v>#N/A</v>
      </c>
      <c r="Z1288" s="163">
        <f t="shared" si="124"/>
        <v>0</v>
      </c>
    </row>
    <row r="1289" spans="2:26">
      <c r="B1289" s="202">
        <v>1288</v>
      </c>
      <c r="C1289" s="169"/>
      <c r="N1289" s="201">
        <v>0</v>
      </c>
      <c r="Q1289">
        <f t="shared" ref="Q1289:Q1352" si="126">IF(C1289&lt;&gt; "",B1289,0)</f>
        <v>0</v>
      </c>
      <c r="R1289">
        <f t="shared" si="123"/>
        <v>1287</v>
      </c>
      <c r="S1289">
        <f>IFERROR(SEARCH(Crewlist!$P$5,V1289)+ROW()/100000,"")</f>
        <v>1.0128900000000001</v>
      </c>
      <c r="T1289">
        <f t="shared" ref="T1289:T1352" si="127">B1289</f>
        <v>1288</v>
      </c>
      <c r="U1289">
        <f t="shared" ref="U1289:U1352" si="128">C1289</f>
        <v>0</v>
      </c>
      <c r="V1289" t="str">
        <f t="shared" si="125"/>
        <v xml:space="preserve"> </v>
      </c>
      <c r="Y1289" s="162" t="e">
        <f>VLOOKUP(B1289,Crewlist!AS:AU,3,FALSE)</f>
        <v>#N/A</v>
      </c>
      <c r="Z1289" s="163">
        <f t="shared" si="124"/>
        <v>0</v>
      </c>
    </row>
    <row r="1290" spans="2:26">
      <c r="B1290" s="171">
        <v>1289</v>
      </c>
      <c r="C1290" s="169"/>
      <c r="N1290" s="201">
        <v>0</v>
      </c>
      <c r="Q1290">
        <f t="shared" si="126"/>
        <v>0</v>
      </c>
      <c r="R1290">
        <f t="shared" si="123"/>
        <v>1288</v>
      </c>
      <c r="S1290">
        <f>IFERROR(SEARCH(Crewlist!$P$5,V1290)+ROW()/100000,"")</f>
        <v>1.0128999999999999</v>
      </c>
      <c r="T1290">
        <f t="shared" si="127"/>
        <v>1289</v>
      </c>
      <c r="U1290">
        <f t="shared" si="128"/>
        <v>0</v>
      </c>
      <c r="V1290" t="str">
        <f t="shared" si="125"/>
        <v xml:space="preserve"> </v>
      </c>
      <c r="Y1290" s="162" t="e">
        <f>VLOOKUP(B1290,Crewlist!AS:AU,3,FALSE)</f>
        <v>#N/A</v>
      </c>
      <c r="Z1290" s="163">
        <f t="shared" si="124"/>
        <v>0</v>
      </c>
    </row>
    <row r="1291" spans="2:26">
      <c r="B1291" s="171">
        <v>1290</v>
      </c>
      <c r="C1291" s="169"/>
      <c r="N1291" s="201">
        <v>0</v>
      </c>
      <c r="Q1291">
        <f t="shared" si="126"/>
        <v>0</v>
      </c>
      <c r="R1291">
        <f t="shared" si="123"/>
        <v>1289</v>
      </c>
      <c r="S1291">
        <f>IFERROR(SEARCH(Crewlist!$P$5,V1291)+ROW()/100000,"")</f>
        <v>1.01291</v>
      </c>
      <c r="T1291">
        <f t="shared" si="127"/>
        <v>1290</v>
      </c>
      <c r="U1291">
        <f t="shared" si="128"/>
        <v>0</v>
      </c>
      <c r="V1291" t="str">
        <f t="shared" si="125"/>
        <v xml:space="preserve"> </v>
      </c>
      <c r="Y1291" s="162" t="e">
        <f>VLOOKUP(B1291,Crewlist!AS:AU,3,FALSE)</f>
        <v>#N/A</v>
      </c>
      <c r="Z1291" s="163">
        <f t="shared" si="124"/>
        <v>0</v>
      </c>
    </row>
    <row r="1292" spans="2:26">
      <c r="B1292" s="202">
        <v>1291</v>
      </c>
      <c r="C1292" s="169"/>
      <c r="N1292" s="201">
        <v>0</v>
      </c>
      <c r="Q1292">
        <f t="shared" si="126"/>
        <v>0</v>
      </c>
      <c r="R1292">
        <f t="shared" si="123"/>
        <v>1290</v>
      </c>
      <c r="S1292">
        <f>IFERROR(SEARCH(Crewlist!$P$5,V1292)+ROW()/100000,"")</f>
        <v>1.01292</v>
      </c>
      <c r="T1292">
        <f t="shared" si="127"/>
        <v>1291</v>
      </c>
      <c r="U1292">
        <f t="shared" si="128"/>
        <v>0</v>
      </c>
      <c r="V1292" t="str">
        <f t="shared" si="125"/>
        <v xml:space="preserve"> </v>
      </c>
      <c r="Y1292" s="162" t="e">
        <f>VLOOKUP(B1292,Crewlist!AS:AU,3,FALSE)</f>
        <v>#N/A</v>
      </c>
      <c r="Z1292" s="163">
        <f t="shared" si="124"/>
        <v>0</v>
      </c>
    </row>
    <row r="1293" spans="2:26">
      <c r="B1293" s="171">
        <v>1292</v>
      </c>
      <c r="C1293" s="169"/>
      <c r="N1293" s="201">
        <v>0</v>
      </c>
      <c r="Q1293">
        <f t="shared" si="126"/>
        <v>0</v>
      </c>
      <c r="R1293">
        <f t="shared" si="123"/>
        <v>1291</v>
      </c>
      <c r="S1293">
        <f>IFERROR(SEARCH(Crewlist!$P$5,V1293)+ROW()/100000,"")</f>
        <v>1.0129300000000001</v>
      </c>
      <c r="T1293">
        <f t="shared" si="127"/>
        <v>1292</v>
      </c>
      <c r="U1293">
        <f t="shared" si="128"/>
        <v>0</v>
      </c>
      <c r="V1293" t="str">
        <f t="shared" si="125"/>
        <v xml:space="preserve"> </v>
      </c>
      <c r="Y1293" s="162" t="e">
        <f>VLOOKUP(B1293,Crewlist!AS:AU,3,FALSE)</f>
        <v>#N/A</v>
      </c>
      <c r="Z1293" s="163">
        <f t="shared" si="124"/>
        <v>0</v>
      </c>
    </row>
    <row r="1294" spans="2:26">
      <c r="B1294" s="171">
        <v>1293</v>
      </c>
      <c r="C1294" s="169"/>
      <c r="N1294" s="201">
        <v>0</v>
      </c>
      <c r="Q1294">
        <f t="shared" si="126"/>
        <v>0</v>
      </c>
      <c r="R1294">
        <f t="shared" si="123"/>
        <v>1292</v>
      </c>
      <c r="S1294">
        <f>IFERROR(SEARCH(Crewlist!$P$5,V1294)+ROW()/100000,"")</f>
        <v>1.01294</v>
      </c>
      <c r="T1294">
        <f t="shared" si="127"/>
        <v>1293</v>
      </c>
      <c r="U1294">
        <f t="shared" si="128"/>
        <v>0</v>
      </c>
      <c r="V1294" t="str">
        <f t="shared" si="125"/>
        <v xml:space="preserve"> </v>
      </c>
      <c r="Y1294" s="162" t="e">
        <f>VLOOKUP(B1294,Crewlist!AS:AU,3,FALSE)</f>
        <v>#N/A</v>
      </c>
      <c r="Z1294" s="163">
        <f t="shared" si="124"/>
        <v>0</v>
      </c>
    </row>
    <row r="1295" spans="2:26">
      <c r="B1295" s="202">
        <v>1294</v>
      </c>
      <c r="C1295" s="169"/>
      <c r="N1295" s="201">
        <v>0</v>
      </c>
      <c r="Q1295">
        <f t="shared" si="126"/>
        <v>0</v>
      </c>
      <c r="R1295">
        <f t="shared" si="123"/>
        <v>1293</v>
      </c>
      <c r="S1295">
        <f>IFERROR(SEARCH(Crewlist!$P$5,V1295)+ROW()/100000,"")</f>
        <v>1.01295</v>
      </c>
      <c r="T1295">
        <f t="shared" si="127"/>
        <v>1294</v>
      </c>
      <c r="U1295">
        <f t="shared" si="128"/>
        <v>0</v>
      </c>
      <c r="V1295" t="str">
        <f t="shared" si="125"/>
        <v xml:space="preserve"> </v>
      </c>
      <c r="Y1295" s="162" t="e">
        <f>VLOOKUP(B1295,Crewlist!AS:AU,3,FALSE)</f>
        <v>#N/A</v>
      </c>
      <c r="Z1295" s="163">
        <f t="shared" si="124"/>
        <v>0</v>
      </c>
    </row>
    <row r="1296" spans="2:26">
      <c r="B1296" s="171">
        <v>1295</v>
      </c>
      <c r="C1296" s="169"/>
      <c r="N1296" s="201">
        <v>0</v>
      </c>
      <c r="Q1296">
        <f t="shared" si="126"/>
        <v>0</v>
      </c>
      <c r="R1296">
        <f t="shared" si="123"/>
        <v>1294</v>
      </c>
      <c r="S1296">
        <f>IFERROR(SEARCH(Crewlist!$P$5,V1296)+ROW()/100000,"")</f>
        <v>1.0129600000000001</v>
      </c>
      <c r="T1296">
        <f t="shared" si="127"/>
        <v>1295</v>
      </c>
      <c r="U1296">
        <f t="shared" si="128"/>
        <v>0</v>
      </c>
      <c r="V1296" t="str">
        <f t="shared" si="125"/>
        <v xml:space="preserve"> </v>
      </c>
      <c r="Y1296" s="162" t="e">
        <f>VLOOKUP(B1296,Crewlist!AS:AU,3,FALSE)</f>
        <v>#N/A</v>
      </c>
      <c r="Z1296" s="163">
        <f t="shared" si="124"/>
        <v>0</v>
      </c>
    </row>
    <row r="1297" spans="2:26">
      <c r="B1297" s="171">
        <v>1296</v>
      </c>
      <c r="C1297" s="169"/>
      <c r="N1297" s="201">
        <v>0</v>
      </c>
      <c r="Q1297">
        <f t="shared" si="126"/>
        <v>0</v>
      </c>
      <c r="R1297">
        <f t="shared" si="123"/>
        <v>1295</v>
      </c>
      <c r="S1297">
        <f>IFERROR(SEARCH(Crewlist!$P$5,V1297)+ROW()/100000,"")</f>
        <v>1.0129699999999999</v>
      </c>
      <c r="T1297">
        <f t="shared" si="127"/>
        <v>1296</v>
      </c>
      <c r="U1297">
        <f t="shared" si="128"/>
        <v>0</v>
      </c>
      <c r="V1297" t="str">
        <f t="shared" si="125"/>
        <v xml:space="preserve"> </v>
      </c>
      <c r="Y1297" s="162" t="e">
        <f>VLOOKUP(B1297,Crewlist!AS:AU,3,FALSE)</f>
        <v>#N/A</v>
      </c>
      <c r="Z1297" s="163">
        <f t="shared" si="124"/>
        <v>0</v>
      </c>
    </row>
    <row r="1298" spans="2:26">
      <c r="B1298" s="202">
        <v>1297</v>
      </c>
      <c r="C1298" s="169"/>
      <c r="N1298" s="201">
        <v>0</v>
      </c>
      <c r="Q1298">
        <f t="shared" si="126"/>
        <v>0</v>
      </c>
      <c r="R1298">
        <f t="shared" si="123"/>
        <v>1296</v>
      </c>
      <c r="S1298">
        <f>IFERROR(SEARCH(Crewlist!$P$5,V1298)+ROW()/100000,"")</f>
        <v>1.01298</v>
      </c>
      <c r="T1298">
        <f t="shared" si="127"/>
        <v>1297</v>
      </c>
      <c r="U1298">
        <f t="shared" si="128"/>
        <v>0</v>
      </c>
      <c r="V1298" t="str">
        <f t="shared" si="125"/>
        <v xml:space="preserve"> </v>
      </c>
      <c r="Y1298" s="162" t="e">
        <f>VLOOKUP(B1298,Crewlist!AS:AU,3,FALSE)</f>
        <v>#N/A</v>
      </c>
      <c r="Z1298" s="163">
        <f t="shared" si="124"/>
        <v>0</v>
      </c>
    </row>
    <row r="1299" spans="2:26">
      <c r="B1299" s="171">
        <v>1298</v>
      </c>
      <c r="C1299" s="169"/>
      <c r="N1299" s="201">
        <v>0</v>
      </c>
      <c r="Q1299">
        <f t="shared" si="126"/>
        <v>0</v>
      </c>
      <c r="R1299">
        <f t="shared" si="123"/>
        <v>1297</v>
      </c>
      <c r="S1299">
        <f>IFERROR(SEARCH(Crewlist!$P$5,V1299)+ROW()/100000,"")</f>
        <v>1.0129900000000001</v>
      </c>
      <c r="T1299">
        <f t="shared" si="127"/>
        <v>1298</v>
      </c>
      <c r="U1299">
        <f t="shared" si="128"/>
        <v>0</v>
      </c>
      <c r="V1299" t="str">
        <f t="shared" si="125"/>
        <v xml:space="preserve"> </v>
      </c>
      <c r="Y1299" s="162" t="e">
        <f>VLOOKUP(B1299,Crewlist!AS:AU,3,FALSE)</f>
        <v>#N/A</v>
      </c>
      <c r="Z1299" s="163">
        <f t="shared" si="124"/>
        <v>0</v>
      </c>
    </row>
    <row r="1300" spans="2:26">
      <c r="B1300" s="171">
        <v>1299</v>
      </c>
      <c r="C1300" s="169"/>
      <c r="N1300" s="201">
        <v>0</v>
      </c>
      <c r="Q1300">
        <f t="shared" si="126"/>
        <v>0</v>
      </c>
      <c r="R1300">
        <f t="shared" si="123"/>
        <v>1298</v>
      </c>
      <c r="S1300">
        <f>IFERROR(SEARCH(Crewlist!$P$5,V1300)+ROW()/100000,"")</f>
        <v>1.0129999999999999</v>
      </c>
      <c r="T1300">
        <f t="shared" si="127"/>
        <v>1299</v>
      </c>
      <c r="U1300">
        <f t="shared" si="128"/>
        <v>0</v>
      </c>
      <c r="V1300" t="str">
        <f t="shared" si="125"/>
        <v xml:space="preserve"> </v>
      </c>
      <c r="Y1300" s="162" t="e">
        <f>VLOOKUP(B1300,Crewlist!AS:AU,3,FALSE)</f>
        <v>#N/A</v>
      </c>
      <c r="Z1300" s="163">
        <f t="shared" si="124"/>
        <v>0</v>
      </c>
    </row>
    <row r="1301" spans="2:26">
      <c r="B1301" s="202">
        <v>1300</v>
      </c>
      <c r="C1301" s="169"/>
      <c r="N1301" s="201">
        <v>0</v>
      </c>
      <c r="Q1301">
        <f t="shared" si="126"/>
        <v>0</v>
      </c>
      <c r="R1301">
        <f t="shared" si="123"/>
        <v>1299</v>
      </c>
      <c r="S1301">
        <f>IFERROR(SEARCH(Crewlist!$P$5,V1301)+ROW()/100000,"")</f>
        <v>1.01301</v>
      </c>
      <c r="T1301">
        <f t="shared" si="127"/>
        <v>1300</v>
      </c>
      <c r="U1301">
        <f t="shared" si="128"/>
        <v>0</v>
      </c>
      <c r="V1301" t="str">
        <f t="shared" si="125"/>
        <v xml:space="preserve"> </v>
      </c>
      <c r="Y1301" s="162" t="e">
        <f>VLOOKUP(B1301,Crewlist!AS:AU,3,FALSE)</f>
        <v>#N/A</v>
      </c>
      <c r="Z1301" s="163">
        <f t="shared" si="124"/>
        <v>0</v>
      </c>
    </row>
    <row r="1302" spans="2:26">
      <c r="B1302" s="171">
        <v>1301</v>
      </c>
      <c r="C1302" s="169"/>
      <c r="N1302" s="201">
        <v>0</v>
      </c>
      <c r="Q1302">
        <f t="shared" si="126"/>
        <v>0</v>
      </c>
      <c r="R1302">
        <f t="shared" si="123"/>
        <v>1300</v>
      </c>
      <c r="S1302">
        <f>IFERROR(SEARCH(Crewlist!$P$5,V1302)+ROW()/100000,"")</f>
        <v>1.01302</v>
      </c>
      <c r="T1302">
        <f t="shared" si="127"/>
        <v>1301</v>
      </c>
      <c r="U1302">
        <f t="shared" si="128"/>
        <v>0</v>
      </c>
      <c r="V1302" t="str">
        <f t="shared" si="125"/>
        <v xml:space="preserve"> </v>
      </c>
      <c r="Y1302" s="162" t="e">
        <f>VLOOKUP(B1302,Crewlist!AS:AU,3,FALSE)</f>
        <v>#N/A</v>
      </c>
      <c r="Z1302" s="163">
        <f t="shared" si="124"/>
        <v>0</v>
      </c>
    </row>
    <row r="1303" spans="2:26">
      <c r="B1303" s="171">
        <v>1302</v>
      </c>
      <c r="C1303" s="169"/>
      <c r="N1303" s="201">
        <v>0</v>
      </c>
      <c r="Q1303">
        <f t="shared" si="126"/>
        <v>0</v>
      </c>
      <c r="R1303">
        <f t="shared" si="123"/>
        <v>1301</v>
      </c>
      <c r="S1303">
        <f>IFERROR(SEARCH(Crewlist!$P$5,V1303)+ROW()/100000,"")</f>
        <v>1.0130300000000001</v>
      </c>
      <c r="T1303">
        <f t="shared" si="127"/>
        <v>1302</v>
      </c>
      <c r="U1303">
        <f t="shared" si="128"/>
        <v>0</v>
      </c>
      <c r="V1303" t="str">
        <f t="shared" si="125"/>
        <v xml:space="preserve"> </v>
      </c>
      <c r="Y1303" s="162" t="e">
        <f>VLOOKUP(B1303,Crewlist!AS:AU,3,FALSE)</f>
        <v>#N/A</v>
      </c>
      <c r="Z1303" s="163">
        <f t="shared" si="124"/>
        <v>0</v>
      </c>
    </row>
    <row r="1304" spans="2:26">
      <c r="B1304" s="202">
        <v>1303</v>
      </c>
      <c r="C1304" s="169"/>
      <c r="N1304" s="201">
        <v>0</v>
      </c>
      <c r="Q1304">
        <f t="shared" si="126"/>
        <v>0</v>
      </c>
      <c r="R1304">
        <f t="shared" si="123"/>
        <v>1302</v>
      </c>
      <c r="S1304">
        <f>IFERROR(SEARCH(Crewlist!$P$5,V1304)+ROW()/100000,"")</f>
        <v>1.0130399999999999</v>
      </c>
      <c r="T1304">
        <f t="shared" si="127"/>
        <v>1303</v>
      </c>
      <c r="U1304">
        <f t="shared" si="128"/>
        <v>0</v>
      </c>
      <c r="V1304" t="str">
        <f t="shared" si="125"/>
        <v xml:space="preserve"> </v>
      </c>
      <c r="Y1304" s="162" t="e">
        <f>VLOOKUP(B1304,Crewlist!AS:AU,3,FALSE)</f>
        <v>#N/A</v>
      </c>
      <c r="Z1304" s="163">
        <f t="shared" si="124"/>
        <v>0</v>
      </c>
    </row>
    <row r="1305" spans="2:26">
      <c r="B1305" s="171">
        <v>1304</v>
      </c>
      <c r="C1305" s="169"/>
      <c r="N1305" s="201">
        <v>0</v>
      </c>
      <c r="Q1305">
        <f t="shared" si="126"/>
        <v>0</v>
      </c>
      <c r="R1305">
        <f t="shared" si="123"/>
        <v>1303</v>
      </c>
      <c r="S1305">
        <f>IFERROR(SEARCH(Crewlist!$P$5,V1305)+ROW()/100000,"")</f>
        <v>1.01305</v>
      </c>
      <c r="T1305">
        <f t="shared" si="127"/>
        <v>1304</v>
      </c>
      <c r="U1305">
        <f t="shared" si="128"/>
        <v>0</v>
      </c>
      <c r="V1305" t="str">
        <f t="shared" si="125"/>
        <v xml:space="preserve"> </v>
      </c>
      <c r="Y1305" s="162" t="e">
        <f>VLOOKUP(B1305,Crewlist!AS:AU,3,FALSE)</f>
        <v>#N/A</v>
      </c>
      <c r="Z1305" s="163">
        <f t="shared" si="124"/>
        <v>0</v>
      </c>
    </row>
    <row r="1306" spans="2:26">
      <c r="B1306" s="171">
        <v>1305</v>
      </c>
      <c r="C1306" s="169"/>
      <c r="N1306" s="201">
        <v>0</v>
      </c>
      <c r="Q1306">
        <f t="shared" si="126"/>
        <v>0</v>
      </c>
      <c r="R1306">
        <f t="shared" si="123"/>
        <v>1304</v>
      </c>
      <c r="S1306">
        <f>IFERROR(SEARCH(Crewlist!$P$5,V1306)+ROW()/100000,"")</f>
        <v>1.0130600000000001</v>
      </c>
      <c r="T1306">
        <f t="shared" si="127"/>
        <v>1305</v>
      </c>
      <c r="U1306">
        <f t="shared" si="128"/>
        <v>0</v>
      </c>
      <c r="V1306" t="str">
        <f t="shared" si="125"/>
        <v xml:space="preserve"> </v>
      </c>
      <c r="Y1306" s="162" t="e">
        <f>VLOOKUP(B1306,Crewlist!AS:AU,3,FALSE)</f>
        <v>#N/A</v>
      </c>
      <c r="Z1306" s="163">
        <f t="shared" si="124"/>
        <v>0</v>
      </c>
    </row>
    <row r="1307" spans="2:26">
      <c r="B1307" s="202">
        <v>1306</v>
      </c>
      <c r="C1307" s="169"/>
      <c r="N1307" s="201">
        <v>0</v>
      </c>
      <c r="Q1307">
        <f t="shared" si="126"/>
        <v>0</v>
      </c>
      <c r="R1307">
        <f t="shared" si="123"/>
        <v>1305</v>
      </c>
      <c r="S1307">
        <f>IFERROR(SEARCH(Crewlist!$P$5,V1307)+ROW()/100000,"")</f>
        <v>1.0130699999999999</v>
      </c>
      <c r="T1307">
        <f t="shared" si="127"/>
        <v>1306</v>
      </c>
      <c r="U1307">
        <f t="shared" si="128"/>
        <v>0</v>
      </c>
      <c r="V1307" t="str">
        <f t="shared" si="125"/>
        <v xml:space="preserve"> </v>
      </c>
      <c r="Y1307" s="162" t="e">
        <f>VLOOKUP(B1307,Crewlist!AS:AU,3,FALSE)</f>
        <v>#N/A</v>
      </c>
      <c r="Z1307" s="163">
        <f t="shared" si="124"/>
        <v>0</v>
      </c>
    </row>
    <row r="1308" spans="2:26">
      <c r="B1308" s="171">
        <v>1307</v>
      </c>
      <c r="C1308" s="169"/>
      <c r="N1308" s="201">
        <v>0</v>
      </c>
      <c r="Q1308">
        <f t="shared" si="126"/>
        <v>0</v>
      </c>
      <c r="R1308">
        <f t="shared" si="123"/>
        <v>1306</v>
      </c>
      <c r="S1308">
        <f>IFERROR(SEARCH(Crewlist!$P$5,V1308)+ROW()/100000,"")</f>
        <v>1.01308</v>
      </c>
      <c r="T1308">
        <f t="shared" si="127"/>
        <v>1307</v>
      </c>
      <c r="U1308">
        <f t="shared" si="128"/>
        <v>0</v>
      </c>
      <c r="V1308" t="str">
        <f t="shared" si="125"/>
        <v xml:space="preserve"> </v>
      </c>
      <c r="Y1308" s="162" t="e">
        <f>VLOOKUP(B1308,Crewlist!AS:AU,3,FALSE)</f>
        <v>#N/A</v>
      </c>
      <c r="Z1308" s="163">
        <f t="shared" si="124"/>
        <v>0</v>
      </c>
    </row>
    <row r="1309" spans="2:26">
      <c r="B1309" s="171">
        <v>1308</v>
      </c>
      <c r="C1309" s="169"/>
      <c r="N1309" s="201">
        <v>0</v>
      </c>
      <c r="Q1309">
        <f t="shared" si="126"/>
        <v>0</v>
      </c>
      <c r="R1309">
        <f t="shared" si="123"/>
        <v>1307</v>
      </c>
      <c r="S1309">
        <f>IFERROR(SEARCH(Crewlist!$P$5,V1309)+ROW()/100000,"")</f>
        <v>1.01309</v>
      </c>
      <c r="T1309">
        <f t="shared" si="127"/>
        <v>1308</v>
      </c>
      <c r="U1309">
        <f t="shared" si="128"/>
        <v>0</v>
      </c>
      <c r="V1309" t="str">
        <f t="shared" si="125"/>
        <v xml:space="preserve"> </v>
      </c>
      <c r="Y1309" s="162" t="e">
        <f>VLOOKUP(B1309,Crewlist!AS:AU,3,FALSE)</f>
        <v>#N/A</v>
      </c>
      <c r="Z1309" s="163">
        <f t="shared" si="124"/>
        <v>0</v>
      </c>
    </row>
    <row r="1310" spans="2:26">
      <c r="B1310" s="202">
        <v>1309</v>
      </c>
      <c r="C1310" s="169"/>
      <c r="N1310" s="201">
        <v>0</v>
      </c>
      <c r="Q1310">
        <f t="shared" si="126"/>
        <v>0</v>
      </c>
      <c r="R1310">
        <f t="shared" si="123"/>
        <v>1308</v>
      </c>
      <c r="S1310">
        <f>IFERROR(SEARCH(Crewlist!$P$5,V1310)+ROW()/100000,"")</f>
        <v>1.0131000000000001</v>
      </c>
      <c r="T1310">
        <f t="shared" si="127"/>
        <v>1309</v>
      </c>
      <c r="U1310">
        <f t="shared" si="128"/>
        <v>0</v>
      </c>
      <c r="V1310" t="str">
        <f t="shared" si="125"/>
        <v xml:space="preserve"> </v>
      </c>
      <c r="Y1310" s="162" t="e">
        <f>VLOOKUP(B1310,Crewlist!AS:AU,3,FALSE)</f>
        <v>#N/A</v>
      </c>
      <c r="Z1310" s="163">
        <f t="shared" si="124"/>
        <v>0</v>
      </c>
    </row>
    <row r="1311" spans="2:26">
      <c r="B1311" s="171">
        <v>1310</v>
      </c>
      <c r="C1311" s="169"/>
      <c r="N1311" s="201">
        <v>0</v>
      </c>
      <c r="Q1311">
        <f t="shared" si="126"/>
        <v>0</v>
      </c>
      <c r="R1311">
        <f t="shared" si="123"/>
        <v>1309</v>
      </c>
      <c r="S1311">
        <f>IFERROR(SEARCH(Crewlist!$P$5,V1311)+ROW()/100000,"")</f>
        <v>1.01311</v>
      </c>
      <c r="T1311">
        <f t="shared" si="127"/>
        <v>1310</v>
      </c>
      <c r="U1311">
        <f t="shared" si="128"/>
        <v>0</v>
      </c>
      <c r="V1311" t="str">
        <f t="shared" si="125"/>
        <v xml:space="preserve"> </v>
      </c>
      <c r="Y1311" s="162" t="e">
        <f>VLOOKUP(B1311,Crewlist!AS:AU,3,FALSE)</f>
        <v>#N/A</v>
      </c>
      <c r="Z1311" s="163">
        <f t="shared" si="124"/>
        <v>0</v>
      </c>
    </row>
    <row r="1312" spans="2:26">
      <c r="B1312" s="171">
        <v>1311</v>
      </c>
      <c r="C1312" s="169"/>
      <c r="N1312" s="201">
        <v>0</v>
      </c>
      <c r="Q1312">
        <f t="shared" si="126"/>
        <v>0</v>
      </c>
      <c r="R1312">
        <f t="shared" si="123"/>
        <v>1310</v>
      </c>
      <c r="S1312">
        <f>IFERROR(SEARCH(Crewlist!$P$5,V1312)+ROW()/100000,"")</f>
        <v>1.01312</v>
      </c>
      <c r="T1312">
        <f t="shared" si="127"/>
        <v>1311</v>
      </c>
      <c r="U1312">
        <f t="shared" si="128"/>
        <v>0</v>
      </c>
      <c r="V1312" t="str">
        <f t="shared" si="125"/>
        <v xml:space="preserve"> </v>
      </c>
      <c r="Y1312" s="162" t="e">
        <f>VLOOKUP(B1312,Crewlist!AS:AU,3,FALSE)</f>
        <v>#N/A</v>
      </c>
      <c r="Z1312" s="163">
        <f t="shared" si="124"/>
        <v>0</v>
      </c>
    </row>
    <row r="1313" spans="2:26">
      <c r="B1313" s="202">
        <v>1312</v>
      </c>
      <c r="C1313" s="169"/>
      <c r="N1313" s="201">
        <v>0</v>
      </c>
      <c r="Q1313">
        <f t="shared" si="126"/>
        <v>0</v>
      </c>
      <c r="R1313">
        <f t="shared" si="123"/>
        <v>1311</v>
      </c>
      <c r="S1313">
        <f>IFERROR(SEARCH(Crewlist!$P$5,V1313)+ROW()/100000,"")</f>
        <v>1.0131300000000001</v>
      </c>
      <c r="T1313">
        <f t="shared" si="127"/>
        <v>1312</v>
      </c>
      <c r="U1313">
        <f t="shared" si="128"/>
        <v>0</v>
      </c>
      <c r="V1313" t="str">
        <f t="shared" si="125"/>
        <v xml:space="preserve"> </v>
      </c>
      <c r="Y1313" s="162" t="e">
        <f>VLOOKUP(B1313,Crewlist!AS:AU,3,FALSE)</f>
        <v>#N/A</v>
      </c>
      <c r="Z1313" s="163">
        <f t="shared" si="124"/>
        <v>0</v>
      </c>
    </row>
    <row r="1314" spans="2:26">
      <c r="B1314" s="171">
        <v>1313</v>
      </c>
      <c r="C1314" s="169"/>
      <c r="N1314" s="201">
        <v>0</v>
      </c>
      <c r="Q1314">
        <f t="shared" si="126"/>
        <v>0</v>
      </c>
      <c r="R1314">
        <f t="shared" si="123"/>
        <v>1312</v>
      </c>
      <c r="S1314">
        <f>IFERROR(SEARCH(Crewlist!$P$5,V1314)+ROW()/100000,"")</f>
        <v>1.0131399999999999</v>
      </c>
      <c r="T1314">
        <f t="shared" si="127"/>
        <v>1313</v>
      </c>
      <c r="U1314">
        <f t="shared" si="128"/>
        <v>0</v>
      </c>
      <c r="V1314" t="str">
        <f t="shared" si="125"/>
        <v xml:space="preserve"> </v>
      </c>
      <c r="Y1314" s="162" t="e">
        <f>VLOOKUP(B1314,Crewlist!AS:AU,3,FALSE)</f>
        <v>#N/A</v>
      </c>
      <c r="Z1314" s="163">
        <f t="shared" si="124"/>
        <v>0</v>
      </c>
    </row>
    <row r="1315" spans="2:26">
      <c r="B1315" s="171">
        <v>1314</v>
      </c>
      <c r="C1315" s="169"/>
      <c r="N1315" s="201">
        <v>0</v>
      </c>
      <c r="Q1315">
        <f t="shared" si="126"/>
        <v>0</v>
      </c>
      <c r="R1315">
        <f t="shared" si="123"/>
        <v>1313</v>
      </c>
      <c r="S1315">
        <f>IFERROR(SEARCH(Crewlist!$P$5,V1315)+ROW()/100000,"")</f>
        <v>1.01315</v>
      </c>
      <c r="T1315">
        <f t="shared" si="127"/>
        <v>1314</v>
      </c>
      <c r="U1315">
        <f t="shared" si="128"/>
        <v>0</v>
      </c>
      <c r="V1315" t="str">
        <f t="shared" si="125"/>
        <v xml:space="preserve"> </v>
      </c>
      <c r="Y1315" s="162" t="e">
        <f>VLOOKUP(B1315,Crewlist!AS:AU,3,FALSE)</f>
        <v>#N/A</v>
      </c>
      <c r="Z1315" s="163">
        <f t="shared" si="124"/>
        <v>0</v>
      </c>
    </row>
    <row r="1316" spans="2:26">
      <c r="B1316" s="202">
        <v>1315</v>
      </c>
      <c r="C1316" s="169"/>
      <c r="N1316" s="201">
        <v>0</v>
      </c>
      <c r="Q1316">
        <f t="shared" si="126"/>
        <v>0</v>
      </c>
      <c r="R1316">
        <f t="shared" si="123"/>
        <v>1314</v>
      </c>
      <c r="S1316">
        <f>IFERROR(SEARCH(Crewlist!$P$5,V1316)+ROW()/100000,"")</f>
        <v>1.0131600000000001</v>
      </c>
      <c r="T1316">
        <f t="shared" si="127"/>
        <v>1315</v>
      </c>
      <c r="U1316">
        <f t="shared" si="128"/>
        <v>0</v>
      </c>
      <c r="V1316" t="str">
        <f t="shared" si="125"/>
        <v xml:space="preserve"> </v>
      </c>
      <c r="Y1316" s="162" t="e">
        <f>VLOOKUP(B1316,Crewlist!AS:AU,3,FALSE)</f>
        <v>#N/A</v>
      </c>
      <c r="Z1316" s="163">
        <f t="shared" si="124"/>
        <v>0</v>
      </c>
    </row>
    <row r="1317" spans="2:26">
      <c r="B1317" s="171">
        <v>1316</v>
      </c>
      <c r="C1317" s="169"/>
      <c r="N1317" s="201">
        <v>0</v>
      </c>
      <c r="Q1317">
        <f t="shared" si="126"/>
        <v>0</v>
      </c>
      <c r="R1317">
        <f t="shared" si="123"/>
        <v>1315</v>
      </c>
      <c r="S1317">
        <f>IFERROR(SEARCH(Crewlist!$P$5,V1317)+ROW()/100000,"")</f>
        <v>1.0131699999999999</v>
      </c>
      <c r="T1317">
        <f t="shared" si="127"/>
        <v>1316</v>
      </c>
      <c r="U1317">
        <f t="shared" si="128"/>
        <v>0</v>
      </c>
      <c r="V1317" t="str">
        <f t="shared" si="125"/>
        <v xml:space="preserve"> </v>
      </c>
      <c r="Y1317" s="162" t="e">
        <f>VLOOKUP(B1317,Crewlist!AS:AU,3,FALSE)</f>
        <v>#N/A</v>
      </c>
      <c r="Z1317" s="163">
        <f t="shared" si="124"/>
        <v>0</v>
      </c>
    </row>
    <row r="1318" spans="2:26">
      <c r="B1318" s="171">
        <v>1317</v>
      </c>
      <c r="C1318" s="169"/>
      <c r="N1318" s="201">
        <v>0</v>
      </c>
      <c r="Q1318">
        <f t="shared" si="126"/>
        <v>0</v>
      </c>
      <c r="R1318">
        <f t="shared" si="123"/>
        <v>1316</v>
      </c>
      <c r="S1318">
        <f>IFERROR(SEARCH(Crewlist!$P$5,V1318)+ROW()/100000,"")</f>
        <v>1.01318</v>
      </c>
      <c r="T1318">
        <f t="shared" si="127"/>
        <v>1317</v>
      </c>
      <c r="U1318">
        <f t="shared" si="128"/>
        <v>0</v>
      </c>
      <c r="V1318" t="str">
        <f t="shared" si="125"/>
        <v xml:space="preserve"> </v>
      </c>
      <c r="Y1318" s="162" t="e">
        <f>VLOOKUP(B1318,Crewlist!AS:AU,3,FALSE)</f>
        <v>#N/A</v>
      </c>
      <c r="Z1318" s="163">
        <f t="shared" si="124"/>
        <v>0</v>
      </c>
    </row>
    <row r="1319" spans="2:26">
      <c r="B1319" s="202">
        <v>1318</v>
      </c>
      <c r="C1319" s="169"/>
      <c r="N1319" s="201">
        <v>0</v>
      </c>
      <c r="Q1319">
        <f t="shared" si="126"/>
        <v>0</v>
      </c>
      <c r="R1319">
        <f t="shared" si="123"/>
        <v>1317</v>
      </c>
      <c r="S1319">
        <f>IFERROR(SEARCH(Crewlist!$P$5,V1319)+ROW()/100000,"")</f>
        <v>1.01319</v>
      </c>
      <c r="T1319">
        <f t="shared" si="127"/>
        <v>1318</v>
      </c>
      <c r="U1319">
        <f t="shared" si="128"/>
        <v>0</v>
      </c>
      <c r="V1319" t="str">
        <f t="shared" si="125"/>
        <v xml:space="preserve"> </v>
      </c>
      <c r="Y1319" s="162" t="e">
        <f>VLOOKUP(B1319,Crewlist!AS:AU,3,FALSE)</f>
        <v>#N/A</v>
      </c>
      <c r="Z1319" s="163">
        <f t="shared" si="124"/>
        <v>0</v>
      </c>
    </row>
    <row r="1320" spans="2:26">
      <c r="B1320" s="171">
        <v>1319</v>
      </c>
      <c r="C1320" s="169"/>
      <c r="N1320" s="201">
        <v>0</v>
      </c>
      <c r="Q1320">
        <f t="shared" si="126"/>
        <v>0</v>
      </c>
      <c r="R1320">
        <f t="shared" si="123"/>
        <v>1318</v>
      </c>
      <c r="S1320">
        <f>IFERROR(SEARCH(Crewlist!$P$5,V1320)+ROW()/100000,"")</f>
        <v>1.0132000000000001</v>
      </c>
      <c r="T1320">
        <f t="shared" si="127"/>
        <v>1319</v>
      </c>
      <c r="U1320">
        <f t="shared" si="128"/>
        <v>0</v>
      </c>
      <c r="V1320" t="str">
        <f t="shared" si="125"/>
        <v xml:space="preserve"> </v>
      </c>
      <c r="Y1320" s="162" t="e">
        <f>VLOOKUP(B1320,Crewlist!AS:AU,3,FALSE)</f>
        <v>#N/A</v>
      </c>
      <c r="Z1320" s="163">
        <f t="shared" si="124"/>
        <v>0</v>
      </c>
    </row>
    <row r="1321" spans="2:26">
      <c r="B1321" s="171">
        <v>1320</v>
      </c>
      <c r="C1321" s="169"/>
      <c r="N1321" s="201">
        <v>0</v>
      </c>
      <c r="Q1321">
        <f t="shared" si="126"/>
        <v>0</v>
      </c>
      <c r="R1321">
        <f t="shared" si="123"/>
        <v>1319</v>
      </c>
      <c r="S1321">
        <f>IFERROR(SEARCH(Crewlist!$P$5,V1321)+ROW()/100000,"")</f>
        <v>1.0132099999999999</v>
      </c>
      <c r="T1321">
        <f t="shared" si="127"/>
        <v>1320</v>
      </c>
      <c r="U1321">
        <f t="shared" si="128"/>
        <v>0</v>
      </c>
      <c r="V1321" t="str">
        <f t="shared" si="125"/>
        <v xml:space="preserve"> </v>
      </c>
      <c r="Y1321" s="162" t="e">
        <f>VLOOKUP(B1321,Crewlist!AS:AU,3,FALSE)</f>
        <v>#N/A</v>
      </c>
      <c r="Z1321" s="163">
        <f t="shared" si="124"/>
        <v>0</v>
      </c>
    </row>
    <row r="1322" spans="2:26">
      <c r="B1322" s="202">
        <v>1321</v>
      </c>
      <c r="C1322" s="169"/>
      <c r="N1322" s="201">
        <v>0</v>
      </c>
      <c r="Q1322">
        <f t="shared" si="126"/>
        <v>0</v>
      </c>
      <c r="R1322">
        <f t="shared" si="123"/>
        <v>1320</v>
      </c>
      <c r="S1322">
        <f>IFERROR(SEARCH(Crewlist!$P$5,V1322)+ROW()/100000,"")</f>
        <v>1.01322</v>
      </c>
      <c r="T1322">
        <f t="shared" si="127"/>
        <v>1321</v>
      </c>
      <c r="U1322">
        <f t="shared" si="128"/>
        <v>0</v>
      </c>
      <c r="V1322" t="str">
        <f t="shared" si="125"/>
        <v xml:space="preserve"> </v>
      </c>
      <c r="Y1322" s="162" t="e">
        <f>VLOOKUP(B1322,Crewlist!AS:AU,3,FALSE)</f>
        <v>#N/A</v>
      </c>
      <c r="Z1322" s="163">
        <f t="shared" si="124"/>
        <v>0</v>
      </c>
    </row>
    <row r="1323" spans="2:26">
      <c r="B1323" s="171">
        <v>1322</v>
      </c>
      <c r="C1323" s="169"/>
      <c r="N1323" s="201">
        <v>0</v>
      </c>
      <c r="Q1323">
        <f t="shared" si="126"/>
        <v>0</v>
      </c>
      <c r="R1323">
        <f t="shared" si="123"/>
        <v>1321</v>
      </c>
      <c r="S1323">
        <f>IFERROR(SEARCH(Crewlist!$P$5,V1323)+ROW()/100000,"")</f>
        <v>1.0132300000000001</v>
      </c>
      <c r="T1323">
        <f t="shared" si="127"/>
        <v>1322</v>
      </c>
      <c r="U1323">
        <f t="shared" si="128"/>
        <v>0</v>
      </c>
      <c r="V1323" t="str">
        <f t="shared" si="125"/>
        <v xml:space="preserve"> </v>
      </c>
      <c r="Y1323" s="162" t="e">
        <f>VLOOKUP(B1323,Crewlist!AS:AU,3,FALSE)</f>
        <v>#N/A</v>
      </c>
      <c r="Z1323" s="163">
        <f t="shared" si="124"/>
        <v>0</v>
      </c>
    </row>
    <row r="1324" spans="2:26">
      <c r="B1324" s="171">
        <v>1323</v>
      </c>
      <c r="C1324" s="169"/>
      <c r="N1324" s="201">
        <v>0</v>
      </c>
      <c r="Q1324">
        <f t="shared" si="126"/>
        <v>0</v>
      </c>
      <c r="R1324">
        <f t="shared" si="123"/>
        <v>1322</v>
      </c>
      <c r="S1324">
        <f>IFERROR(SEARCH(Crewlist!$P$5,V1324)+ROW()/100000,"")</f>
        <v>1.0132399999999999</v>
      </c>
      <c r="T1324">
        <f t="shared" si="127"/>
        <v>1323</v>
      </c>
      <c r="U1324">
        <f t="shared" si="128"/>
        <v>0</v>
      </c>
      <c r="V1324" t="str">
        <f t="shared" si="125"/>
        <v xml:space="preserve"> </v>
      </c>
      <c r="Y1324" s="162" t="e">
        <f>VLOOKUP(B1324,Crewlist!AS:AU,3,FALSE)</f>
        <v>#N/A</v>
      </c>
      <c r="Z1324" s="163">
        <f t="shared" si="124"/>
        <v>0</v>
      </c>
    </row>
    <row r="1325" spans="2:26">
      <c r="B1325" s="202">
        <v>1324</v>
      </c>
      <c r="C1325" s="169"/>
      <c r="N1325" s="201">
        <v>0</v>
      </c>
      <c r="Q1325">
        <f t="shared" si="126"/>
        <v>0</v>
      </c>
      <c r="R1325">
        <f t="shared" si="123"/>
        <v>1323</v>
      </c>
      <c r="S1325">
        <f>IFERROR(SEARCH(Crewlist!$P$5,V1325)+ROW()/100000,"")</f>
        <v>1.01325</v>
      </c>
      <c r="T1325">
        <f t="shared" si="127"/>
        <v>1324</v>
      </c>
      <c r="U1325">
        <f t="shared" si="128"/>
        <v>0</v>
      </c>
      <c r="V1325" t="str">
        <f t="shared" si="125"/>
        <v xml:space="preserve"> </v>
      </c>
      <c r="Y1325" s="162" t="e">
        <f>VLOOKUP(B1325,Crewlist!AS:AU,3,FALSE)</f>
        <v>#N/A</v>
      </c>
      <c r="Z1325" s="163">
        <f t="shared" si="124"/>
        <v>0</v>
      </c>
    </row>
    <row r="1326" spans="2:26">
      <c r="B1326" s="171">
        <v>1325</v>
      </c>
      <c r="C1326" s="169"/>
      <c r="N1326" s="201">
        <v>0</v>
      </c>
      <c r="Q1326">
        <f t="shared" si="126"/>
        <v>0</v>
      </c>
      <c r="R1326">
        <f t="shared" si="123"/>
        <v>1324</v>
      </c>
      <c r="S1326">
        <f>IFERROR(SEARCH(Crewlist!$P$5,V1326)+ROW()/100000,"")</f>
        <v>1.01326</v>
      </c>
      <c r="T1326">
        <f t="shared" si="127"/>
        <v>1325</v>
      </c>
      <c r="U1326">
        <f t="shared" si="128"/>
        <v>0</v>
      </c>
      <c r="V1326" t="str">
        <f t="shared" si="125"/>
        <v xml:space="preserve"> </v>
      </c>
      <c r="Y1326" s="162" t="e">
        <f>VLOOKUP(B1326,Crewlist!AS:AU,3,FALSE)</f>
        <v>#N/A</v>
      </c>
      <c r="Z1326" s="163">
        <f t="shared" si="124"/>
        <v>0</v>
      </c>
    </row>
    <row r="1327" spans="2:26">
      <c r="B1327" s="171">
        <v>1326</v>
      </c>
      <c r="C1327" s="169"/>
      <c r="N1327" s="201">
        <v>0</v>
      </c>
      <c r="Q1327">
        <f t="shared" si="126"/>
        <v>0</v>
      </c>
      <c r="R1327">
        <f t="shared" si="123"/>
        <v>1325</v>
      </c>
      <c r="S1327">
        <f>IFERROR(SEARCH(Crewlist!$P$5,V1327)+ROW()/100000,"")</f>
        <v>1.0132699999999999</v>
      </c>
      <c r="T1327">
        <f t="shared" si="127"/>
        <v>1326</v>
      </c>
      <c r="U1327">
        <f t="shared" si="128"/>
        <v>0</v>
      </c>
      <c r="V1327" t="str">
        <f t="shared" si="125"/>
        <v xml:space="preserve"> </v>
      </c>
      <c r="Y1327" s="162" t="e">
        <f>VLOOKUP(B1327,Crewlist!AS:AU,3,FALSE)</f>
        <v>#N/A</v>
      </c>
      <c r="Z1327" s="163">
        <f t="shared" si="124"/>
        <v>0</v>
      </c>
    </row>
    <row r="1328" spans="2:26">
      <c r="B1328" s="202">
        <v>1327</v>
      </c>
      <c r="C1328" s="169"/>
      <c r="N1328" s="201">
        <v>0</v>
      </c>
      <c r="Q1328">
        <f t="shared" si="126"/>
        <v>0</v>
      </c>
      <c r="R1328">
        <f t="shared" si="123"/>
        <v>1326</v>
      </c>
      <c r="S1328">
        <f>IFERROR(SEARCH(Crewlist!$P$5,V1328)+ROW()/100000,"")</f>
        <v>1.01328</v>
      </c>
      <c r="T1328">
        <f t="shared" si="127"/>
        <v>1327</v>
      </c>
      <c r="U1328">
        <f t="shared" si="128"/>
        <v>0</v>
      </c>
      <c r="V1328" t="str">
        <f t="shared" si="125"/>
        <v xml:space="preserve"> </v>
      </c>
      <c r="Y1328" s="162" t="e">
        <f>VLOOKUP(B1328,Crewlist!AS:AU,3,FALSE)</f>
        <v>#N/A</v>
      </c>
      <c r="Z1328" s="163">
        <f t="shared" si="124"/>
        <v>0</v>
      </c>
    </row>
    <row r="1329" spans="2:26">
      <c r="B1329" s="171">
        <v>1328</v>
      </c>
      <c r="C1329" s="169"/>
      <c r="N1329" s="201">
        <v>0</v>
      </c>
      <c r="Q1329">
        <f t="shared" si="126"/>
        <v>0</v>
      </c>
      <c r="R1329">
        <f t="shared" si="123"/>
        <v>1327</v>
      </c>
      <c r="S1329">
        <f>IFERROR(SEARCH(Crewlist!$P$5,V1329)+ROW()/100000,"")</f>
        <v>1.01329</v>
      </c>
      <c r="T1329">
        <f t="shared" si="127"/>
        <v>1328</v>
      </c>
      <c r="U1329">
        <f t="shared" si="128"/>
        <v>0</v>
      </c>
      <c r="V1329" t="str">
        <f t="shared" si="125"/>
        <v xml:space="preserve"> </v>
      </c>
      <c r="Y1329" s="162" t="e">
        <f>VLOOKUP(B1329,Crewlist!AS:AU,3,FALSE)</f>
        <v>#N/A</v>
      </c>
      <c r="Z1329" s="163">
        <f t="shared" si="124"/>
        <v>0</v>
      </c>
    </row>
    <row r="1330" spans="2:26">
      <c r="B1330" s="171">
        <v>1329</v>
      </c>
      <c r="C1330" s="169"/>
      <c r="N1330" s="201">
        <v>0</v>
      </c>
      <c r="Q1330">
        <f t="shared" si="126"/>
        <v>0</v>
      </c>
      <c r="R1330">
        <f t="shared" si="123"/>
        <v>1328</v>
      </c>
      <c r="S1330">
        <f>IFERROR(SEARCH(Crewlist!$P$5,V1330)+ROW()/100000,"")</f>
        <v>1.0133000000000001</v>
      </c>
      <c r="T1330">
        <f t="shared" si="127"/>
        <v>1329</v>
      </c>
      <c r="U1330">
        <f t="shared" si="128"/>
        <v>0</v>
      </c>
      <c r="V1330" t="str">
        <f t="shared" si="125"/>
        <v xml:space="preserve"> </v>
      </c>
      <c r="Y1330" s="162" t="e">
        <f>VLOOKUP(B1330,Crewlist!AS:AU,3,FALSE)</f>
        <v>#N/A</v>
      </c>
      <c r="Z1330" s="163">
        <f t="shared" si="124"/>
        <v>0</v>
      </c>
    </row>
    <row r="1331" spans="2:26">
      <c r="B1331" s="202">
        <v>1330</v>
      </c>
      <c r="C1331" s="169"/>
      <c r="N1331" s="201">
        <v>0</v>
      </c>
      <c r="Q1331">
        <f t="shared" si="126"/>
        <v>0</v>
      </c>
      <c r="R1331">
        <f t="shared" si="123"/>
        <v>1329</v>
      </c>
      <c r="S1331">
        <f>IFERROR(SEARCH(Crewlist!$P$5,V1331)+ROW()/100000,"")</f>
        <v>1.0133099999999999</v>
      </c>
      <c r="T1331">
        <f t="shared" si="127"/>
        <v>1330</v>
      </c>
      <c r="U1331">
        <f t="shared" si="128"/>
        <v>0</v>
      </c>
      <c r="V1331" t="str">
        <f t="shared" si="125"/>
        <v xml:space="preserve"> </v>
      </c>
      <c r="Y1331" s="162" t="e">
        <f>VLOOKUP(B1331,Crewlist!AS:AU,3,FALSE)</f>
        <v>#N/A</v>
      </c>
      <c r="Z1331" s="163">
        <f t="shared" si="124"/>
        <v>0</v>
      </c>
    </row>
    <row r="1332" spans="2:26">
      <c r="B1332" s="171">
        <v>1331</v>
      </c>
      <c r="C1332" s="169"/>
      <c r="N1332" s="201">
        <v>0</v>
      </c>
      <c r="Q1332">
        <f t="shared" si="126"/>
        <v>0</v>
      </c>
      <c r="R1332">
        <f t="shared" si="123"/>
        <v>1330</v>
      </c>
      <c r="S1332">
        <f>IFERROR(SEARCH(Crewlist!$P$5,V1332)+ROW()/100000,"")</f>
        <v>1.01332</v>
      </c>
      <c r="T1332">
        <f t="shared" si="127"/>
        <v>1331</v>
      </c>
      <c r="U1332">
        <f t="shared" si="128"/>
        <v>0</v>
      </c>
      <c r="V1332" t="str">
        <f t="shared" si="125"/>
        <v xml:space="preserve"> </v>
      </c>
      <c r="Y1332" s="162" t="e">
        <f>VLOOKUP(B1332,Crewlist!AS:AU,3,FALSE)</f>
        <v>#N/A</v>
      </c>
      <c r="Z1332" s="163">
        <f t="shared" si="124"/>
        <v>0</v>
      </c>
    </row>
    <row r="1333" spans="2:26">
      <c r="B1333" s="171">
        <v>1332</v>
      </c>
      <c r="C1333" s="169"/>
      <c r="N1333" s="201">
        <v>0</v>
      </c>
      <c r="Q1333">
        <f t="shared" si="126"/>
        <v>0</v>
      </c>
      <c r="R1333">
        <f t="shared" si="123"/>
        <v>1331</v>
      </c>
      <c r="S1333">
        <f>IFERROR(SEARCH(Crewlist!$P$5,V1333)+ROW()/100000,"")</f>
        <v>1.0133300000000001</v>
      </c>
      <c r="T1333">
        <f t="shared" si="127"/>
        <v>1332</v>
      </c>
      <c r="U1333">
        <f t="shared" si="128"/>
        <v>0</v>
      </c>
      <c r="V1333" t="str">
        <f t="shared" si="125"/>
        <v xml:space="preserve"> </v>
      </c>
      <c r="Y1333" s="162" t="e">
        <f>VLOOKUP(B1333,Crewlist!AS:AU,3,FALSE)</f>
        <v>#N/A</v>
      </c>
      <c r="Z1333" s="163">
        <f t="shared" si="124"/>
        <v>0</v>
      </c>
    </row>
    <row r="1334" spans="2:26">
      <c r="B1334" s="202">
        <v>1333</v>
      </c>
      <c r="C1334" s="169"/>
      <c r="N1334" s="201">
        <v>0</v>
      </c>
      <c r="Q1334">
        <f t="shared" si="126"/>
        <v>0</v>
      </c>
      <c r="R1334">
        <f t="shared" si="123"/>
        <v>1332</v>
      </c>
      <c r="S1334">
        <f>IFERROR(SEARCH(Crewlist!$P$5,V1334)+ROW()/100000,"")</f>
        <v>1.0133399999999999</v>
      </c>
      <c r="T1334">
        <f t="shared" si="127"/>
        <v>1333</v>
      </c>
      <c r="U1334">
        <f t="shared" si="128"/>
        <v>0</v>
      </c>
      <c r="V1334" t="str">
        <f t="shared" si="125"/>
        <v xml:space="preserve"> </v>
      </c>
      <c r="Y1334" s="162" t="e">
        <f>VLOOKUP(B1334,Crewlist!AS:AU,3,FALSE)</f>
        <v>#N/A</v>
      </c>
      <c r="Z1334" s="163">
        <f t="shared" si="124"/>
        <v>0</v>
      </c>
    </row>
    <row r="1335" spans="2:26">
      <c r="B1335" s="171">
        <v>1334</v>
      </c>
      <c r="C1335" s="169"/>
      <c r="N1335" s="201">
        <v>0</v>
      </c>
      <c r="Q1335">
        <f t="shared" si="126"/>
        <v>0</v>
      </c>
      <c r="R1335">
        <f t="shared" si="123"/>
        <v>1333</v>
      </c>
      <c r="S1335">
        <f>IFERROR(SEARCH(Crewlist!$P$5,V1335)+ROW()/100000,"")</f>
        <v>1.01335</v>
      </c>
      <c r="T1335">
        <f t="shared" si="127"/>
        <v>1334</v>
      </c>
      <c r="U1335">
        <f t="shared" si="128"/>
        <v>0</v>
      </c>
      <c r="V1335" t="str">
        <f t="shared" si="125"/>
        <v xml:space="preserve"> </v>
      </c>
      <c r="Y1335" s="162" t="e">
        <f>VLOOKUP(B1335,Crewlist!AS:AU,3,FALSE)</f>
        <v>#N/A</v>
      </c>
      <c r="Z1335" s="163">
        <f t="shared" si="124"/>
        <v>0</v>
      </c>
    </row>
    <row r="1336" spans="2:26">
      <c r="B1336" s="171">
        <v>1335</v>
      </c>
      <c r="C1336" s="169"/>
      <c r="N1336" s="201">
        <v>0</v>
      </c>
      <c r="Q1336">
        <f t="shared" si="126"/>
        <v>0</v>
      </c>
      <c r="R1336">
        <f t="shared" si="123"/>
        <v>1334</v>
      </c>
      <c r="S1336">
        <f>IFERROR(SEARCH(Crewlist!$P$5,V1336)+ROW()/100000,"")</f>
        <v>1.01336</v>
      </c>
      <c r="T1336">
        <f t="shared" si="127"/>
        <v>1335</v>
      </c>
      <c r="U1336">
        <f t="shared" si="128"/>
        <v>0</v>
      </c>
      <c r="V1336" t="str">
        <f t="shared" si="125"/>
        <v xml:space="preserve"> </v>
      </c>
      <c r="Y1336" s="162" t="e">
        <f>VLOOKUP(B1336,Crewlist!AS:AU,3,FALSE)</f>
        <v>#N/A</v>
      </c>
      <c r="Z1336" s="163">
        <f t="shared" si="124"/>
        <v>0</v>
      </c>
    </row>
    <row r="1337" spans="2:26">
      <c r="B1337" s="202">
        <v>1336</v>
      </c>
      <c r="C1337" s="169"/>
      <c r="N1337" s="201">
        <v>0</v>
      </c>
      <c r="Q1337">
        <f t="shared" si="126"/>
        <v>0</v>
      </c>
      <c r="R1337">
        <f t="shared" si="123"/>
        <v>1335</v>
      </c>
      <c r="S1337">
        <f>IFERROR(SEARCH(Crewlist!$P$5,V1337)+ROW()/100000,"")</f>
        <v>1.0133700000000001</v>
      </c>
      <c r="T1337">
        <f t="shared" si="127"/>
        <v>1336</v>
      </c>
      <c r="U1337">
        <f t="shared" si="128"/>
        <v>0</v>
      </c>
      <c r="V1337" t="str">
        <f t="shared" si="125"/>
        <v xml:space="preserve"> </v>
      </c>
      <c r="Y1337" s="162" t="e">
        <f>VLOOKUP(B1337,Crewlist!AS:AU,3,FALSE)</f>
        <v>#N/A</v>
      </c>
      <c r="Z1337" s="163">
        <f t="shared" si="124"/>
        <v>0</v>
      </c>
    </row>
    <row r="1338" spans="2:26">
      <c r="B1338" s="171">
        <v>1337</v>
      </c>
      <c r="C1338" s="169"/>
      <c r="N1338" s="201">
        <v>0</v>
      </c>
      <c r="Q1338">
        <f t="shared" si="126"/>
        <v>0</v>
      </c>
      <c r="R1338">
        <f t="shared" si="123"/>
        <v>1336</v>
      </c>
      <c r="S1338">
        <f>IFERROR(SEARCH(Crewlist!$P$5,V1338)+ROW()/100000,"")</f>
        <v>1.0133799999999999</v>
      </c>
      <c r="T1338">
        <f t="shared" si="127"/>
        <v>1337</v>
      </c>
      <c r="U1338">
        <f t="shared" si="128"/>
        <v>0</v>
      </c>
      <c r="V1338" t="str">
        <f t="shared" si="125"/>
        <v xml:space="preserve"> </v>
      </c>
      <c r="Y1338" s="162" t="e">
        <f>VLOOKUP(B1338,Crewlist!AS:AU,3,FALSE)</f>
        <v>#N/A</v>
      </c>
      <c r="Z1338" s="163">
        <f t="shared" si="124"/>
        <v>0</v>
      </c>
    </row>
    <row r="1339" spans="2:26">
      <c r="B1339" s="171">
        <v>1338</v>
      </c>
      <c r="C1339" s="169"/>
      <c r="N1339" s="201">
        <v>0</v>
      </c>
      <c r="Q1339">
        <f t="shared" si="126"/>
        <v>0</v>
      </c>
      <c r="R1339">
        <f t="shared" si="123"/>
        <v>1337</v>
      </c>
      <c r="S1339">
        <f>IFERROR(SEARCH(Crewlist!$P$5,V1339)+ROW()/100000,"")</f>
        <v>1.01339</v>
      </c>
      <c r="T1339">
        <f t="shared" si="127"/>
        <v>1338</v>
      </c>
      <c r="U1339">
        <f t="shared" si="128"/>
        <v>0</v>
      </c>
      <c r="V1339" t="str">
        <f t="shared" si="125"/>
        <v xml:space="preserve"> </v>
      </c>
      <c r="Y1339" s="162" t="e">
        <f>VLOOKUP(B1339,Crewlist!AS:AU,3,FALSE)</f>
        <v>#N/A</v>
      </c>
      <c r="Z1339" s="163">
        <f t="shared" si="124"/>
        <v>0</v>
      </c>
    </row>
    <row r="1340" spans="2:26">
      <c r="B1340" s="202">
        <v>1339</v>
      </c>
      <c r="C1340" s="169"/>
      <c r="N1340" s="201">
        <v>0</v>
      </c>
      <c r="Q1340">
        <f t="shared" si="126"/>
        <v>0</v>
      </c>
      <c r="R1340">
        <f t="shared" si="123"/>
        <v>1338</v>
      </c>
      <c r="S1340">
        <f>IFERROR(SEARCH(Crewlist!$P$5,V1340)+ROW()/100000,"")</f>
        <v>1.0134000000000001</v>
      </c>
      <c r="T1340">
        <f t="shared" si="127"/>
        <v>1339</v>
      </c>
      <c r="U1340">
        <f t="shared" si="128"/>
        <v>0</v>
      </c>
      <c r="V1340" t="str">
        <f t="shared" si="125"/>
        <v xml:space="preserve"> </v>
      </c>
      <c r="Y1340" s="162" t="e">
        <f>VLOOKUP(B1340,Crewlist!AS:AU,3,FALSE)</f>
        <v>#N/A</v>
      </c>
      <c r="Z1340" s="163">
        <f t="shared" si="124"/>
        <v>0</v>
      </c>
    </row>
    <row r="1341" spans="2:26">
      <c r="B1341" s="171">
        <v>1340</v>
      </c>
      <c r="C1341" s="169"/>
      <c r="N1341" s="201">
        <v>0</v>
      </c>
      <c r="Q1341">
        <f t="shared" si="126"/>
        <v>0</v>
      </c>
      <c r="R1341">
        <f t="shared" si="123"/>
        <v>1339</v>
      </c>
      <c r="S1341">
        <f>IFERROR(SEARCH(Crewlist!$P$5,V1341)+ROW()/100000,"")</f>
        <v>1.0134099999999999</v>
      </c>
      <c r="T1341">
        <f t="shared" si="127"/>
        <v>1340</v>
      </c>
      <c r="U1341">
        <f t="shared" si="128"/>
        <v>0</v>
      </c>
      <c r="V1341" t="str">
        <f t="shared" si="125"/>
        <v xml:space="preserve"> </v>
      </c>
      <c r="Y1341" s="162" t="e">
        <f>VLOOKUP(B1341,Crewlist!AS:AU,3,FALSE)</f>
        <v>#N/A</v>
      </c>
      <c r="Z1341" s="163">
        <f t="shared" si="124"/>
        <v>0</v>
      </c>
    </row>
    <row r="1342" spans="2:26">
      <c r="B1342" s="171">
        <v>1341</v>
      </c>
      <c r="C1342" s="169"/>
      <c r="N1342" s="201">
        <v>0</v>
      </c>
      <c r="Q1342">
        <f t="shared" si="126"/>
        <v>0</v>
      </c>
      <c r="R1342">
        <f t="shared" si="123"/>
        <v>1340</v>
      </c>
      <c r="S1342">
        <f>IFERROR(SEARCH(Crewlist!$P$5,V1342)+ROW()/100000,"")</f>
        <v>1.01342</v>
      </c>
      <c r="T1342">
        <f t="shared" si="127"/>
        <v>1341</v>
      </c>
      <c r="U1342">
        <f t="shared" si="128"/>
        <v>0</v>
      </c>
      <c r="V1342" t="str">
        <f t="shared" si="125"/>
        <v xml:space="preserve"> </v>
      </c>
      <c r="Y1342" s="162" t="e">
        <f>VLOOKUP(B1342,Crewlist!AS:AU,3,FALSE)</f>
        <v>#N/A</v>
      </c>
      <c r="Z1342" s="163">
        <f t="shared" si="124"/>
        <v>0</v>
      </c>
    </row>
    <row r="1343" spans="2:26">
      <c r="B1343" s="202">
        <v>1342</v>
      </c>
      <c r="C1343" s="169"/>
      <c r="N1343" s="201">
        <v>0</v>
      </c>
      <c r="Q1343">
        <f t="shared" si="126"/>
        <v>0</v>
      </c>
      <c r="R1343">
        <f t="shared" si="123"/>
        <v>1341</v>
      </c>
      <c r="S1343">
        <f>IFERROR(SEARCH(Crewlist!$P$5,V1343)+ROW()/100000,"")</f>
        <v>1.0134300000000001</v>
      </c>
      <c r="T1343">
        <f t="shared" si="127"/>
        <v>1342</v>
      </c>
      <c r="U1343">
        <f t="shared" si="128"/>
        <v>0</v>
      </c>
      <c r="V1343" t="str">
        <f t="shared" si="125"/>
        <v xml:space="preserve"> </v>
      </c>
      <c r="Y1343" s="162" t="e">
        <f>VLOOKUP(B1343,Crewlist!AS:AU,3,FALSE)</f>
        <v>#N/A</v>
      </c>
      <c r="Z1343" s="163">
        <f t="shared" si="124"/>
        <v>0</v>
      </c>
    </row>
    <row r="1344" spans="2:26">
      <c r="B1344" s="171">
        <v>1343</v>
      </c>
      <c r="C1344" s="169"/>
      <c r="N1344" s="201">
        <v>0</v>
      </c>
      <c r="Q1344">
        <f t="shared" si="126"/>
        <v>0</v>
      </c>
      <c r="R1344">
        <f t="shared" si="123"/>
        <v>1342</v>
      </c>
      <c r="S1344">
        <f>IFERROR(SEARCH(Crewlist!$P$5,V1344)+ROW()/100000,"")</f>
        <v>1.0134399999999999</v>
      </c>
      <c r="T1344">
        <f t="shared" si="127"/>
        <v>1343</v>
      </c>
      <c r="U1344">
        <f t="shared" si="128"/>
        <v>0</v>
      </c>
      <c r="V1344" t="str">
        <f t="shared" si="125"/>
        <v xml:space="preserve"> </v>
      </c>
      <c r="Y1344" s="162" t="e">
        <f>VLOOKUP(B1344,Crewlist!AS:AU,3,FALSE)</f>
        <v>#N/A</v>
      </c>
      <c r="Z1344" s="163">
        <f t="shared" si="124"/>
        <v>0</v>
      </c>
    </row>
    <row r="1345" spans="2:26">
      <c r="B1345" s="171">
        <v>1344</v>
      </c>
      <c r="C1345" s="169"/>
      <c r="N1345" s="201">
        <v>0</v>
      </c>
      <c r="Q1345">
        <f t="shared" si="126"/>
        <v>0</v>
      </c>
      <c r="R1345">
        <f t="shared" si="123"/>
        <v>1343</v>
      </c>
      <c r="S1345">
        <f>IFERROR(SEARCH(Crewlist!$P$5,V1345)+ROW()/100000,"")</f>
        <v>1.01345</v>
      </c>
      <c r="T1345">
        <f t="shared" si="127"/>
        <v>1344</v>
      </c>
      <c r="U1345">
        <f t="shared" si="128"/>
        <v>0</v>
      </c>
      <c r="V1345" t="str">
        <f t="shared" si="125"/>
        <v xml:space="preserve"> </v>
      </c>
      <c r="Y1345" s="162" t="e">
        <f>VLOOKUP(B1345,Crewlist!AS:AU,3,FALSE)</f>
        <v>#N/A</v>
      </c>
      <c r="Z1345" s="163">
        <f t="shared" si="124"/>
        <v>0</v>
      </c>
    </row>
    <row r="1346" spans="2:26">
      <c r="B1346" s="202">
        <v>1345</v>
      </c>
      <c r="C1346" s="169"/>
      <c r="N1346" s="201">
        <v>0</v>
      </c>
      <c r="Q1346">
        <f t="shared" si="126"/>
        <v>0</v>
      </c>
      <c r="R1346">
        <f t="shared" ref="R1346:R1409" si="129">IFERROR(RANK(S1346,$S$2:$S$1998,1),"")</f>
        <v>1344</v>
      </c>
      <c r="S1346">
        <f>IFERROR(SEARCH(Crewlist!$P$5,V1346)+ROW()/100000,"")</f>
        <v>1.01346</v>
      </c>
      <c r="T1346">
        <f t="shared" si="127"/>
        <v>1345</v>
      </c>
      <c r="U1346">
        <f t="shared" si="128"/>
        <v>0</v>
      </c>
      <c r="V1346" t="str">
        <f t="shared" si="125"/>
        <v xml:space="preserve"> </v>
      </c>
      <c r="Y1346" s="162" t="e">
        <f>VLOOKUP(B1346,Crewlist!AS:AU,3,FALSE)</f>
        <v>#N/A</v>
      </c>
      <c r="Z1346" s="163">
        <f t="shared" ref="Z1346:Z1409" si="130">IF(ISNUMBER(SEARCH("",Y1346)),Y1346,N1346)</f>
        <v>0</v>
      </c>
    </row>
    <row r="1347" spans="2:26">
      <c r="B1347" s="171">
        <v>1346</v>
      </c>
      <c r="C1347" s="169"/>
      <c r="N1347" s="201">
        <v>0</v>
      </c>
      <c r="Q1347">
        <f t="shared" si="126"/>
        <v>0</v>
      </c>
      <c r="R1347">
        <f t="shared" si="129"/>
        <v>1345</v>
      </c>
      <c r="S1347">
        <f>IFERROR(SEARCH(Crewlist!$P$5,V1347)+ROW()/100000,"")</f>
        <v>1.0134700000000001</v>
      </c>
      <c r="T1347">
        <f t="shared" si="127"/>
        <v>1346</v>
      </c>
      <c r="U1347">
        <f t="shared" si="128"/>
        <v>0</v>
      </c>
      <c r="V1347" t="str">
        <f t="shared" ref="V1347:V1410" si="131">CONCATENATE(C1347," ",D1347)</f>
        <v xml:space="preserve"> </v>
      </c>
      <c r="Y1347" s="162" t="e">
        <f>VLOOKUP(B1347,Crewlist!AS:AU,3,FALSE)</f>
        <v>#N/A</v>
      </c>
      <c r="Z1347" s="163">
        <f t="shared" si="130"/>
        <v>0</v>
      </c>
    </row>
    <row r="1348" spans="2:26">
      <c r="B1348" s="171">
        <v>1347</v>
      </c>
      <c r="C1348" s="169"/>
      <c r="N1348" s="201">
        <v>0</v>
      </c>
      <c r="Q1348">
        <f t="shared" si="126"/>
        <v>0</v>
      </c>
      <c r="R1348">
        <f t="shared" si="129"/>
        <v>1346</v>
      </c>
      <c r="S1348">
        <f>IFERROR(SEARCH(Crewlist!$P$5,V1348)+ROW()/100000,"")</f>
        <v>1.0134799999999999</v>
      </c>
      <c r="T1348">
        <f t="shared" si="127"/>
        <v>1347</v>
      </c>
      <c r="U1348">
        <f t="shared" si="128"/>
        <v>0</v>
      </c>
      <c r="V1348" t="str">
        <f t="shared" si="131"/>
        <v xml:space="preserve"> </v>
      </c>
      <c r="Y1348" s="162" t="e">
        <f>VLOOKUP(B1348,Crewlist!AS:AU,3,FALSE)</f>
        <v>#N/A</v>
      </c>
      <c r="Z1348" s="163">
        <f t="shared" si="130"/>
        <v>0</v>
      </c>
    </row>
    <row r="1349" spans="2:26">
      <c r="B1349" s="202">
        <v>1348</v>
      </c>
      <c r="C1349" s="169"/>
      <c r="N1349" s="201">
        <v>0</v>
      </c>
      <c r="Q1349">
        <f t="shared" si="126"/>
        <v>0</v>
      </c>
      <c r="R1349">
        <f t="shared" si="129"/>
        <v>1347</v>
      </c>
      <c r="S1349">
        <f>IFERROR(SEARCH(Crewlist!$P$5,V1349)+ROW()/100000,"")</f>
        <v>1.01349</v>
      </c>
      <c r="T1349">
        <f t="shared" si="127"/>
        <v>1348</v>
      </c>
      <c r="U1349">
        <f t="shared" si="128"/>
        <v>0</v>
      </c>
      <c r="V1349" t="str">
        <f t="shared" si="131"/>
        <v xml:space="preserve"> </v>
      </c>
      <c r="Y1349" s="162" t="e">
        <f>VLOOKUP(B1349,Crewlist!AS:AU,3,FALSE)</f>
        <v>#N/A</v>
      </c>
      <c r="Z1349" s="163">
        <f t="shared" si="130"/>
        <v>0</v>
      </c>
    </row>
    <row r="1350" spans="2:26">
      <c r="B1350" s="171">
        <v>1349</v>
      </c>
      <c r="C1350" s="169"/>
      <c r="N1350" s="201">
        <v>0</v>
      </c>
      <c r="Q1350">
        <f t="shared" si="126"/>
        <v>0</v>
      </c>
      <c r="R1350">
        <f t="shared" si="129"/>
        <v>1348</v>
      </c>
      <c r="S1350">
        <f>IFERROR(SEARCH(Crewlist!$P$5,V1350)+ROW()/100000,"")</f>
        <v>1.0135000000000001</v>
      </c>
      <c r="T1350">
        <f t="shared" si="127"/>
        <v>1349</v>
      </c>
      <c r="U1350">
        <f t="shared" si="128"/>
        <v>0</v>
      </c>
      <c r="V1350" t="str">
        <f t="shared" si="131"/>
        <v xml:space="preserve"> </v>
      </c>
      <c r="Y1350" s="162" t="e">
        <f>VLOOKUP(B1350,Crewlist!AS:AU,3,FALSE)</f>
        <v>#N/A</v>
      </c>
      <c r="Z1350" s="163">
        <f t="shared" si="130"/>
        <v>0</v>
      </c>
    </row>
    <row r="1351" spans="2:26">
      <c r="B1351" s="171">
        <v>1350</v>
      </c>
      <c r="C1351" s="169"/>
      <c r="N1351" s="201">
        <v>0</v>
      </c>
      <c r="Q1351">
        <f t="shared" si="126"/>
        <v>0</v>
      </c>
      <c r="R1351">
        <f t="shared" si="129"/>
        <v>1349</v>
      </c>
      <c r="S1351">
        <f>IFERROR(SEARCH(Crewlist!$P$5,V1351)+ROW()/100000,"")</f>
        <v>1.0135099999999999</v>
      </c>
      <c r="T1351">
        <f t="shared" si="127"/>
        <v>1350</v>
      </c>
      <c r="U1351">
        <f t="shared" si="128"/>
        <v>0</v>
      </c>
      <c r="V1351" t="str">
        <f t="shared" si="131"/>
        <v xml:space="preserve"> </v>
      </c>
      <c r="Y1351" s="162" t="e">
        <f>VLOOKUP(B1351,Crewlist!AS:AU,3,FALSE)</f>
        <v>#N/A</v>
      </c>
      <c r="Z1351" s="163">
        <f t="shared" si="130"/>
        <v>0</v>
      </c>
    </row>
    <row r="1352" spans="2:26">
      <c r="B1352" s="202">
        <v>1351</v>
      </c>
      <c r="C1352" s="169"/>
      <c r="N1352" s="201">
        <v>0</v>
      </c>
      <c r="Q1352">
        <f t="shared" si="126"/>
        <v>0</v>
      </c>
      <c r="R1352">
        <f t="shared" si="129"/>
        <v>1350</v>
      </c>
      <c r="S1352">
        <f>IFERROR(SEARCH(Crewlist!$P$5,V1352)+ROW()/100000,"")</f>
        <v>1.01352</v>
      </c>
      <c r="T1352">
        <f t="shared" si="127"/>
        <v>1351</v>
      </c>
      <c r="U1352">
        <f t="shared" si="128"/>
        <v>0</v>
      </c>
      <c r="V1352" t="str">
        <f t="shared" si="131"/>
        <v xml:space="preserve"> </v>
      </c>
      <c r="Y1352" s="162" t="e">
        <f>VLOOKUP(B1352,Crewlist!AS:AU,3,FALSE)</f>
        <v>#N/A</v>
      </c>
      <c r="Z1352" s="163">
        <f t="shared" si="130"/>
        <v>0</v>
      </c>
    </row>
    <row r="1353" spans="2:26">
      <c r="B1353" s="171">
        <v>1352</v>
      </c>
      <c r="C1353" s="169"/>
      <c r="N1353" s="201">
        <v>0</v>
      </c>
      <c r="Q1353">
        <f t="shared" ref="Q1353:Q1416" si="132">IF(C1353&lt;&gt; "",B1353,0)</f>
        <v>0</v>
      </c>
      <c r="R1353">
        <f t="shared" si="129"/>
        <v>1351</v>
      </c>
      <c r="S1353">
        <f>IFERROR(SEARCH(Crewlist!$P$5,V1353)+ROW()/100000,"")</f>
        <v>1.01353</v>
      </c>
      <c r="T1353">
        <f t="shared" ref="T1353:T1416" si="133">B1353</f>
        <v>1352</v>
      </c>
      <c r="U1353">
        <f t="shared" ref="U1353:U1416" si="134">C1353</f>
        <v>0</v>
      </c>
      <c r="V1353" t="str">
        <f t="shared" si="131"/>
        <v xml:space="preserve"> </v>
      </c>
      <c r="Y1353" s="162" t="e">
        <f>VLOOKUP(B1353,Crewlist!AS:AU,3,FALSE)</f>
        <v>#N/A</v>
      </c>
      <c r="Z1353" s="163">
        <f t="shared" si="130"/>
        <v>0</v>
      </c>
    </row>
    <row r="1354" spans="2:26">
      <c r="B1354" s="171">
        <v>1353</v>
      </c>
      <c r="C1354" s="169"/>
      <c r="N1354" s="201">
        <v>0</v>
      </c>
      <c r="Q1354">
        <f t="shared" si="132"/>
        <v>0</v>
      </c>
      <c r="R1354">
        <f t="shared" si="129"/>
        <v>1352</v>
      </c>
      <c r="S1354">
        <f>IFERROR(SEARCH(Crewlist!$P$5,V1354)+ROW()/100000,"")</f>
        <v>1.0135400000000001</v>
      </c>
      <c r="T1354">
        <f t="shared" si="133"/>
        <v>1353</v>
      </c>
      <c r="U1354">
        <f t="shared" si="134"/>
        <v>0</v>
      </c>
      <c r="V1354" t="str">
        <f t="shared" si="131"/>
        <v xml:space="preserve"> </v>
      </c>
      <c r="Y1354" s="162" t="e">
        <f>VLOOKUP(B1354,Crewlist!AS:AU,3,FALSE)</f>
        <v>#N/A</v>
      </c>
      <c r="Z1354" s="163">
        <f t="shared" si="130"/>
        <v>0</v>
      </c>
    </row>
    <row r="1355" spans="2:26">
      <c r="B1355" s="202">
        <v>1354</v>
      </c>
      <c r="C1355" s="169"/>
      <c r="N1355" s="201">
        <v>0</v>
      </c>
      <c r="Q1355">
        <f t="shared" si="132"/>
        <v>0</v>
      </c>
      <c r="R1355">
        <f t="shared" si="129"/>
        <v>1353</v>
      </c>
      <c r="S1355">
        <f>IFERROR(SEARCH(Crewlist!$P$5,V1355)+ROW()/100000,"")</f>
        <v>1.01355</v>
      </c>
      <c r="T1355">
        <f t="shared" si="133"/>
        <v>1354</v>
      </c>
      <c r="U1355">
        <f t="shared" si="134"/>
        <v>0</v>
      </c>
      <c r="V1355" t="str">
        <f t="shared" si="131"/>
        <v xml:space="preserve"> </v>
      </c>
      <c r="Y1355" s="162" t="e">
        <f>VLOOKUP(B1355,Crewlist!AS:AU,3,FALSE)</f>
        <v>#N/A</v>
      </c>
      <c r="Z1355" s="163">
        <f t="shared" si="130"/>
        <v>0</v>
      </c>
    </row>
    <row r="1356" spans="2:26">
      <c r="B1356" s="171">
        <v>1355</v>
      </c>
      <c r="C1356" s="169"/>
      <c r="N1356" s="201">
        <v>0</v>
      </c>
      <c r="Q1356">
        <f t="shared" si="132"/>
        <v>0</v>
      </c>
      <c r="R1356">
        <f t="shared" si="129"/>
        <v>1354</v>
      </c>
      <c r="S1356">
        <f>IFERROR(SEARCH(Crewlist!$P$5,V1356)+ROW()/100000,"")</f>
        <v>1.01356</v>
      </c>
      <c r="T1356">
        <f t="shared" si="133"/>
        <v>1355</v>
      </c>
      <c r="U1356">
        <f t="shared" si="134"/>
        <v>0</v>
      </c>
      <c r="V1356" t="str">
        <f t="shared" si="131"/>
        <v xml:space="preserve"> </v>
      </c>
      <c r="Y1356" s="162" t="e">
        <f>VLOOKUP(B1356,Crewlist!AS:AU,3,FALSE)</f>
        <v>#N/A</v>
      </c>
      <c r="Z1356" s="163">
        <f t="shared" si="130"/>
        <v>0</v>
      </c>
    </row>
    <row r="1357" spans="2:26">
      <c r="B1357" s="171">
        <v>1356</v>
      </c>
      <c r="C1357" s="169"/>
      <c r="N1357" s="201">
        <v>0</v>
      </c>
      <c r="Q1357">
        <f t="shared" si="132"/>
        <v>0</v>
      </c>
      <c r="R1357">
        <f t="shared" si="129"/>
        <v>1355</v>
      </c>
      <c r="S1357">
        <f>IFERROR(SEARCH(Crewlist!$P$5,V1357)+ROW()/100000,"")</f>
        <v>1.0135700000000001</v>
      </c>
      <c r="T1357">
        <f t="shared" si="133"/>
        <v>1356</v>
      </c>
      <c r="U1357">
        <f t="shared" si="134"/>
        <v>0</v>
      </c>
      <c r="V1357" t="str">
        <f t="shared" si="131"/>
        <v xml:space="preserve"> </v>
      </c>
      <c r="Y1357" s="162" t="e">
        <f>VLOOKUP(B1357,Crewlist!AS:AU,3,FALSE)</f>
        <v>#N/A</v>
      </c>
      <c r="Z1357" s="163">
        <f t="shared" si="130"/>
        <v>0</v>
      </c>
    </row>
    <row r="1358" spans="2:26">
      <c r="B1358" s="202">
        <v>1357</v>
      </c>
      <c r="C1358" s="169"/>
      <c r="N1358" s="201">
        <v>0</v>
      </c>
      <c r="Q1358">
        <f t="shared" si="132"/>
        <v>0</v>
      </c>
      <c r="R1358">
        <f t="shared" si="129"/>
        <v>1356</v>
      </c>
      <c r="S1358">
        <f>IFERROR(SEARCH(Crewlist!$P$5,V1358)+ROW()/100000,"")</f>
        <v>1.0135799999999999</v>
      </c>
      <c r="T1358">
        <f t="shared" si="133"/>
        <v>1357</v>
      </c>
      <c r="U1358">
        <f t="shared" si="134"/>
        <v>0</v>
      </c>
      <c r="V1358" t="str">
        <f t="shared" si="131"/>
        <v xml:space="preserve"> </v>
      </c>
      <c r="Y1358" s="162" t="e">
        <f>VLOOKUP(B1358,Crewlist!AS:AU,3,FALSE)</f>
        <v>#N/A</v>
      </c>
      <c r="Z1358" s="163">
        <f t="shared" si="130"/>
        <v>0</v>
      </c>
    </row>
    <row r="1359" spans="2:26">
      <c r="B1359" s="171">
        <v>1358</v>
      </c>
      <c r="C1359" s="169"/>
      <c r="N1359" s="201">
        <v>0</v>
      </c>
      <c r="Q1359">
        <f t="shared" si="132"/>
        <v>0</v>
      </c>
      <c r="R1359">
        <f t="shared" si="129"/>
        <v>1357</v>
      </c>
      <c r="S1359">
        <f>IFERROR(SEARCH(Crewlist!$P$5,V1359)+ROW()/100000,"")</f>
        <v>1.01359</v>
      </c>
      <c r="T1359">
        <f t="shared" si="133"/>
        <v>1358</v>
      </c>
      <c r="U1359">
        <f t="shared" si="134"/>
        <v>0</v>
      </c>
      <c r="V1359" t="str">
        <f t="shared" si="131"/>
        <v xml:space="preserve"> </v>
      </c>
      <c r="Y1359" s="162" t="e">
        <f>VLOOKUP(B1359,Crewlist!AS:AU,3,FALSE)</f>
        <v>#N/A</v>
      </c>
      <c r="Z1359" s="163">
        <f t="shared" si="130"/>
        <v>0</v>
      </c>
    </row>
    <row r="1360" spans="2:26">
      <c r="B1360" s="171">
        <v>1359</v>
      </c>
      <c r="C1360" s="169"/>
      <c r="N1360" s="201">
        <v>0</v>
      </c>
      <c r="Q1360">
        <f t="shared" si="132"/>
        <v>0</v>
      </c>
      <c r="R1360">
        <f t="shared" si="129"/>
        <v>1358</v>
      </c>
      <c r="S1360">
        <f>IFERROR(SEARCH(Crewlist!$P$5,V1360)+ROW()/100000,"")</f>
        <v>1.0136000000000001</v>
      </c>
      <c r="T1360">
        <f t="shared" si="133"/>
        <v>1359</v>
      </c>
      <c r="U1360">
        <f t="shared" si="134"/>
        <v>0</v>
      </c>
      <c r="V1360" t="str">
        <f t="shared" si="131"/>
        <v xml:space="preserve"> </v>
      </c>
      <c r="Y1360" s="162" t="e">
        <f>VLOOKUP(B1360,Crewlist!AS:AU,3,FALSE)</f>
        <v>#N/A</v>
      </c>
      <c r="Z1360" s="163">
        <f t="shared" si="130"/>
        <v>0</v>
      </c>
    </row>
    <row r="1361" spans="2:26">
      <c r="B1361" s="202">
        <v>1360</v>
      </c>
      <c r="C1361" s="169"/>
      <c r="N1361" s="201">
        <v>0</v>
      </c>
      <c r="Q1361">
        <f t="shared" si="132"/>
        <v>0</v>
      </c>
      <c r="R1361">
        <f t="shared" si="129"/>
        <v>1359</v>
      </c>
      <c r="S1361">
        <f>IFERROR(SEARCH(Crewlist!$P$5,V1361)+ROW()/100000,"")</f>
        <v>1.0136099999999999</v>
      </c>
      <c r="T1361">
        <f t="shared" si="133"/>
        <v>1360</v>
      </c>
      <c r="U1361">
        <f t="shared" si="134"/>
        <v>0</v>
      </c>
      <c r="V1361" t="str">
        <f t="shared" si="131"/>
        <v xml:space="preserve"> </v>
      </c>
      <c r="Y1361" s="162" t="e">
        <f>VLOOKUP(B1361,Crewlist!AS:AU,3,FALSE)</f>
        <v>#N/A</v>
      </c>
      <c r="Z1361" s="163">
        <f t="shared" si="130"/>
        <v>0</v>
      </c>
    </row>
    <row r="1362" spans="2:26">
      <c r="B1362" s="171">
        <v>1361</v>
      </c>
      <c r="C1362" s="169"/>
      <c r="N1362" s="201">
        <v>0</v>
      </c>
      <c r="Q1362">
        <f t="shared" si="132"/>
        <v>0</v>
      </c>
      <c r="R1362">
        <f t="shared" si="129"/>
        <v>1360</v>
      </c>
      <c r="S1362">
        <f>IFERROR(SEARCH(Crewlist!$P$5,V1362)+ROW()/100000,"")</f>
        <v>1.01362</v>
      </c>
      <c r="T1362">
        <f t="shared" si="133"/>
        <v>1361</v>
      </c>
      <c r="U1362">
        <f t="shared" si="134"/>
        <v>0</v>
      </c>
      <c r="V1362" t="str">
        <f t="shared" si="131"/>
        <v xml:space="preserve"> </v>
      </c>
      <c r="Y1362" s="162" t="e">
        <f>VLOOKUP(B1362,Crewlist!AS:AU,3,FALSE)</f>
        <v>#N/A</v>
      </c>
      <c r="Z1362" s="163">
        <f t="shared" si="130"/>
        <v>0</v>
      </c>
    </row>
    <row r="1363" spans="2:26">
      <c r="B1363" s="171">
        <v>1362</v>
      </c>
      <c r="C1363" s="169"/>
      <c r="N1363" s="201">
        <v>0</v>
      </c>
      <c r="Q1363">
        <f t="shared" si="132"/>
        <v>0</v>
      </c>
      <c r="R1363">
        <f t="shared" si="129"/>
        <v>1361</v>
      </c>
      <c r="S1363">
        <f>IFERROR(SEARCH(Crewlist!$P$5,V1363)+ROW()/100000,"")</f>
        <v>1.01363</v>
      </c>
      <c r="T1363">
        <f t="shared" si="133"/>
        <v>1362</v>
      </c>
      <c r="U1363">
        <f t="shared" si="134"/>
        <v>0</v>
      </c>
      <c r="V1363" t="str">
        <f t="shared" si="131"/>
        <v xml:space="preserve"> </v>
      </c>
      <c r="Y1363" s="162" t="e">
        <f>VLOOKUP(B1363,Crewlist!AS:AU,3,FALSE)</f>
        <v>#N/A</v>
      </c>
      <c r="Z1363" s="163">
        <f t="shared" si="130"/>
        <v>0</v>
      </c>
    </row>
    <row r="1364" spans="2:26">
      <c r="B1364" s="202">
        <v>1363</v>
      </c>
      <c r="C1364" s="169"/>
      <c r="N1364" s="201">
        <v>0</v>
      </c>
      <c r="Q1364">
        <f t="shared" si="132"/>
        <v>0</v>
      </c>
      <c r="R1364">
        <f t="shared" si="129"/>
        <v>1362</v>
      </c>
      <c r="S1364">
        <f>IFERROR(SEARCH(Crewlist!$P$5,V1364)+ROW()/100000,"")</f>
        <v>1.0136400000000001</v>
      </c>
      <c r="T1364">
        <f t="shared" si="133"/>
        <v>1363</v>
      </c>
      <c r="U1364">
        <f t="shared" si="134"/>
        <v>0</v>
      </c>
      <c r="V1364" t="str">
        <f t="shared" si="131"/>
        <v xml:space="preserve"> </v>
      </c>
      <c r="Y1364" s="162" t="e">
        <f>VLOOKUP(B1364,Crewlist!AS:AU,3,FALSE)</f>
        <v>#N/A</v>
      </c>
      <c r="Z1364" s="163">
        <f t="shared" si="130"/>
        <v>0</v>
      </c>
    </row>
    <row r="1365" spans="2:26">
      <c r="B1365" s="171">
        <v>1364</v>
      </c>
      <c r="C1365" s="169"/>
      <c r="N1365" s="201">
        <v>0</v>
      </c>
      <c r="Q1365">
        <f t="shared" si="132"/>
        <v>0</v>
      </c>
      <c r="R1365">
        <f t="shared" si="129"/>
        <v>1363</v>
      </c>
      <c r="S1365">
        <f>IFERROR(SEARCH(Crewlist!$P$5,V1365)+ROW()/100000,"")</f>
        <v>1.0136499999999999</v>
      </c>
      <c r="T1365">
        <f t="shared" si="133"/>
        <v>1364</v>
      </c>
      <c r="U1365">
        <f t="shared" si="134"/>
        <v>0</v>
      </c>
      <c r="V1365" t="str">
        <f t="shared" si="131"/>
        <v xml:space="preserve"> </v>
      </c>
      <c r="Y1365" s="162" t="e">
        <f>VLOOKUP(B1365,Crewlist!AS:AU,3,FALSE)</f>
        <v>#N/A</v>
      </c>
      <c r="Z1365" s="163">
        <f t="shared" si="130"/>
        <v>0</v>
      </c>
    </row>
    <row r="1366" spans="2:26">
      <c r="B1366" s="171">
        <v>1365</v>
      </c>
      <c r="C1366" s="169"/>
      <c r="N1366" s="201">
        <v>0</v>
      </c>
      <c r="Q1366">
        <f t="shared" si="132"/>
        <v>0</v>
      </c>
      <c r="R1366">
        <f t="shared" si="129"/>
        <v>1364</v>
      </c>
      <c r="S1366">
        <f>IFERROR(SEARCH(Crewlist!$P$5,V1366)+ROW()/100000,"")</f>
        <v>1.01366</v>
      </c>
      <c r="T1366">
        <f t="shared" si="133"/>
        <v>1365</v>
      </c>
      <c r="U1366">
        <f t="shared" si="134"/>
        <v>0</v>
      </c>
      <c r="V1366" t="str">
        <f t="shared" si="131"/>
        <v xml:space="preserve"> </v>
      </c>
      <c r="Y1366" s="162" t="e">
        <f>VLOOKUP(B1366,Crewlist!AS:AU,3,FALSE)</f>
        <v>#N/A</v>
      </c>
      <c r="Z1366" s="163">
        <f t="shared" si="130"/>
        <v>0</v>
      </c>
    </row>
    <row r="1367" spans="2:26">
      <c r="B1367" s="202">
        <v>1366</v>
      </c>
      <c r="C1367" s="169"/>
      <c r="N1367" s="201">
        <v>0</v>
      </c>
      <c r="Q1367">
        <f t="shared" si="132"/>
        <v>0</v>
      </c>
      <c r="R1367">
        <f t="shared" si="129"/>
        <v>1365</v>
      </c>
      <c r="S1367">
        <f>IFERROR(SEARCH(Crewlist!$P$5,V1367)+ROW()/100000,"")</f>
        <v>1.0136700000000001</v>
      </c>
      <c r="T1367">
        <f t="shared" si="133"/>
        <v>1366</v>
      </c>
      <c r="U1367">
        <f t="shared" si="134"/>
        <v>0</v>
      </c>
      <c r="V1367" t="str">
        <f t="shared" si="131"/>
        <v xml:space="preserve"> </v>
      </c>
      <c r="Y1367" s="162" t="e">
        <f>VLOOKUP(B1367,Crewlist!AS:AU,3,FALSE)</f>
        <v>#N/A</v>
      </c>
      <c r="Z1367" s="163">
        <f t="shared" si="130"/>
        <v>0</v>
      </c>
    </row>
    <row r="1368" spans="2:26">
      <c r="B1368" s="171">
        <v>1367</v>
      </c>
      <c r="C1368" s="169"/>
      <c r="N1368" s="201">
        <v>0</v>
      </c>
      <c r="Q1368">
        <f t="shared" si="132"/>
        <v>0</v>
      </c>
      <c r="R1368">
        <f t="shared" si="129"/>
        <v>1366</v>
      </c>
      <c r="S1368">
        <f>IFERROR(SEARCH(Crewlist!$P$5,V1368)+ROW()/100000,"")</f>
        <v>1.0136799999999999</v>
      </c>
      <c r="T1368">
        <f t="shared" si="133"/>
        <v>1367</v>
      </c>
      <c r="U1368">
        <f t="shared" si="134"/>
        <v>0</v>
      </c>
      <c r="V1368" t="str">
        <f t="shared" si="131"/>
        <v xml:space="preserve"> </v>
      </c>
      <c r="Y1368" s="162" t="e">
        <f>VLOOKUP(B1368,Crewlist!AS:AU,3,FALSE)</f>
        <v>#N/A</v>
      </c>
      <c r="Z1368" s="163">
        <f t="shared" si="130"/>
        <v>0</v>
      </c>
    </row>
    <row r="1369" spans="2:26">
      <c r="B1369" s="171">
        <v>1368</v>
      </c>
      <c r="C1369" s="169"/>
      <c r="N1369" s="201">
        <v>0</v>
      </c>
      <c r="Q1369">
        <f t="shared" si="132"/>
        <v>0</v>
      </c>
      <c r="R1369">
        <f t="shared" si="129"/>
        <v>1367</v>
      </c>
      <c r="S1369">
        <f>IFERROR(SEARCH(Crewlist!$P$5,V1369)+ROW()/100000,"")</f>
        <v>1.01369</v>
      </c>
      <c r="T1369">
        <f t="shared" si="133"/>
        <v>1368</v>
      </c>
      <c r="U1369">
        <f t="shared" si="134"/>
        <v>0</v>
      </c>
      <c r="V1369" t="str">
        <f t="shared" si="131"/>
        <v xml:space="preserve"> </v>
      </c>
      <c r="Y1369" s="162" t="e">
        <f>VLOOKUP(B1369,Crewlist!AS:AU,3,FALSE)</f>
        <v>#N/A</v>
      </c>
      <c r="Z1369" s="163">
        <f t="shared" si="130"/>
        <v>0</v>
      </c>
    </row>
    <row r="1370" spans="2:26">
      <c r="B1370" s="202">
        <v>1369</v>
      </c>
      <c r="C1370" s="169"/>
      <c r="N1370" s="201">
        <v>0</v>
      </c>
      <c r="Q1370">
        <f t="shared" si="132"/>
        <v>0</v>
      </c>
      <c r="R1370">
        <f t="shared" si="129"/>
        <v>1368</v>
      </c>
      <c r="S1370">
        <f>IFERROR(SEARCH(Crewlist!$P$5,V1370)+ROW()/100000,"")</f>
        <v>1.0137</v>
      </c>
      <c r="T1370">
        <f t="shared" si="133"/>
        <v>1369</v>
      </c>
      <c r="U1370">
        <f t="shared" si="134"/>
        <v>0</v>
      </c>
      <c r="V1370" t="str">
        <f t="shared" si="131"/>
        <v xml:space="preserve"> </v>
      </c>
      <c r="Y1370" s="162" t="e">
        <f>VLOOKUP(B1370,Crewlist!AS:AU,3,FALSE)</f>
        <v>#N/A</v>
      </c>
      <c r="Z1370" s="163">
        <f t="shared" si="130"/>
        <v>0</v>
      </c>
    </row>
    <row r="1371" spans="2:26">
      <c r="B1371" s="171">
        <v>1370</v>
      </c>
      <c r="C1371" s="169"/>
      <c r="N1371" s="201">
        <v>0</v>
      </c>
      <c r="Q1371">
        <f t="shared" si="132"/>
        <v>0</v>
      </c>
      <c r="R1371">
        <f t="shared" si="129"/>
        <v>1369</v>
      </c>
      <c r="S1371">
        <f>IFERROR(SEARCH(Crewlist!$P$5,V1371)+ROW()/100000,"")</f>
        <v>1.0137100000000001</v>
      </c>
      <c r="T1371">
        <f t="shared" si="133"/>
        <v>1370</v>
      </c>
      <c r="U1371">
        <f t="shared" si="134"/>
        <v>0</v>
      </c>
      <c r="V1371" t="str">
        <f t="shared" si="131"/>
        <v xml:space="preserve"> </v>
      </c>
      <c r="Y1371" s="162" t="e">
        <f>VLOOKUP(B1371,Crewlist!AS:AU,3,FALSE)</f>
        <v>#N/A</v>
      </c>
      <c r="Z1371" s="163">
        <f t="shared" si="130"/>
        <v>0</v>
      </c>
    </row>
    <row r="1372" spans="2:26">
      <c r="B1372" s="171">
        <v>1371</v>
      </c>
      <c r="C1372" s="169"/>
      <c r="N1372" s="201">
        <v>0</v>
      </c>
      <c r="Q1372">
        <f t="shared" si="132"/>
        <v>0</v>
      </c>
      <c r="R1372">
        <f t="shared" si="129"/>
        <v>1370</v>
      </c>
      <c r="S1372">
        <f>IFERROR(SEARCH(Crewlist!$P$5,V1372)+ROW()/100000,"")</f>
        <v>1.01372</v>
      </c>
      <c r="T1372">
        <f t="shared" si="133"/>
        <v>1371</v>
      </c>
      <c r="U1372">
        <f t="shared" si="134"/>
        <v>0</v>
      </c>
      <c r="V1372" t="str">
        <f t="shared" si="131"/>
        <v xml:space="preserve"> </v>
      </c>
      <c r="Y1372" s="162" t="e">
        <f>VLOOKUP(B1372,Crewlist!AS:AU,3,FALSE)</f>
        <v>#N/A</v>
      </c>
      <c r="Z1372" s="163">
        <f t="shared" si="130"/>
        <v>0</v>
      </c>
    </row>
    <row r="1373" spans="2:26">
      <c r="B1373" s="202">
        <v>1372</v>
      </c>
      <c r="C1373" s="169"/>
      <c r="N1373" s="201">
        <v>0</v>
      </c>
      <c r="Q1373">
        <f t="shared" si="132"/>
        <v>0</v>
      </c>
      <c r="R1373">
        <f t="shared" si="129"/>
        <v>1371</v>
      </c>
      <c r="S1373">
        <f>IFERROR(SEARCH(Crewlist!$P$5,V1373)+ROW()/100000,"")</f>
        <v>1.01373</v>
      </c>
      <c r="T1373">
        <f t="shared" si="133"/>
        <v>1372</v>
      </c>
      <c r="U1373">
        <f t="shared" si="134"/>
        <v>0</v>
      </c>
      <c r="V1373" t="str">
        <f t="shared" si="131"/>
        <v xml:space="preserve"> </v>
      </c>
      <c r="Y1373" s="162" t="e">
        <f>VLOOKUP(B1373,Crewlist!AS:AU,3,FALSE)</f>
        <v>#N/A</v>
      </c>
      <c r="Z1373" s="163">
        <f t="shared" si="130"/>
        <v>0</v>
      </c>
    </row>
    <row r="1374" spans="2:26">
      <c r="B1374" s="171">
        <v>1373</v>
      </c>
      <c r="C1374" s="169"/>
      <c r="N1374" s="201">
        <v>0</v>
      </c>
      <c r="Q1374">
        <f t="shared" si="132"/>
        <v>0</v>
      </c>
      <c r="R1374">
        <f t="shared" si="129"/>
        <v>1372</v>
      </c>
      <c r="S1374">
        <f>IFERROR(SEARCH(Crewlist!$P$5,V1374)+ROW()/100000,"")</f>
        <v>1.0137400000000001</v>
      </c>
      <c r="T1374">
        <f t="shared" si="133"/>
        <v>1373</v>
      </c>
      <c r="U1374">
        <f t="shared" si="134"/>
        <v>0</v>
      </c>
      <c r="V1374" t="str">
        <f t="shared" si="131"/>
        <v xml:space="preserve"> </v>
      </c>
      <c r="Y1374" s="162" t="e">
        <f>VLOOKUP(B1374,Crewlist!AS:AU,3,FALSE)</f>
        <v>#N/A</v>
      </c>
      <c r="Z1374" s="163">
        <f t="shared" si="130"/>
        <v>0</v>
      </c>
    </row>
    <row r="1375" spans="2:26">
      <c r="B1375" s="171">
        <v>1374</v>
      </c>
      <c r="C1375" s="169"/>
      <c r="N1375" s="201">
        <v>0</v>
      </c>
      <c r="Q1375">
        <f t="shared" si="132"/>
        <v>0</v>
      </c>
      <c r="R1375">
        <f t="shared" si="129"/>
        <v>1373</v>
      </c>
      <c r="S1375">
        <f>IFERROR(SEARCH(Crewlist!$P$5,V1375)+ROW()/100000,"")</f>
        <v>1.0137499999999999</v>
      </c>
      <c r="T1375">
        <f t="shared" si="133"/>
        <v>1374</v>
      </c>
      <c r="U1375">
        <f t="shared" si="134"/>
        <v>0</v>
      </c>
      <c r="V1375" t="str">
        <f t="shared" si="131"/>
        <v xml:space="preserve"> </v>
      </c>
      <c r="Y1375" s="162" t="e">
        <f>VLOOKUP(B1375,Crewlist!AS:AU,3,FALSE)</f>
        <v>#N/A</v>
      </c>
      <c r="Z1375" s="163">
        <f t="shared" si="130"/>
        <v>0</v>
      </c>
    </row>
    <row r="1376" spans="2:26">
      <c r="B1376" s="202">
        <v>1375</v>
      </c>
      <c r="C1376" s="169"/>
      <c r="N1376" s="201">
        <v>0</v>
      </c>
      <c r="Q1376">
        <f t="shared" si="132"/>
        <v>0</v>
      </c>
      <c r="R1376">
        <f t="shared" si="129"/>
        <v>1374</v>
      </c>
      <c r="S1376">
        <f>IFERROR(SEARCH(Crewlist!$P$5,V1376)+ROW()/100000,"")</f>
        <v>1.01376</v>
      </c>
      <c r="T1376">
        <f t="shared" si="133"/>
        <v>1375</v>
      </c>
      <c r="U1376">
        <f t="shared" si="134"/>
        <v>0</v>
      </c>
      <c r="V1376" t="str">
        <f t="shared" si="131"/>
        <v xml:space="preserve"> </v>
      </c>
      <c r="Y1376" s="162" t="e">
        <f>VLOOKUP(B1376,Crewlist!AS:AU,3,FALSE)</f>
        <v>#N/A</v>
      </c>
      <c r="Z1376" s="163">
        <f t="shared" si="130"/>
        <v>0</v>
      </c>
    </row>
    <row r="1377" spans="2:26">
      <c r="B1377" s="171">
        <v>1376</v>
      </c>
      <c r="C1377" s="169"/>
      <c r="N1377" s="201">
        <v>0</v>
      </c>
      <c r="Q1377">
        <f t="shared" si="132"/>
        <v>0</v>
      </c>
      <c r="R1377">
        <f t="shared" si="129"/>
        <v>1375</v>
      </c>
      <c r="S1377">
        <f>IFERROR(SEARCH(Crewlist!$P$5,V1377)+ROW()/100000,"")</f>
        <v>1.0137700000000001</v>
      </c>
      <c r="T1377">
        <f t="shared" si="133"/>
        <v>1376</v>
      </c>
      <c r="U1377">
        <f t="shared" si="134"/>
        <v>0</v>
      </c>
      <c r="V1377" t="str">
        <f t="shared" si="131"/>
        <v xml:space="preserve"> </v>
      </c>
      <c r="Y1377" s="162" t="e">
        <f>VLOOKUP(B1377,Crewlist!AS:AU,3,FALSE)</f>
        <v>#N/A</v>
      </c>
      <c r="Z1377" s="163">
        <f t="shared" si="130"/>
        <v>0</v>
      </c>
    </row>
    <row r="1378" spans="2:26">
      <c r="B1378" s="171">
        <v>1377</v>
      </c>
      <c r="C1378" s="169"/>
      <c r="N1378" s="201">
        <v>0</v>
      </c>
      <c r="Q1378">
        <f t="shared" si="132"/>
        <v>0</v>
      </c>
      <c r="R1378">
        <f t="shared" si="129"/>
        <v>1376</v>
      </c>
      <c r="S1378">
        <f>IFERROR(SEARCH(Crewlist!$P$5,V1378)+ROW()/100000,"")</f>
        <v>1.0137799999999999</v>
      </c>
      <c r="T1378">
        <f t="shared" si="133"/>
        <v>1377</v>
      </c>
      <c r="U1378">
        <f t="shared" si="134"/>
        <v>0</v>
      </c>
      <c r="V1378" t="str">
        <f t="shared" si="131"/>
        <v xml:space="preserve"> </v>
      </c>
      <c r="Y1378" s="162" t="e">
        <f>VLOOKUP(B1378,Crewlist!AS:AU,3,FALSE)</f>
        <v>#N/A</v>
      </c>
      <c r="Z1378" s="163">
        <f t="shared" si="130"/>
        <v>0</v>
      </c>
    </row>
    <row r="1379" spans="2:26">
      <c r="B1379" s="202">
        <v>1378</v>
      </c>
      <c r="C1379" s="169"/>
      <c r="N1379" s="201">
        <v>0</v>
      </c>
      <c r="Q1379">
        <f t="shared" si="132"/>
        <v>0</v>
      </c>
      <c r="R1379">
        <f t="shared" si="129"/>
        <v>1377</v>
      </c>
      <c r="S1379">
        <f>IFERROR(SEARCH(Crewlist!$P$5,V1379)+ROW()/100000,"")</f>
        <v>1.01379</v>
      </c>
      <c r="T1379">
        <f t="shared" si="133"/>
        <v>1378</v>
      </c>
      <c r="U1379">
        <f t="shared" si="134"/>
        <v>0</v>
      </c>
      <c r="V1379" t="str">
        <f t="shared" si="131"/>
        <v xml:space="preserve"> </v>
      </c>
      <c r="Y1379" s="162" t="e">
        <f>VLOOKUP(B1379,Crewlist!AS:AU,3,FALSE)</f>
        <v>#N/A</v>
      </c>
      <c r="Z1379" s="163">
        <f t="shared" si="130"/>
        <v>0</v>
      </c>
    </row>
    <row r="1380" spans="2:26">
      <c r="B1380" s="171">
        <v>1379</v>
      </c>
      <c r="C1380" s="169"/>
      <c r="N1380" s="201">
        <v>0</v>
      </c>
      <c r="Q1380">
        <f t="shared" si="132"/>
        <v>0</v>
      </c>
      <c r="R1380">
        <f t="shared" si="129"/>
        <v>1378</v>
      </c>
      <c r="S1380">
        <f>IFERROR(SEARCH(Crewlist!$P$5,V1380)+ROW()/100000,"")</f>
        <v>1.0138</v>
      </c>
      <c r="T1380">
        <f t="shared" si="133"/>
        <v>1379</v>
      </c>
      <c r="U1380">
        <f t="shared" si="134"/>
        <v>0</v>
      </c>
      <c r="V1380" t="str">
        <f t="shared" si="131"/>
        <v xml:space="preserve"> </v>
      </c>
      <c r="Y1380" s="162" t="e">
        <f>VLOOKUP(B1380,Crewlist!AS:AU,3,FALSE)</f>
        <v>#N/A</v>
      </c>
      <c r="Z1380" s="163">
        <f t="shared" si="130"/>
        <v>0</v>
      </c>
    </row>
    <row r="1381" spans="2:26">
      <c r="B1381" s="171">
        <v>1380</v>
      </c>
      <c r="C1381" s="169"/>
      <c r="N1381" s="201">
        <v>0</v>
      </c>
      <c r="Q1381">
        <f t="shared" si="132"/>
        <v>0</v>
      </c>
      <c r="R1381">
        <f t="shared" si="129"/>
        <v>1379</v>
      </c>
      <c r="S1381">
        <f>IFERROR(SEARCH(Crewlist!$P$5,V1381)+ROW()/100000,"")</f>
        <v>1.0138100000000001</v>
      </c>
      <c r="T1381">
        <f t="shared" si="133"/>
        <v>1380</v>
      </c>
      <c r="U1381">
        <f t="shared" si="134"/>
        <v>0</v>
      </c>
      <c r="V1381" t="str">
        <f t="shared" si="131"/>
        <v xml:space="preserve"> </v>
      </c>
      <c r="Y1381" s="162" t="e">
        <f>VLOOKUP(B1381,Crewlist!AS:AU,3,FALSE)</f>
        <v>#N/A</v>
      </c>
      <c r="Z1381" s="163">
        <f t="shared" si="130"/>
        <v>0</v>
      </c>
    </row>
    <row r="1382" spans="2:26">
      <c r="B1382" s="202">
        <v>1381</v>
      </c>
      <c r="C1382" s="169"/>
      <c r="N1382" s="201">
        <v>0</v>
      </c>
      <c r="Q1382">
        <f t="shared" si="132"/>
        <v>0</v>
      </c>
      <c r="R1382">
        <f t="shared" si="129"/>
        <v>1380</v>
      </c>
      <c r="S1382">
        <f>IFERROR(SEARCH(Crewlist!$P$5,V1382)+ROW()/100000,"")</f>
        <v>1.0138199999999999</v>
      </c>
      <c r="T1382">
        <f t="shared" si="133"/>
        <v>1381</v>
      </c>
      <c r="U1382">
        <f t="shared" si="134"/>
        <v>0</v>
      </c>
      <c r="V1382" t="str">
        <f t="shared" si="131"/>
        <v xml:space="preserve"> </v>
      </c>
      <c r="Y1382" s="162" t="e">
        <f>VLOOKUP(B1382,Crewlist!AS:AU,3,FALSE)</f>
        <v>#N/A</v>
      </c>
      <c r="Z1382" s="163">
        <f t="shared" si="130"/>
        <v>0</v>
      </c>
    </row>
    <row r="1383" spans="2:26">
      <c r="B1383" s="171">
        <v>1382</v>
      </c>
      <c r="C1383" s="169"/>
      <c r="N1383" s="201">
        <v>0</v>
      </c>
      <c r="Q1383">
        <f t="shared" si="132"/>
        <v>0</v>
      </c>
      <c r="R1383">
        <f t="shared" si="129"/>
        <v>1381</v>
      </c>
      <c r="S1383">
        <f>IFERROR(SEARCH(Crewlist!$P$5,V1383)+ROW()/100000,"")</f>
        <v>1.01383</v>
      </c>
      <c r="T1383">
        <f t="shared" si="133"/>
        <v>1382</v>
      </c>
      <c r="U1383">
        <f t="shared" si="134"/>
        <v>0</v>
      </c>
      <c r="V1383" t="str">
        <f t="shared" si="131"/>
        <v xml:space="preserve"> </v>
      </c>
      <c r="Y1383" s="162" t="e">
        <f>VLOOKUP(B1383,Crewlist!AS:AU,3,FALSE)</f>
        <v>#N/A</v>
      </c>
      <c r="Z1383" s="163">
        <f t="shared" si="130"/>
        <v>0</v>
      </c>
    </row>
    <row r="1384" spans="2:26">
      <c r="B1384" s="171">
        <v>1383</v>
      </c>
      <c r="C1384" s="169"/>
      <c r="N1384" s="201">
        <v>0</v>
      </c>
      <c r="Q1384">
        <f t="shared" si="132"/>
        <v>0</v>
      </c>
      <c r="R1384">
        <f t="shared" si="129"/>
        <v>1382</v>
      </c>
      <c r="S1384">
        <f>IFERROR(SEARCH(Crewlist!$P$5,V1384)+ROW()/100000,"")</f>
        <v>1.0138400000000001</v>
      </c>
      <c r="T1384">
        <f t="shared" si="133"/>
        <v>1383</v>
      </c>
      <c r="U1384">
        <f t="shared" si="134"/>
        <v>0</v>
      </c>
      <c r="V1384" t="str">
        <f t="shared" si="131"/>
        <v xml:space="preserve"> </v>
      </c>
      <c r="Y1384" s="162" t="e">
        <f>VLOOKUP(B1384,Crewlist!AS:AU,3,FALSE)</f>
        <v>#N/A</v>
      </c>
      <c r="Z1384" s="163">
        <f t="shared" si="130"/>
        <v>0</v>
      </c>
    </row>
    <row r="1385" spans="2:26">
      <c r="B1385" s="202">
        <v>1384</v>
      </c>
      <c r="C1385" s="169"/>
      <c r="N1385" s="201">
        <v>0</v>
      </c>
      <c r="Q1385">
        <f t="shared" si="132"/>
        <v>0</v>
      </c>
      <c r="R1385">
        <f t="shared" si="129"/>
        <v>1383</v>
      </c>
      <c r="S1385">
        <f>IFERROR(SEARCH(Crewlist!$P$5,V1385)+ROW()/100000,"")</f>
        <v>1.0138499999999999</v>
      </c>
      <c r="T1385">
        <f t="shared" si="133"/>
        <v>1384</v>
      </c>
      <c r="U1385">
        <f t="shared" si="134"/>
        <v>0</v>
      </c>
      <c r="V1385" t="str">
        <f t="shared" si="131"/>
        <v xml:space="preserve"> </v>
      </c>
      <c r="Y1385" s="162" t="e">
        <f>VLOOKUP(B1385,Crewlist!AS:AU,3,FALSE)</f>
        <v>#N/A</v>
      </c>
      <c r="Z1385" s="163">
        <f t="shared" si="130"/>
        <v>0</v>
      </c>
    </row>
    <row r="1386" spans="2:26">
      <c r="B1386" s="171">
        <v>1385</v>
      </c>
      <c r="C1386" s="169"/>
      <c r="N1386" s="201">
        <v>0</v>
      </c>
      <c r="Q1386">
        <f t="shared" si="132"/>
        <v>0</v>
      </c>
      <c r="R1386">
        <f t="shared" si="129"/>
        <v>1384</v>
      </c>
      <c r="S1386">
        <f>IFERROR(SEARCH(Crewlist!$P$5,V1386)+ROW()/100000,"")</f>
        <v>1.01386</v>
      </c>
      <c r="T1386">
        <f t="shared" si="133"/>
        <v>1385</v>
      </c>
      <c r="U1386">
        <f t="shared" si="134"/>
        <v>0</v>
      </c>
      <c r="V1386" t="str">
        <f t="shared" si="131"/>
        <v xml:space="preserve"> </v>
      </c>
      <c r="Y1386" s="162" t="e">
        <f>VLOOKUP(B1386,Crewlist!AS:AU,3,FALSE)</f>
        <v>#N/A</v>
      </c>
      <c r="Z1386" s="163">
        <f t="shared" si="130"/>
        <v>0</v>
      </c>
    </row>
    <row r="1387" spans="2:26">
      <c r="B1387" s="171">
        <v>1386</v>
      </c>
      <c r="C1387" s="169"/>
      <c r="N1387" s="201">
        <v>0</v>
      </c>
      <c r="Q1387">
        <f t="shared" si="132"/>
        <v>0</v>
      </c>
      <c r="R1387">
        <f t="shared" si="129"/>
        <v>1385</v>
      </c>
      <c r="S1387">
        <f>IFERROR(SEARCH(Crewlist!$P$5,V1387)+ROW()/100000,"")</f>
        <v>1.01387</v>
      </c>
      <c r="T1387">
        <f t="shared" si="133"/>
        <v>1386</v>
      </c>
      <c r="U1387">
        <f t="shared" si="134"/>
        <v>0</v>
      </c>
      <c r="V1387" t="str">
        <f t="shared" si="131"/>
        <v xml:space="preserve"> </v>
      </c>
      <c r="Y1387" s="162" t="e">
        <f>VLOOKUP(B1387,Crewlist!AS:AU,3,FALSE)</f>
        <v>#N/A</v>
      </c>
      <c r="Z1387" s="163">
        <f t="shared" si="130"/>
        <v>0</v>
      </c>
    </row>
    <row r="1388" spans="2:26">
      <c r="B1388" s="202">
        <v>1387</v>
      </c>
      <c r="C1388" s="169"/>
      <c r="N1388" s="201">
        <v>0</v>
      </c>
      <c r="Q1388">
        <f t="shared" si="132"/>
        <v>0</v>
      </c>
      <c r="R1388">
        <f t="shared" si="129"/>
        <v>1386</v>
      </c>
      <c r="S1388">
        <f>IFERROR(SEARCH(Crewlist!$P$5,V1388)+ROW()/100000,"")</f>
        <v>1.0138799999999999</v>
      </c>
      <c r="T1388">
        <f t="shared" si="133"/>
        <v>1387</v>
      </c>
      <c r="U1388">
        <f t="shared" si="134"/>
        <v>0</v>
      </c>
      <c r="V1388" t="str">
        <f t="shared" si="131"/>
        <v xml:space="preserve"> </v>
      </c>
      <c r="Y1388" s="162" t="e">
        <f>VLOOKUP(B1388,Crewlist!AS:AU,3,FALSE)</f>
        <v>#N/A</v>
      </c>
      <c r="Z1388" s="163">
        <f t="shared" si="130"/>
        <v>0</v>
      </c>
    </row>
    <row r="1389" spans="2:26">
      <c r="B1389" s="171">
        <v>1388</v>
      </c>
      <c r="C1389" s="169"/>
      <c r="N1389" s="201">
        <v>0</v>
      </c>
      <c r="Q1389">
        <f t="shared" si="132"/>
        <v>0</v>
      </c>
      <c r="R1389">
        <f t="shared" si="129"/>
        <v>1387</v>
      </c>
      <c r="S1389">
        <f>IFERROR(SEARCH(Crewlist!$P$5,V1389)+ROW()/100000,"")</f>
        <v>1.01389</v>
      </c>
      <c r="T1389">
        <f t="shared" si="133"/>
        <v>1388</v>
      </c>
      <c r="U1389">
        <f t="shared" si="134"/>
        <v>0</v>
      </c>
      <c r="V1389" t="str">
        <f t="shared" si="131"/>
        <v xml:space="preserve"> </v>
      </c>
      <c r="Y1389" s="162" t="e">
        <f>VLOOKUP(B1389,Crewlist!AS:AU,3,FALSE)</f>
        <v>#N/A</v>
      </c>
      <c r="Z1389" s="163">
        <f t="shared" si="130"/>
        <v>0</v>
      </c>
    </row>
    <row r="1390" spans="2:26">
      <c r="B1390" s="171">
        <v>1389</v>
      </c>
      <c r="C1390" s="169"/>
      <c r="N1390" s="201">
        <v>0</v>
      </c>
      <c r="Q1390">
        <f t="shared" si="132"/>
        <v>0</v>
      </c>
      <c r="R1390">
        <f t="shared" si="129"/>
        <v>1388</v>
      </c>
      <c r="S1390">
        <f>IFERROR(SEARCH(Crewlist!$P$5,V1390)+ROW()/100000,"")</f>
        <v>1.0139</v>
      </c>
      <c r="T1390">
        <f t="shared" si="133"/>
        <v>1389</v>
      </c>
      <c r="U1390">
        <f t="shared" si="134"/>
        <v>0</v>
      </c>
      <c r="V1390" t="str">
        <f t="shared" si="131"/>
        <v xml:space="preserve"> </v>
      </c>
      <c r="Y1390" s="162" t="e">
        <f>VLOOKUP(B1390,Crewlist!AS:AU,3,FALSE)</f>
        <v>#N/A</v>
      </c>
      <c r="Z1390" s="163">
        <f t="shared" si="130"/>
        <v>0</v>
      </c>
    </row>
    <row r="1391" spans="2:26">
      <c r="B1391" s="202">
        <v>1390</v>
      </c>
      <c r="C1391" s="169"/>
      <c r="N1391" s="201">
        <v>0</v>
      </c>
      <c r="Q1391">
        <f t="shared" si="132"/>
        <v>0</v>
      </c>
      <c r="R1391">
        <f t="shared" si="129"/>
        <v>1389</v>
      </c>
      <c r="S1391">
        <f>IFERROR(SEARCH(Crewlist!$P$5,V1391)+ROW()/100000,"")</f>
        <v>1.0139100000000001</v>
      </c>
      <c r="T1391">
        <f t="shared" si="133"/>
        <v>1390</v>
      </c>
      <c r="U1391">
        <f t="shared" si="134"/>
        <v>0</v>
      </c>
      <c r="V1391" t="str">
        <f t="shared" si="131"/>
        <v xml:space="preserve"> </v>
      </c>
      <c r="Y1391" s="162" t="e">
        <f>VLOOKUP(B1391,Crewlist!AS:AU,3,FALSE)</f>
        <v>#N/A</v>
      </c>
      <c r="Z1391" s="163">
        <f t="shared" si="130"/>
        <v>0</v>
      </c>
    </row>
    <row r="1392" spans="2:26">
      <c r="B1392" s="171">
        <v>1391</v>
      </c>
      <c r="C1392" s="169"/>
      <c r="N1392" s="201">
        <v>0</v>
      </c>
      <c r="Q1392">
        <f t="shared" si="132"/>
        <v>0</v>
      </c>
      <c r="R1392">
        <f t="shared" si="129"/>
        <v>1390</v>
      </c>
      <c r="S1392">
        <f>IFERROR(SEARCH(Crewlist!$P$5,V1392)+ROW()/100000,"")</f>
        <v>1.0139199999999999</v>
      </c>
      <c r="T1392">
        <f t="shared" si="133"/>
        <v>1391</v>
      </c>
      <c r="U1392">
        <f t="shared" si="134"/>
        <v>0</v>
      </c>
      <c r="V1392" t="str">
        <f t="shared" si="131"/>
        <v xml:space="preserve"> </v>
      </c>
      <c r="Y1392" s="162" t="e">
        <f>VLOOKUP(B1392,Crewlist!AS:AU,3,FALSE)</f>
        <v>#N/A</v>
      </c>
      <c r="Z1392" s="163">
        <f t="shared" si="130"/>
        <v>0</v>
      </c>
    </row>
    <row r="1393" spans="2:26">
      <c r="B1393" s="171">
        <v>1392</v>
      </c>
      <c r="C1393" s="169"/>
      <c r="N1393" s="201">
        <v>0</v>
      </c>
      <c r="Q1393">
        <f t="shared" si="132"/>
        <v>0</v>
      </c>
      <c r="R1393">
        <f t="shared" si="129"/>
        <v>1391</v>
      </c>
      <c r="S1393">
        <f>IFERROR(SEARCH(Crewlist!$P$5,V1393)+ROW()/100000,"")</f>
        <v>1.01393</v>
      </c>
      <c r="T1393">
        <f t="shared" si="133"/>
        <v>1392</v>
      </c>
      <c r="U1393">
        <f t="shared" si="134"/>
        <v>0</v>
      </c>
      <c r="V1393" t="str">
        <f t="shared" si="131"/>
        <v xml:space="preserve"> </v>
      </c>
      <c r="Y1393" s="162" t="e">
        <f>VLOOKUP(B1393,Crewlist!AS:AU,3,FALSE)</f>
        <v>#N/A</v>
      </c>
      <c r="Z1393" s="163">
        <f t="shared" si="130"/>
        <v>0</v>
      </c>
    </row>
    <row r="1394" spans="2:26">
      <c r="B1394" s="202">
        <v>1393</v>
      </c>
      <c r="C1394" s="169"/>
      <c r="N1394" s="201">
        <v>0</v>
      </c>
      <c r="Q1394">
        <f t="shared" si="132"/>
        <v>0</v>
      </c>
      <c r="R1394">
        <f t="shared" si="129"/>
        <v>1392</v>
      </c>
      <c r="S1394">
        <f>IFERROR(SEARCH(Crewlist!$P$5,V1394)+ROW()/100000,"")</f>
        <v>1.0139400000000001</v>
      </c>
      <c r="T1394">
        <f t="shared" si="133"/>
        <v>1393</v>
      </c>
      <c r="U1394">
        <f t="shared" si="134"/>
        <v>0</v>
      </c>
      <c r="V1394" t="str">
        <f t="shared" si="131"/>
        <v xml:space="preserve"> </v>
      </c>
      <c r="Y1394" s="162" t="e">
        <f>VLOOKUP(B1394,Crewlist!AS:AU,3,FALSE)</f>
        <v>#N/A</v>
      </c>
      <c r="Z1394" s="163">
        <f t="shared" si="130"/>
        <v>0</v>
      </c>
    </row>
    <row r="1395" spans="2:26">
      <c r="B1395" s="171">
        <v>1394</v>
      </c>
      <c r="C1395" s="169"/>
      <c r="N1395" s="201">
        <v>0</v>
      </c>
      <c r="Q1395">
        <f t="shared" si="132"/>
        <v>0</v>
      </c>
      <c r="R1395">
        <f t="shared" si="129"/>
        <v>1393</v>
      </c>
      <c r="S1395">
        <f>IFERROR(SEARCH(Crewlist!$P$5,V1395)+ROW()/100000,"")</f>
        <v>1.0139499999999999</v>
      </c>
      <c r="T1395">
        <f t="shared" si="133"/>
        <v>1394</v>
      </c>
      <c r="U1395">
        <f t="shared" si="134"/>
        <v>0</v>
      </c>
      <c r="V1395" t="str">
        <f t="shared" si="131"/>
        <v xml:space="preserve"> </v>
      </c>
      <c r="Y1395" s="162" t="e">
        <f>VLOOKUP(B1395,Crewlist!AS:AU,3,FALSE)</f>
        <v>#N/A</v>
      </c>
      <c r="Z1395" s="163">
        <f t="shared" si="130"/>
        <v>0</v>
      </c>
    </row>
    <row r="1396" spans="2:26">
      <c r="B1396" s="171">
        <v>1395</v>
      </c>
      <c r="C1396" s="169"/>
      <c r="N1396" s="201">
        <v>0</v>
      </c>
      <c r="Q1396">
        <f t="shared" si="132"/>
        <v>0</v>
      </c>
      <c r="R1396">
        <f t="shared" si="129"/>
        <v>1394</v>
      </c>
      <c r="S1396">
        <f>IFERROR(SEARCH(Crewlist!$P$5,V1396)+ROW()/100000,"")</f>
        <v>1.01396</v>
      </c>
      <c r="T1396">
        <f t="shared" si="133"/>
        <v>1395</v>
      </c>
      <c r="U1396">
        <f t="shared" si="134"/>
        <v>0</v>
      </c>
      <c r="V1396" t="str">
        <f t="shared" si="131"/>
        <v xml:space="preserve"> </v>
      </c>
      <c r="Y1396" s="162" t="e">
        <f>VLOOKUP(B1396,Crewlist!AS:AU,3,FALSE)</f>
        <v>#N/A</v>
      </c>
      <c r="Z1396" s="163">
        <f t="shared" si="130"/>
        <v>0</v>
      </c>
    </row>
    <row r="1397" spans="2:26">
      <c r="B1397" s="202">
        <v>1396</v>
      </c>
      <c r="C1397" s="169"/>
      <c r="N1397" s="201">
        <v>0</v>
      </c>
      <c r="Q1397">
        <f t="shared" si="132"/>
        <v>0</v>
      </c>
      <c r="R1397">
        <f t="shared" si="129"/>
        <v>1395</v>
      </c>
      <c r="S1397">
        <f>IFERROR(SEARCH(Crewlist!$P$5,V1397)+ROW()/100000,"")</f>
        <v>1.01397</v>
      </c>
      <c r="T1397">
        <f t="shared" si="133"/>
        <v>1396</v>
      </c>
      <c r="U1397">
        <f t="shared" si="134"/>
        <v>0</v>
      </c>
      <c r="V1397" t="str">
        <f t="shared" si="131"/>
        <v xml:space="preserve"> </v>
      </c>
      <c r="Y1397" s="162" t="e">
        <f>VLOOKUP(B1397,Crewlist!AS:AU,3,FALSE)</f>
        <v>#N/A</v>
      </c>
      <c r="Z1397" s="163">
        <f t="shared" si="130"/>
        <v>0</v>
      </c>
    </row>
    <row r="1398" spans="2:26">
      <c r="B1398" s="171">
        <v>1397</v>
      </c>
      <c r="C1398" s="169"/>
      <c r="N1398" s="201">
        <v>0</v>
      </c>
      <c r="Q1398">
        <f t="shared" si="132"/>
        <v>0</v>
      </c>
      <c r="R1398">
        <f t="shared" si="129"/>
        <v>1396</v>
      </c>
      <c r="S1398">
        <f>IFERROR(SEARCH(Crewlist!$P$5,V1398)+ROW()/100000,"")</f>
        <v>1.0139800000000001</v>
      </c>
      <c r="T1398">
        <f t="shared" si="133"/>
        <v>1397</v>
      </c>
      <c r="U1398">
        <f t="shared" si="134"/>
        <v>0</v>
      </c>
      <c r="V1398" t="str">
        <f t="shared" si="131"/>
        <v xml:space="preserve"> </v>
      </c>
      <c r="Y1398" s="162" t="e">
        <f>VLOOKUP(B1398,Crewlist!AS:AU,3,FALSE)</f>
        <v>#N/A</v>
      </c>
      <c r="Z1398" s="163">
        <f t="shared" si="130"/>
        <v>0</v>
      </c>
    </row>
    <row r="1399" spans="2:26">
      <c r="B1399" s="171">
        <v>1398</v>
      </c>
      <c r="C1399" s="169"/>
      <c r="N1399" s="201">
        <v>0</v>
      </c>
      <c r="Q1399">
        <f t="shared" si="132"/>
        <v>0</v>
      </c>
      <c r="R1399">
        <f t="shared" si="129"/>
        <v>1397</v>
      </c>
      <c r="S1399">
        <f>IFERROR(SEARCH(Crewlist!$P$5,V1399)+ROW()/100000,"")</f>
        <v>1.0139899999999999</v>
      </c>
      <c r="T1399">
        <f t="shared" si="133"/>
        <v>1398</v>
      </c>
      <c r="U1399">
        <f t="shared" si="134"/>
        <v>0</v>
      </c>
      <c r="V1399" t="str">
        <f t="shared" si="131"/>
        <v xml:space="preserve"> </v>
      </c>
      <c r="Y1399" s="162" t="e">
        <f>VLOOKUP(B1399,Crewlist!AS:AU,3,FALSE)</f>
        <v>#N/A</v>
      </c>
      <c r="Z1399" s="163">
        <f t="shared" si="130"/>
        <v>0</v>
      </c>
    </row>
    <row r="1400" spans="2:26">
      <c r="B1400" s="202">
        <v>1399</v>
      </c>
      <c r="C1400" s="169"/>
      <c r="N1400" s="201">
        <v>0</v>
      </c>
      <c r="Q1400">
        <f t="shared" si="132"/>
        <v>0</v>
      </c>
      <c r="R1400">
        <f t="shared" si="129"/>
        <v>1398</v>
      </c>
      <c r="S1400">
        <f>IFERROR(SEARCH(Crewlist!$P$5,V1400)+ROW()/100000,"")</f>
        <v>1.014</v>
      </c>
      <c r="T1400">
        <f t="shared" si="133"/>
        <v>1399</v>
      </c>
      <c r="U1400">
        <f t="shared" si="134"/>
        <v>0</v>
      </c>
      <c r="V1400" t="str">
        <f t="shared" si="131"/>
        <v xml:space="preserve"> </v>
      </c>
      <c r="Y1400" s="162" t="e">
        <f>VLOOKUP(B1400,Crewlist!AS:AU,3,FALSE)</f>
        <v>#N/A</v>
      </c>
      <c r="Z1400" s="163">
        <f t="shared" si="130"/>
        <v>0</v>
      </c>
    </row>
    <row r="1401" spans="2:26">
      <c r="B1401" s="171">
        <v>1400</v>
      </c>
      <c r="C1401" s="169"/>
      <c r="N1401" s="201">
        <v>0</v>
      </c>
      <c r="Q1401">
        <f t="shared" si="132"/>
        <v>0</v>
      </c>
      <c r="R1401">
        <f t="shared" si="129"/>
        <v>1399</v>
      </c>
      <c r="S1401">
        <f>IFERROR(SEARCH(Crewlist!$P$5,V1401)+ROW()/100000,"")</f>
        <v>1.0140100000000001</v>
      </c>
      <c r="T1401">
        <f t="shared" si="133"/>
        <v>1400</v>
      </c>
      <c r="U1401">
        <f t="shared" si="134"/>
        <v>0</v>
      </c>
      <c r="V1401" t="str">
        <f t="shared" si="131"/>
        <v xml:space="preserve"> </v>
      </c>
      <c r="Y1401" s="162" t="e">
        <f>VLOOKUP(B1401,Crewlist!AS:AU,3,FALSE)</f>
        <v>#N/A</v>
      </c>
      <c r="Z1401" s="163">
        <f t="shared" si="130"/>
        <v>0</v>
      </c>
    </row>
    <row r="1402" spans="2:26">
      <c r="B1402" s="171">
        <v>1401</v>
      </c>
      <c r="C1402" s="169"/>
      <c r="N1402" s="201">
        <v>0</v>
      </c>
      <c r="Q1402">
        <f t="shared" si="132"/>
        <v>0</v>
      </c>
      <c r="R1402">
        <f t="shared" si="129"/>
        <v>1400</v>
      </c>
      <c r="S1402">
        <f>IFERROR(SEARCH(Crewlist!$P$5,V1402)+ROW()/100000,"")</f>
        <v>1.0140199999999999</v>
      </c>
      <c r="T1402">
        <f t="shared" si="133"/>
        <v>1401</v>
      </c>
      <c r="U1402">
        <f t="shared" si="134"/>
        <v>0</v>
      </c>
      <c r="V1402" t="str">
        <f t="shared" si="131"/>
        <v xml:space="preserve"> </v>
      </c>
      <c r="Y1402" s="162" t="e">
        <f>VLOOKUP(B1402,Crewlist!AS:AU,3,FALSE)</f>
        <v>#N/A</v>
      </c>
      <c r="Z1402" s="163">
        <f t="shared" si="130"/>
        <v>0</v>
      </c>
    </row>
    <row r="1403" spans="2:26">
      <c r="B1403" s="202">
        <v>1402</v>
      </c>
      <c r="C1403" s="169"/>
      <c r="N1403" s="201">
        <v>0</v>
      </c>
      <c r="Q1403">
        <f t="shared" si="132"/>
        <v>0</v>
      </c>
      <c r="R1403">
        <f t="shared" si="129"/>
        <v>1401</v>
      </c>
      <c r="S1403">
        <f>IFERROR(SEARCH(Crewlist!$P$5,V1403)+ROW()/100000,"")</f>
        <v>1.01403</v>
      </c>
      <c r="T1403">
        <f t="shared" si="133"/>
        <v>1402</v>
      </c>
      <c r="U1403">
        <f t="shared" si="134"/>
        <v>0</v>
      </c>
      <c r="V1403" t="str">
        <f t="shared" si="131"/>
        <v xml:space="preserve"> </v>
      </c>
      <c r="Y1403" s="162" t="e">
        <f>VLOOKUP(B1403,Crewlist!AS:AU,3,FALSE)</f>
        <v>#N/A</v>
      </c>
      <c r="Z1403" s="163">
        <f t="shared" si="130"/>
        <v>0</v>
      </c>
    </row>
    <row r="1404" spans="2:26">
      <c r="B1404" s="171">
        <v>1403</v>
      </c>
      <c r="C1404" s="169"/>
      <c r="N1404" s="201">
        <v>0</v>
      </c>
      <c r="Q1404">
        <f t="shared" si="132"/>
        <v>0</v>
      </c>
      <c r="R1404">
        <f t="shared" si="129"/>
        <v>1402</v>
      </c>
      <c r="S1404">
        <f>IFERROR(SEARCH(Crewlist!$P$5,V1404)+ROW()/100000,"")</f>
        <v>1.0140400000000001</v>
      </c>
      <c r="T1404">
        <f t="shared" si="133"/>
        <v>1403</v>
      </c>
      <c r="U1404">
        <f t="shared" si="134"/>
        <v>0</v>
      </c>
      <c r="V1404" t="str">
        <f t="shared" si="131"/>
        <v xml:space="preserve"> </v>
      </c>
      <c r="Y1404" s="162" t="e">
        <f>VLOOKUP(B1404,Crewlist!AS:AU,3,FALSE)</f>
        <v>#N/A</v>
      </c>
      <c r="Z1404" s="163">
        <f t="shared" si="130"/>
        <v>0</v>
      </c>
    </row>
    <row r="1405" spans="2:26">
      <c r="B1405" s="171">
        <v>1404</v>
      </c>
      <c r="C1405" s="169"/>
      <c r="N1405" s="201">
        <v>0</v>
      </c>
      <c r="Q1405">
        <f t="shared" si="132"/>
        <v>0</v>
      </c>
      <c r="R1405">
        <f t="shared" si="129"/>
        <v>1403</v>
      </c>
      <c r="S1405">
        <f>IFERROR(SEARCH(Crewlist!$P$5,V1405)+ROW()/100000,"")</f>
        <v>1.0140499999999999</v>
      </c>
      <c r="T1405">
        <f t="shared" si="133"/>
        <v>1404</v>
      </c>
      <c r="U1405">
        <f t="shared" si="134"/>
        <v>0</v>
      </c>
      <c r="V1405" t="str">
        <f t="shared" si="131"/>
        <v xml:space="preserve"> </v>
      </c>
      <c r="Y1405" s="162" t="e">
        <f>VLOOKUP(B1405,Crewlist!AS:AU,3,FALSE)</f>
        <v>#N/A</v>
      </c>
      <c r="Z1405" s="163">
        <f t="shared" si="130"/>
        <v>0</v>
      </c>
    </row>
    <row r="1406" spans="2:26">
      <c r="B1406" s="202">
        <v>1405</v>
      </c>
      <c r="C1406" s="169"/>
      <c r="N1406" s="201">
        <v>0</v>
      </c>
      <c r="Q1406">
        <f t="shared" si="132"/>
        <v>0</v>
      </c>
      <c r="R1406">
        <f t="shared" si="129"/>
        <v>1404</v>
      </c>
      <c r="S1406">
        <f>IFERROR(SEARCH(Crewlist!$P$5,V1406)+ROW()/100000,"")</f>
        <v>1.01406</v>
      </c>
      <c r="T1406">
        <f t="shared" si="133"/>
        <v>1405</v>
      </c>
      <c r="U1406">
        <f t="shared" si="134"/>
        <v>0</v>
      </c>
      <c r="V1406" t="str">
        <f t="shared" si="131"/>
        <v xml:space="preserve"> </v>
      </c>
      <c r="Y1406" s="162" t="e">
        <f>VLOOKUP(B1406,Crewlist!AS:AU,3,FALSE)</f>
        <v>#N/A</v>
      </c>
      <c r="Z1406" s="163">
        <f t="shared" si="130"/>
        <v>0</v>
      </c>
    </row>
    <row r="1407" spans="2:26">
      <c r="B1407" s="171">
        <v>1406</v>
      </c>
      <c r="C1407" s="169"/>
      <c r="N1407" s="201">
        <v>0</v>
      </c>
      <c r="Q1407">
        <f t="shared" si="132"/>
        <v>0</v>
      </c>
      <c r="R1407">
        <f t="shared" si="129"/>
        <v>1405</v>
      </c>
      <c r="S1407">
        <f>IFERROR(SEARCH(Crewlist!$P$5,V1407)+ROW()/100000,"")</f>
        <v>1.01407</v>
      </c>
      <c r="T1407">
        <f t="shared" si="133"/>
        <v>1406</v>
      </c>
      <c r="U1407">
        <f t="shared" si="134"/>
        <v>0</v>
      </c>
      <c r="V1407" t="str">
        <f t="shared" si="131"/>
        <v xml:space="preserve"> </v>
      </c>
      <c r="Y1407" s="162" t="e">
        <f>VLOOKUP(B1407,Crewlist!AS:AU,3,FALSE)</f>
        <v>#N/A</v>
      </c>
      <c r="Z1407" s="163">
        <f t="shared" si="130"/>
        <v>0</v>
      </c>
    </row>
    <row r="1408" spans="2:26">
      <c r="B1408" s="171">
        <v>1407</v>
      </c>
      <c r="C1408" s="169"/>
      <c r="N1408" s="201">
        <v>0</v>
      </c>
      <c r="Q1408">
        <f t="shared" si="132"/>
        <v>0</v>
      </c>
      <c r="R1408">
        <f t="shared" si="129"/>
        <v>1406</v>
      </c>
      <c r="S1408">
        <f>IFERROR(SEARCH(Crewlist!$P$5,V1408)+ROW()/100000,"")</f>
        <v>1.0140800000000001</v>
      </c>
      <c r="T1408">
        <f t="shared" si="133"/>
        <v>1407</v>
      </c>
      <c r="U1408">
        <f t="shared" si="134"/>
        <v>0</v>
      </c>
      <c r="V1408" t="str">
        <f t="shared" si="131"/>
        <v xml:space="preserve"> </v>
      </c>
      <c r="Y1408" s="162" t="e">
        <f>VLOOKUP(B1408,Crewlist!AS:AU,3,FALSE)</f>
        <v>#N/A</v>
      </c>
      <c r="Z1408" s="163">
        <f t="shared" si="130"/>
        <v>0</v>
      </c>
    </row>
    <row r="1409" spans="2:26">
      <c r="B1409" s="202">
        <v>1408</v>
      </c>
      <c r="C1409" s="169"/>
      <c r="N1409" s="201">
        <v>0</v>
      </c>
      <c r="Q1409">
        <f t="shared" si="132"/>
        <v>0</v>
      </c>
      <c r="R1409">
        <f t="shared" si="129"/>
        <v>1407</v>
      </c>
      <c r="S1409">
        <f>IFERROR(SEARCH(Crewlist!$P$5,V1409)+ROW()/100000,"")</f>
        <v>1.0140899999999999</v>
      </c>
      <c r="T1409">
        <f t="shared" si="133"/>
        <v>1408</v>
      </c>
      <c r="U1409">
        <f t="shared" si="134"/>
        <v>0</v>
      </c>
      <c r="V1409" t="str">
        <f t="shared" si="131"/>
        <v xml:space="preserve"> </v>
      </c>
      <c r="Y1409" s="162" t="e">
        <f>VLOOKUP(B1409,Crewlist!AS:AU,3,FALSE)</f>
        <v>#N/A</v>
      </c>
      <c r="Z1409" s="163">
        <f t="shared" si="130"/>
        <v>0</v>
      </c>
    </row>
    <row r="1410" spans="2:26">
      <c r="B1410" s="171">
        <v>1409</v>
      </c>
      <c r="C1410" s="169"/>
      <c r="N1410" s="201">
        <v>0</v>
      </c>
      <c r="Q1410">
        <f t="shared" si="132"/>
        <v>0</v>
      </c>
      <c r="R1410">
        <f t="shared" ref="R1410:R1473" si="135">IFERROR(RANK(S1410,$S$2:$S$1998,1),"")</f>
        <v>1408</v>
      </c>
      <c r="S1410">
        <f>IFERROR(SEARCH(Crewlist!$P$5,V1410)+ROW()/100000,"")</f>
        <v>1.0141</v>
      </c>
      <c r="T1410">
        <f t="shared" si="133"/>
        <v>1409</v>
      </c>
      <c r="U1410">
        <f t="shared" si="134"/>
        <v>0</v>
      </c>
      <c r="V1410" t="str">
        <f t="shared" si="131"/>
        <v xml:space="preserve"> </v>
      </c>
      <c r="Y1410" s="162" t="e">
        <f>VLOOKUP(B1410,Crewlist!AS:AU,3,FALSE)</f>
        <v>#N/A</v>
      </c>
      <c r="Z1410" s="163">
        <f t="shared" ref="Z1410:Z1473" si="136">IF(ISNUMBER(SEARCH("",Y1410)),Y1410,N1410)</f>
        <v>0</v>
      </c>
    </row>
    <row r="1411" spans="2:26">
      <c r="B1411" s="171">
        <v>1410</v>
      </c>
      <c r="C1411" s="169"/>
      <c r="N1411" s="201">
        <v>0</v>
      </c>
      <c r="Q1411">
        <f t="shared" si="132"/>
        <v>0</v>
      </c>
      <c r="R1411">
        <f t="shared" si="135"/>
        <v>1409</v>
      </c>
      <c r="S1411">
        <f>IFERROR(SEARCH(Crewlist!$P$5,V1411)+ROW()/100000,"")</f>
        <v>1.0141100000000001</v>
      </c>
      <c r="T1411">
        <f t="shared" si="133"/>
        <v>1410</v>
      </c>
      <c r="U1411">
        <f t="shared" si="134"/>
        <v>0</v>
      </c>
      <c r="V1411" t="str">
        <f t="shared" ref="V1411:V1474" si="137">CONCATENATE(C1411," ",D1411)</f>
        <v xml:space="preserve"> </v>
      </c>
      <c r="Y1411" s="162" t="e">
        <f>VLOOKUP(B1411,Crewlist!AS:AU,3,FALSE)</f>
        <v>#N/A</v>
      </c>
      <c r="Z1411" s="163">
        <f t="shared" si="136"/>
        <v>0</v>
      </c>
    </row>
    <row r="1412" spans="2:26">
      <c r="B1412" s="202">
        <v>1411</v>
      </c>
      <c r="C1412" s="169"/>
      <c r="N1412" s="201">
        <v>0</v>
      </c>
      <c r="Q1412">
        <f t="shared" si="132"/>
        <v>0</v>
      </c>
      <c r="R1412">
        <f t="shared" si="135"/>
        <v>1410</v>
      </c>
      <c r="S1412">
        <f>IFERROR(SEARCH(Crewlist!$P$5,V1412)+ROW()/100000,"")</f>
        <v>1.0141199999999999</v>
      </c>
      <c r="T1412">
        <f t="shared" si="133"/>
        <v>1411</v>
      </c>
      <c r="U1412">
        <f t="shared" si="134"/>
        <v>0</v>
      </c>
      <c r="V1412" t="str">
        <f t="shared" si="137"/>
        <v xml:space="preserve"> </v>
      </c>
      <c r="Y1412" s="162" t="e">
        <f>VLOOKUP(B1412,Crewlist!AS:AU,3,FALSE)</f>
        <v>#N/A</v>
      </c>
      <c r="Z1412" s="163">
        <f t="shared" si="136"/>
        <v>0</v>
      </c>
    </row>
    <row r="1413" spans="2:26">
      <c r="B1413" s="171">
        <v>1412</v>
      </c>
      <c r="C1413" s="169"/>
      <c r="N1413" s="201">
        <v>0</v>
      </c>
      <c r="Q1413">
        <f t="shared" si="132"/>
        <v>0</v>
      </c>
      <c r="R1413">
        <f t="shared" si="135"/>
        <v>1411</v>
      </c>
      <c r="S1413">
        <f>IFERROR(SEARCH(Crewlist!$P$5,V1413)+ROW()/100000,"")</f>
        <v>1.01413</v>
      </c>
      <c r="T1413">
        <f t="shared" si="133"/>
        <v>1412</v>
      </c>
      <c r="U1413">
        <f t="shared" si="134"/>
        <v>0</v>
      </c>
      <c r="V1413" t="str">
        <f t="shared" si="137"/>
        <v xml:space="preserve"> </v>
      </c>
      <c r="Y1413" s="162" t="e">
        <f>VLOOKUP(B1413,Crewlist!AS:AU,3,FALSE)</f>
        <v>#N/A</v>
      </c>
      <c r="Z1413" s="163">
        <f t="shared" si="136"/>
        <v>0</v>
      </c>
    </row>
    <row r="1414" spans="2:26">
      <c r="B1414" s="171">
        <v>1413</v>
      </c>
      <c r="C1414" s="169"/>
      <c r="N1414" s="201">
        <v>0</v>
      </c>
      <c r="Q1414">
        <f t="shared" si="132"/>
        <v>0</v>
      </c>
      <c r="R1414">
        <f t="shared" si="135"/>
        <v>1412</v>
      </c>
      <c r="S1414">
        <f>IFERROR(SEARCH(Crewlist!$P$5,V1414)+ROW()/100000,"")</f>
        <v>1.01414</v>
      </c>
      <c r="T1414">
        <f t="shared" si="133"/>
        <v>1413</v>
      </c>
      <c r="U1414">
        <f t="shared" si="134"/>
        <v>0</v>
      </c>
      <c r="V1414" t="str">
        <f t="shared" si="137"/>
        <v xml:space="preserve"> </v>
      </c>
      <c r="Y1414" s="162" t="e">
        <f>VLOOKUP(B1414,Crewlist!AS:AU,3,FALSE)</f>
        <v>#N/A</v>
      </c>
      <c r="Z1414" s="163">
        <f t="shared" si="136"/>
        <v>0</v>
      </c>
    </row>
    <row r="1415" spans="2:26">
      <c r="B1415" s="202">
        <v>1414</v>
      </c>
      <c r="C1415" s="169"/>
      <c r="N1415" s="201">
        <v>0</v>
      </c>
      <c r="Q1415">
        <f t="shared" si="132"/>
        <v>0</v>
      </c>
      <c r="R1415">
        <f t="shared" si="135"/>
        <v>1413</v>
      </c>
      <c r="S1415">
        <f>IFERROR(SEARCH(Crewlist!$P$5,V1415)+ROW()/100000,"")</f>
        <v>1.0141500000000001</v>
      </c>
      <c r="T1415">
        <f t="shared" si="133"/>
        <v>1414</v>
      </c>
      <c r="U1415">
        <f t="shared" si="134"/>
        <v>0</v>
      </c>
      <c r="V1415" t="str">
        <f t="shared" si="137"/>
        <v xml:space="preserve"> </v>
      </c>
      <c r="Y1415" s="162" t="e">
        <f>VLOOKUP(B1415,Crewlist!AS:AU,3,FALSE)</f>
        <v>#N/A</v>
      </c>
      <c r="Z1415" s="163">
        <f t="shared" si="136"/>
        <v>0</v>
      </c>
    </row>
    <row r="1416" spans="2:26">
      <c r="B1416" s="171">
        <v>1415</v>
      </c>
      <c r="C1416" s="169"/>
      <c r="N1416" s="201">
        <v>0</v>
      </c>
      <c r="Q1416">
        <f t="shared" si="132"/>
        <v>0</v>
      </c>
      <c r="R1416">
        <f t="shared" si="135"/>
        <v>1414</v>
      </c>
      <c r="S1416">
        <f>IFERROR(SEARCH(Crewlist!$P$5,V1416)+ROW()/100000,"")</f>
        <v>1.01416</v>
      </c>
      <c r="T1416">
        <f t="shared" si="133"/>
        <v>1415</v>
      </c>
      <c r="U1416">
        <f t="shared" si="134"/>
        <v>0</v>
      </c>
      <c r="V1416" t="str">
        <f t="shared" si="137"/>
        <v xml:space="preserve"> </v>
      </c>
      <c r="Y1416" s="162" t="e">
        <f>VLOOKUP(B1416,Crewlist!AS:AU,3,FALSE)</f>
        <v>#N/A</v>
      </c>
      <c r="Z1416" s="163">
        <f t="shared" si="136"/>
        <v>0</v>
      </c>
    </row>
    <row r="1417" spans="2:26">
      <c r="B1417" s="171">
        <v>1416</v>
      </c>
      <c r="C1417" s="169"/>
      <c r="N1417" s="201">
        <v>0</v>
      </c>
      <c r="Q1417">
        <f t="shared" ref="Q1417:Q1480" si="138">IF(C1417&lt;&gt; "",B1417,0)</f>
        <v>0</v>
      </c>
      <c r="R1417">
        <f t="shared" si="135"/>
        <v>1415</v>
      </c>
      <c r="S1417">
        <f>IFERROR(SEARCH(Crewlist!$P$5,V1417)+ROW()/100000,"")</f>
        <v>1.01417</v>
      </c>
      <c r="T1417">
        <f t="shared" ref="T1417:T1480" si="139">B1417</f>
        <v>1416</v>
      </c>
      <c r="U1417">
        <f t="shared" ref="U1417:U1480" si="140">C1417</f>
        <v>0</v>
      </c>
      <c r="V1417" t="str">
        <f t="shared" si="137"/>
        <v xml:space="preserve"> </v>
      </c>
      <c r="Y1417" s="162" t="e">
        <f>VLOOKUP(B1417,Crewlist!AS:AU,3,FALSE)</f>
        <v>#N/A</v>
      </c>
      <c r="Z1417" s="163">
        <f t="shared" si="136"/>
        <v>0</v>
      </c>
    </row>
    <row r="1418" spans="2:26">
      <c r="B1418" s="202">
        <v>1417</v>
      </c>
      <c r="C1418" s="169"/>
      <c r="N1418" s="201">
        <v>0</v>
      </c>
      <c r="Q1418">
        <f t="shared" si="138"/>
        <v>0</v>
      </c>
      <c r="R1418">
        <f t="shared" si="135"/>
        <v>1416</v>
      </c>
      <c r="S1418">
        <f>IFERROR(SEARCH(Crewlist!$P$5,V1418)+ROW()/100000,"")</f>
        <v>1.0141800000000001</v>
      </c>
      <c r="T1418">
        <f t="shared" si="139"/>
        <v>1417</v>
      </c>
      <c r="U1418">
        <f t="shared" si="140"/>
        <v>0</v>
      </c>
      <c r="V1418" t="str">
        <f t="shared" si="137"/>
        <v xml:space="preserve"> </v>
      </c>
      <c r="Y1418" s="162" t="e">
        <f>VLOOKUP(B1418,Crewlist!AS:AU,3,FALSE)</f>
        <v>#N/A</v>
      </c>
      <c r="Z1418" s="163">
        <f t="shared" si="136"/>
        <v>0</v>
      </c>
    </row>
    <row r="1419" spans="2:26">
      <c r="B1419" s="171">
        <v>1418</v>
      </c>
      <c r="C1419" s="169"/>
      <c r="N1419" s="201">
        <v>0</v>
      </c>
      <c r="Q1419">
        <f t="shared" si="138"/>
        <v>0</v>
      </c>
      <c r="R1419">
        <f t="shared" si="135"/>
        <v>1417</v>
      </c>
      <c r="S1419">
        <f>IFERROR(SEARCH(Crewlist!$P$5,V1419)+ROW()/100000,"")</f>
        <v>1.0141899999999999</v>
      </c>
      <c r="T1419">
        <f t="shared" si="139"/>
        <v>1418</v>
      </c>
      <c r="U1419">
        <f t="shared" si="140"/>
        <v>0</v>
      </c>
      <c r="V1419" t="str">
        <f t="shared" si="137"/>
        <v xml:space="preserve"> </v>
      </c>
      <c r="Y1419" s="162" t="e">
        <f>VLOOKUP(B1419,Crewlist!AS:AU,3,FALSE)</f>
        <v>#N/A</v>
      </c>
      <c r="Z1419" s="163">
        <f t="shared" si="136"/>
        <v>0</v>
      </c>
    </row>
    <row r="1420" spans="2:26">
      <c r="B1420" s="171">
        <v>1419</v>
      </c>
      <c r="C1420" s="169"/>
      <c r="N1420" s="201">
        <v>0</v>
      </c>
      <c r="Q1420">
        <f t="shared" si="138"/>
        <v>0</v>
      </c>
      <c r="R1420">
        <f t="shared" si="135"/>
        <v>1418</v>
      </c>
      <c r="S1420">
        <f>IFERROR(SEARCH(Crewlist!$P$5,V1420)+ROW()/100000,"")</f>
        <v>1.0142</v>
      </c>
      <c r="T1420">
        <f t="shared" si="139"/>
        <v>1419</v>
      </c>
      <c r="U1420">
        <f t="shared" si="140"/>
        <v>0</v>
      </c>
      <c r="V1420" t="str">
        <f t="shared" si="137"/>
        <v xml:space="preserve"> </v>
      </c>
      <c r="Y1420" s="162" t="e">
        <f>VLOOKUP(B1420,Crewlist!AS:AU,3,FALSE)</f>
        <v>#N/A</v>
      </c>
      <c r="Z1420" s="163">
        <f t="shared" si="136"/>
        <v>0</v>
      </c>
    </row>
    <row r="1421" spans="2:26">
      <c r="B1421" s="202">
        <v>1420</v>
      </c>
      <c r="C1421" s="169"/>
      <c r="N1421" s="201">
        <v>0</v>
      </c>
      <c r="Q1421">
        <f t="shared" si="138"/>
        <v>0</v>
      </c>
      <c r="R1421">
        <f t="shared" si="135"/>
        <v>1419</v>
      </c>
      <c r="S1421">
        <f>IFERROR(SEARCH(Crewlist!$P$5,V1421)+ROW()/100000,"")</f>
        <v>1.0142100000000001</v>
      </c>
      <c r="T1421">
        <f t="shared" si="139"/>
        <v>1420</v>
      </c>
      <c r="U1421">
        <f t="shared" si="140"/>
        <v>0</v>
      </c>
      <c r="V1421" t="str">
        <f t="shared" si="137"/>
        <v xml:space="preserve"> </v>
      </c>
      <c r="Y1421" s="162" t="e">
        <f>VLOOKUP(B1421,Crewlist!AS:AU,3,FALSE)</f>
        <v>#N/A</v>
      </c>
      <c r="Z1421" s="163">
        <f t="shared" si="136"/>
        <v>0</v>
      </c>
    </row>
    <row r="1422" spans="2:26">
      <c r="B1422" s="171">
        <v>1421</v>
      </c>
      <c r="C1422" s="169"/>
      <c r="N1422" s="201">
        <v>0</v>
      </c>
      <c r="Q1422">
        <f t="shared" si="138"/>
        <v>0</v>
      </c>
      <c r="R1422">
        <f t="shared" si="135"/>
        <v>1420</v>
      </c>
      <c r="S1422">
        <f>IFERROR(SEARCH(Crewlist!$P$5,V1422)+ROW()/100000,"")</f>
        <v>1.0142199999999999</v>
      </c>
      <c r="T1422">
        <f t="shared" si="139"/>
        <v>1421</v>
      </c>
      <c r="U1422">
        <f t="shared" si="140"/>
        <v>0</v>
      </c>
      <c r="V1422" t="str">
        <f t="shared" si="137"/>
        <v xml:space="preserve"> </v>
      </c>
      <c r="Y1422" s="162" t="e">
        <f>VLOOKUP(B1422,Crewlist!AS:AU,3,FALSE)</f>
        <v>#N/A</v>
      </c>
      <c r="Z1422" s="163">
        <f t="shared" si="136"/>
        <v>0</v>
      </c>
    </row>
    <row r="1423" spans="2:26">
      <c r="B1423" s="171">
        <v>1422</v>
      </c>
      <c r="C1423" s="169"/>
      <c r="N1423" s="201">
        <v>0</v>
      </c>
      <c r="Q1423">
        <f t="shared" si="138"/>
        <v>0</v>
      </c>
      <c r="R1423">
        <f t="shared" si="135"/>
        <v>1421</v>
      </c>
      <c r="S1423">
        <f>IFERROR(SEARCH(Crewlist!$P$5,V1423)+ROW()/100000,"")</f>
        <v>1.01423</v>
      </c>
      <c r="T1423">
        <f t="shared" si="139"/>
        <v>1422</v>
      </c>
      <c r="U1423">
        <f t="shared" si="140"/>
        <v>0</v>
      </c>
      <c r="V1423" t="str">
        <f t="shared" si="137"/>
        <v xml:space="preserve"> </v>
      </c>
      <c r="Y1423" s="162" t="e">
        <f>VLOOKUP(B1423,Crewlist!AS:AU,3,FALSE)</f>
        <v>#N/A</v>
      </c>
      <c r="Z1423" s="163">
        <f t="shared" si="136"/>
        <v>0</v>
      </c>
    </row>
    <row r="1424" spans="2:26">
      <c r="B1424" s="202">
        <v>1423</v>
      </c>
      <c r="C1424" s="169"/>
      <c r="N1424" s="201">
        <v>0</v>
      </c>
      <c r="Q1424">
        <f t="shared" si="138"/>
        <v>0</v>
      </c>
      <c r="R1424">
        <f t="shared" si="135"/>
        <v>1422</v>
      </c>
      <c r="S1424">
        <f>IFERROR(SEARCH(Crewlist!$P$5,V1424)+ROW()/100000,"")</f>
        <v>1.01424</v>
      </c>
      <c r="T1424">
        <f t="shared" si="139"/>
        <v>1423</v>
      </c>
      <c r="U1424">
        <f t="shared" si="140"/>
        <v>0</v>
      </c>
      <c r="V1424" t="str">
        <f t="shared" si="137"/>
        <v xml:space="preserve"> </v>
      </c>
      <c r="Y1424" s="162" t="e">
        <f>VLOOKUP(B1424,Crewlist!AS:AU,3,FALSE)</f>
        <v>#N/A</v>
      </c>
      <c r="Z1424" s="163">
        <f t="shared" si="136"/>
        <v>0</v>
      </c>
    </row>
    <row r="1425" spans="2:26">
      <c r="B1425" s="171">
        <v>1424</v>
      </c>
      <c r="C1425" s="169"/>
      <c r="N1425" s="201">
        <v>0</v>
      </c>
      <c r="Q1425">
        <f t="shared" si="138"/>
        <v>0</v>
      </c>
      <c r="R1425">
        <f t="shared" si="135"/>
        <v>1423</v>
      </c>
      <c r="S1425">
        <f>IFERROR(SEARCH(Crewlist!$P$5,V1425)+ROW()/100000,"")</f>
        <v>1.0142500000000001</v>
      </c>
      <c r="T1425">
        <f t="shared" si="139"/>
        <v>1424</v>
      </c>
      <c r="U1425">
        <f t="shared" si="140"/>
        <v>0</v>
      </c>
      <c r="V1425" t="str">
        <f t="shared" si="137"/>
        <v xml:space="preserve"> </v>
      </c>
      <c r="Y1425" s="162" t="e">
        <f>VLOOKUP(B1425,Crewlist!AS:AU,3,FALSE)</f>
        <v>#N/A</v>
      </c>
      <c r="Z1425" s="163">
        <f t="shared" si="136"/>
        <v>0</v>
      </c>
    </row>
    <row r="1426" spans="2:26">
      <c r="B1426" s="171">
        <v>1425</v>
      </c>
      <c r="C1426" s="169"/>
      <c r="N1426" s="201">
        <v>0</v>
      </c>
      <c r="Q1426">
        <f t="shared" si="138"/>
        <v>0</v>
      </c>
      <c r="R1426">
        <f t="shared" si="135"/>
        <v>1424</v>
      </c>
      <c r="S1426">
        <f>IFERROR(SEARCH(Crewlist!$P$5,V1426)+ROW()/100000,"")</f>
        <v>1.0142599999999999</v>
      </c>
      <c r="T1426">
        <f t="shared" si="139"/>
        <v>1425</v>
      </c>
      <c r="U1426">
        <f t="shared" si="140"/>
        <v>0</v>
      </c>
      <c r="V1426" t="str">
        <f t="shared" si="137"/>
        <v xml:space="preserve"> </v>
      </c>
      <c r="Y1426" s="162" t="e">
        <f>VLOOKUP(B1426,Crewlist!AS:AU,3,FALSE)</f>
        <v>#N/A</v>
      </c>
      <c r="Z1426" s="163">
        <f t="shared" si="136"/>
        <v>0</v>
      </c>
    </row>
    <row r="1427" spans="2:26">
      <c r="B1427" s="202">
        <v>1426</v>
      </c>
      <c r="C1427" s="169"/>
      <c r="N1427" s="201">
        <v>0</v>
      </c>
      <c r="Q1427">
        <f t="shared" si="138"/>
        <v>0</v>
      </c>
      <c r="R1427">
        <f t="shared" si="135"/>
        <v>1425</v>
      </c>
      <c r="S1427">
        <f>IFERROR(SEARCH(Crewlist!$P$5,V1427)+ROW()/100000,"")</f>
        <v>1.01427</v>
      </c>
      <c r="T1427">
        <f t="shared" si="139"/>
        <v>1426</v>
      </c>
      <c r="U1427">
        <f t="shared" si="140"/>
        <v>0</v>
      </c>
      <c r="V1427" t="str">
        <f t="shared" si="137"/>
        <v xml:space="preserve"> </v>
      </c>
      <c r="Y1427" s="162" t="e">
        <f>VLOOKUP(B1427,Crewlist!AS:AU,3,FALSE)</f>
        <v>#N/A</v>
      </c>
      <c r="Z1427" s="163">
        <f t="shared" si="136"/>
        <v>0</v>
      </c>
    </row>
    <row r="1428" spans="2:26">
      <c r="B1428" s="171">
        <v>1427</v>
      </c>
      <c r="C1428" s="169"/>
      <c r="N1428" s="201">
        <v>0</v>
      </c>
      <c r="Q1428">
        <f t="shared" si="138"/>
        <v>0</v>
      </c>
      <c r="R1428">
        <f t="shared" si="135"/>
        <v>1426</v>
      </c>
      <c r="S1428">
        <f>IFERROR(SEARCH(Crewlist!$P$5,V1428)+ROW()/100000,"")</f>
        <v>1.0142800000000001</v>
      </c>
      <c r="T1428">
        <f t="shared" si="139"/>
        <v>1427</v>
      </c>
      <c r="U1428">
        <f t="shared" si="140"/>
        <v>0</v>
      </c>
      <c r="V1428" t="str">
        <f t="shared" si="137"/>
        <v xml:space="preserve"> </v>
      </c>
      <c r="Y1428" s="162" t="e">
        <f>VLOOKUP(B1428,Crewlist!AS:AU,3,FALSE)</f>
        <v>#N/A</v>
      </c>
      <c r="Z1428" s="163">
        <f t="shared" si="136"/>
        <v>0</v>
      </c>
    </row>
    <row r="1429" spans="2:26">
      <c r="B1429" s="171">
        <v>1428</v>
      </c>
      <c r="C1429" s="169"/>
      <c r="N1429" s="201">
        <v>0</v>
      </c>
      <c r="Q1429">
        <f t="shared" si="138"/>
        <v>0</v>
      </c>
      <c r="R1429">
        <f t="shared" si="135"/>
        <v>1427</v>
      </c>
      <c r="S1429">
        <f>IFERROR(SEARCH(Crewlist!$P$5,V1429)+ROW()/100000,"")</f>
        <v>1.0142899999999999</v>
      </c>
      <c r="T1429">
        <f t="shared" si="139"/>
        <v>1428</v>
      </c>
      <c r="U1429">
        <f t="shared" si="140"/>
        <v>0</v>
      </c>
      <c r="V1429" t="str">
        <f t="shared" si="137"/>
        <v xml:space="preserve"> </v>
      </c>
      <c r="Y1429" s="162" t="e">
        <f>VLOOKUP(B1429,Crewlist!AS:AU,3,FALSE)</f>
        <v>#N/A</v>
      </c>
      <c r="Z1429" s="163">
        <f t="shared" si="136"/>
        <v>0</v>
      </c>
    </row>
    <row r="1430" spans="2:26">
      <c r="B1430" s="202">
        <v>1429</v>
      </c>
      <c r="C1430" s="169"/>
      <c r="N1430" s="201">
        <v>0</v>
      </c>
      <c r="Q1430">
        <f t="shared" si="138"/>
        <v>0</v>
      </c>
      <c r="R1430">
        <f t="shared" si="135"/>
        <v>1428</v>
      </c>
      <c r="S1430">
        <f>IFERROR(SEARCH(Crewlist!$P$5,V1430)+ROW()/100000,"")</f>
        <v>1.0143</v>
      </c>
      <c r="T1430">
        <f t="shared" si="139"/>
        <v>1429</v>
      </c>
      <c r="U1430">
        <f t="shared" si="140"/>
        <v>0</v>
      </c>
      <c r="V1430" t="str">
        <f t="shared" si="137"/>
        <v xml:space="preserve"> </v>
      </c>
      <c r="Y1430" s="162" t="e">
        <f>VLOOKUP(B1430,Crewlist!AS:AU,3,FALSE)</f>
        <v>#N/A</v>
      </c>
      <c r="Z1430" s="163">
        <f t="shared" si="136"/>
        <v>0</v>
      </c>
    </row>
    <row r="1431" spans="2:26">
      <c r="B1431" s="171">
        <v>1430</v>
      </c>
      <c r="C1431" s="169"/>
      <c r="N1431" s="201">
        <v>0</v>
      </c>
      <c r="Q1431">
        <f t="shared" si="138"/>
        <v>0</v>
      </c>
      <c r="R1431">
        <f t="shared" si="135"/>
        <v>1429</v>
      </c>
      <c r="S1431">
        <f>IFERROR(SEARCH(Crewlist!$P$5,V1431)+ROW()/100000,"")</f>
        <v>1.01431</v>
      </c>
      <c r="T1431">
        <f t="shared" si="139"/>
        <v>1430</v>
      </c>
      <c r="U1431">
        <f t="shared" si="140"/>
        <v>0</v>
      </c>
      <c r="V1431" t="str">
        <f t="shared" si="137"/>
        <v xml:space="preserve"> </v>
      </c>
      <c r="Y1431" s="162" t="e">
        <f>VLOOKUP(B1431,Crewlist!AS:AU,3,FALSE)</f>
        <v>#N/A</v>
      </c>
      <c r="Z1431" s="163">
        <f t="shared" si="136"/>
        <v>0</v>
      </c>
    </row>
    <row r="1432" spans="2:26">
      <c r="B1432" s="171">
        <v>1431</v>
      </c>
      <c r="C1432" s="169"/>
      <c r="N1432" s="201">
        <v>0</v>
      </c>
      <c r="Q1432">
        <f t="shared" si="138"/>
        <v>0</v>
      </c>
      <c r="R1432">
        <f t="shared" si="135"/>
        <v>1430</v>
      </c>
      <c r="S1432">
        <f>IFERROR(SEARCH(Crewlist!$P$5,V1432)+ROW()/100000,"")</f>
        <v>1.0143200000000001</v>
      </c>
      <c r="T1432">
        <f t="shared" si="139"/>
        <v>1431</v>
      </c>
      <c r="U1432">
        <f t="shared" si="140"/>
        <v>0</v>
      </c>
      <c r="V1432" t="str">
        <f t="shared" si="137"/>
        <v xml:space="preserve"> </v>
      </c>
      <c r="Y1432" s="162" t="e">
        <f>VLOOKUP(B1432,Crewlist!AS:AU,3,FALSE)</f>
        <v>#N/A</v>
      </c>
      <c r="Z1432" s="163">
        <f t="shared" si="136"/>
        <v>0</v>
      </c>
    </row>
    <row r="1433" spans="2:26">
      <c r="B1433" s="202">
        <v>1432</v>
      </c>
      <c r="C1433" s="169"/>
      <c r="N1433" s="201">
        <v>0</v>
      </c>
      <c r="Q1433">
        <f t="shared" si="138"/>
        <v>0</v>
      </c>
      <c r="R1433">
        <f t="shared" si="135"/>
        <v>1431</v>
      </c>
      <c r="S1433">
        <f>IFERROR(SEARCH(Crewlist!$P$5,V1433)+ROW()/100000,"")</f>
        <v>1.01433</v>
      </c>
      <c r="T1433">
        <f t="shared" si="139"/>
        <v>1432</v>
      </c>
      <c r="U1433">
        <f t="shared" si="140"/>
        <v>0</v>
      </c>
      <c r="V1433" t="str">
        <f t="shared" si="137"/>
        <v xml:space="preserve"> </v>
      </c>
      <c r="Y1433" s="162" t="e">
        <f>VLOOKUP(B1433,Crewlist!AS:AU,3,FALSE)</f>
        <v>#N/A</v>
      </c>
      <c r="Z1433" s="163">
        <f t="shared" si="136"/>
        <v>0</v>
      </c>
    </row>
    <row r="1434" spans="2:26">
      <c r="B1434" s="171">
        <v>1433</v>
      </c>
      <c r="C1434" s="169"/>
      <c r="N1434" s="201">
        <v>0</v>
      </c>
      <c r="Q1434">
        <f t="shared" si="138"/>
        <v>0</v>
      </c>
      <c r="R1434">
        <f t="shared" si="135"/>
        <v>1432</v>
      </c>
      <c r="S1434">
        <f>IFERROR(SEARCH(Crewlist!$P$5,V1434)+ROW()/100000,"")</f>
        <v>1.01434</v>
      </c>
      <c r="T1434">
        <f t="shared" si="139"/>
        <v>1433</v>
      </c>
      <c r="U1434">
        <f t="shared" si="140"/>
        <v>0</v>
      </c>
      <c r="V1434" t="str">
        <f t="shared" si="137"/>
        <v xml:space="preserve"> </v>
      </c>
      <c r="Y1434" s="162" t="e">
        <f>VLOOKUP(B1434,Crewlist!AS:AU,3,FALSE)</f>
        <v>#N/A</v>
      </c>
      <c r="Z1434" s="163">
        <f t="shared" si="136"/>
        <v>0</v>
      </c>
    </row>
    <row r="1435" spans="2:26">
      <c r="B1435" s="171">
        <v>1434</v>
      </c>
      <c r="C1435" s="169"/>
      <c r="N1435" s="201">
        <v>0</v>
      </c>
      <c r="Q1435">
        <f t="shared" si="138"/>
        <v>0</v>
      </c>
      <c r="R1435">
        <f t="shared" si="135"/>
        <v>1433</v>
      </c>
      <c r="S1435">
        <f>IFERROR(SEARCH(Crewlist!$P$5,V1435)+ROW()/100000,"")</f>
        <v>1.0143500000000001</v>
      </c>
      <c r="T1435">
        <f t="shared" si="139"/>
        <v>1434</v>
      </c>
      <c r="U1435">
        <f t="shared" si="140"/>
        <v>0</v>
      </c>
      <c r="V1435" t="str">
        <f t="shared" si="137"/>
        <v xml:space="preserve"> </v>
      </c>
      <c r="Y1435" s="162" t="e">
        <f>VLOOKUP(B1435,Crewlist!AS:AU,3,FALSE)</f>
        <v>#N/A</v>
      </c>
      <c r="Z1435" s="163">
        <f t="shared" si="136"/>
        <v>0</v>
      </c>
    </row>
    <row r="1436" spans="2:26">
      <c r="B1436" s="202">
        <v>1435</v>
      </c>
      <c r="C1436" s="169"/>
      <c r="N1436" s="201">
        <v>0</v>
      </c>
      <c r="Q1436">
        <f t="shared" si="138"/>
        <v>0</v>
      </c>
      <c r="R1436">
        <f t="shared" si="135"/>
        <v>1434</v>
      </c>
      <c r="S1436">
        <f>IFERROR(SEARCH(Crewlist!$P$5,V1436)+ROW()/100000,"")</f>
        <v>1.0143599999999999</v>
      </c>
      <c r="T1436">
        <f t="shared" si="139"/>
        <v>1435</v>
      </c>
      <c r="U1436">
        <f t="shared" si="140"/>
        <v>0</v>
      </c>
      <c r="V1436" t="str">
        <f t="shared" si="137"/>
        <v xml:space="preserve"> </v>
      </c>
      <c r="Y1436" s="162" t="e">
        <f>VLOOKUP(B1436,Crewlist!AS:AU,3,FALSE)</f>
        <v>#N/A</v>
      </c>
      <c r="Z1436" s="163">
        <f t="shared" si="136"/>
        <v>0</v>
      </c>
    </row>
    <row r="1437" spans="2:26">
      <c r="B1437" s="171">
        <v>1436</v>
      </c>
      <c r="C1437" s="169"/>
      <c r="N1437" s="201">
        <v>0</v>
      </c>
      <c r="Q1437">
        <f t="shared" si="138"/>
        <v>0</v>
      </c>
      <c r="R1437">
        <f t="shared" si="135"/>
        <v>1435</v>
      </c>
      <c r="S1437">
        <f>IFERROR(SEARCH(Crewlist!$P$5,V1437)+ROW()/100000,"")</f>
        <v>1.01437</v>
      </c>
      <c r="T1437">
        <f t="shared" si="139"/>
        <v>1436</v>
      </c>
      <c r="U1437">
        <f t="shared" si="140"/>
        <v>0</v>
      </c>
      <c r="V1437" t="str">
        <f t="shared" si="137"/>
        <v xml:space="preserve"> </v>
      </c>
      <c r="Y1437" s="162" t="e">
        <f>VLOOKUP(B1437,Crewlist!AS:AU,3,FALSE)</f>
        <v>#N/A</v>
      </c>
      <c r="Z1437" s="163">
        <f t="shared" si="136"/>
        <v>0</v>
      </c>
    </row>
    <row r="1438" spans="2:26">
      <c r="B1438" s="171">
        <v>1437</v>
      </c>
      <c r="C1438" s="169"/>
      <c r="N1438" s="201">
        <v>0</v>
      </c>
      <c r="Q1438">
        <f t="shared" si="138"/>
        <v>0</v>
      </c>
      <c r="R1438">
        <f t="shared" si="135"/>
        <v>1436</v>
      </c>
      <c r="S1438">
        <f>IFERROR(SEARCH(Crewlist!$P$5,V1438)+ROW()/100000,"")</f>
        <v>1.0143800000000001</v>
      </c>
      <c r="T1438">
        <f t="shared" si="139"/>
        <v>1437</v>
      </c>
      <c r="U1438">
        <f t="shared" si="140"/>
        <v>0</v>
      </c>
      <c r="V1438" t="str">
        <f t="shared" si="137"/>
        <v xml:space="preserve"> </v>
      </c>
      <c r="Y1438" s="162" t="e">
        <f>VLOOKUP(B1438,Crewlist!AS:AU,3,FALSE)</f>
        <v>#N/A</v>
      </c>
      <c r="Z1438" s="163">
        <f t="shared" si="136"/>
        <v>0</v>
      </c>
    </row>
    <row r="1439" spans="2:26">
      <c r="B1439" s="202">
        <v>1438</v>
      </c>
      <c r="C1439" s="169"/>
      <c r="N1439" s="201">
        <v>0</v>
      </c>
      <c r="Q1439">
        <f t="shared" si="138"/>
        <v>0</v>
      </c>
      <c r="R1439">
        <f t="shared" si="135"/>
        <v>1437</v>
      </c>
      <c r="S1439">
        <f>IFERROR(SEARCH(Crewlist!$P$5,V1439)+ROW()/100000,"")</f>
        <v>1.0143899999999999</v>
      </c>
      <c r="T1439">
        <f t="shared" si="139"/>
        <v>1438</v>
      </c>
      <c r="U1439">
        <f t="shared" si="140"/>
        <v>0</v>
      </c>
      <c r="V1439" t="str">
        <f t="shared" si="137"/>
        <v xml:space="preserve"> </v>
      </c>
      <c r="Y1439" s="162" t="e">
        <f>VLOOKUP(B1439,Crewlist!AS:AU,3,FALSE)</f>
        <v>#N/A</v>
      </c>
      <c r="Z1439" s="163">
        <f t="shared" si="136"/>
        <v>0</v>
      </c>
    </row>
    <row r="1440" spans="2:26">
      <c r="B1440" s="171">
        <v>1439</v>
      </c>
      <c r="C1440" s="169"/>
      <c r="N1440" s="201">
        <v>0</v>
      </c>
      <c r="Q1440">
        <f t="shared" si="138"/>
        <v>0</v>
      </c>
      <c r="R1440">
        <f t="shared" si="135"/>
        <v>1438</v>
      </c>
      <c r="S1440">
        <f>IFERROR(SEARCH(Crewlist!$P$5,V1440)+ROW()/100000,"")</f>
        <v>1.0144</v>
      </c>
      <c r="T1440">
        <f t="shared" si="139"/>
        <v>1439</v>
      </c>
      <c r="U1440">
        <f t="shared" si="140"/>
        <v>0</v>
      </c>
      <c r="V1440" t="str">
        <f t="shared" si="137"/>
        <v xml:space="preserve"> </v>
      </c>
      <c r="Y1440" s="162" t="e">
        <f>VLOOKUP(B1440,Crewlist!AS:AU,3,FALSE)</f>
        <v>#N/A</v>
      </c>
      <c r="Z1440" s="163">
        <f t="shared" si="136"/>
        <v>0</v>
      </c>
    </row>
    <row r="1441" spans="2:26">
      <c r="B1441" s="171">
        <v>1440</v>
      </c>
      <c r="C1441" s="169"/>
      <c r="N1441" s="201">
        <v>0</v>
      </c>
      <c r="Q1441">
        <f t="shared" si="138"/>
        <v>0</v>
      </c>
      <c r="R1441">
        <f t="shared" si="135"/>
        <v>1439</v>
      </c>
      <c r="S1441">
        <f>IFERROR(SEARCH(Crewlist!$P$5,V1441)+ROW()/100000,"")</f>
        <v>1.01441</v>
      </c>
      <c r="T1441">
        <f t="shared" si="139"/>
        <v>1440</v>
      </c>
      <c r="U1441">
        <f t="shared" si="140"/>
        <v>0</v>
      </c>
      <c r="V1441" t="str">
        <f t="shared" si="137"/>
        <v xml:space="preserve"> </v>
      </c>
      <c r="Y1441" s="162" t="e">
        <f>VLOOKUP(B1441,Crewlist!AS:AU,3,FALSE)</f>
        <v>#N/A</v>
      </c>
      <c r="Z1441" s="163">
        <f t="shared" si="136"/>
        <v>0</v>
      </c>
    </row>
    <row r="1442" spans="2:26">
      <c r="B1442" s="202">
        <v>1441</v>
      </c>
      <c r="C1442" s="169"/>
      <c r="N1442" s="201">
        <v>0</v>
      </c>
      <c r="Q1442">
        <f t="shared" si="138"/>
        <v>0</v>
      </c>
      <c r="R1442">
        <f t="shared" si="135"/>
        <v>1440</v>
      </c>
      <c r="S1442">
        <f>IFERROR(SEARCH(Crewlist!$P$5,V1442)+ROW()/100000,"")</f>
        <v>1.0144200000000001</v>
      </c>
      <c r="T1442">
        <f t="shared" si="139"/>
        <v>1441</v>
      </c>
      <c r="U1442">
        <f t="shared" si="140"/>
        <v>0</v>
      </c>
      <c r="V1442" t="str">
        <f t="shared" si="137"/>
        <v xml:space="preserve"> </v>
      </c>
      <c r="Y1442" s="162" t="e">
        <f>VLOOKUP(B1442,Crewlist!AS:AU,3,FALSE)</f>
        <v>#N/A</v>
      </c>
      <c r="Z1442" s="163">
        <f t="shared" si="136"/>
        <v>0</v>
      </c>
    </row>
    <row r="1443" spans="2:26">
      <c r="B1443" s="171">
        <v>1442</v>
      </c>
      <c r="C1443" s="169"/>
      <c r="N1443" s="201">
        <v>0</v>
      </c>
      <c r="Q1443">
        <f t="shared" si="138"/>
        <v>0</v>
      </c>
      <c r="R1443">
        <f t="shared" si="135"/>
        <v>1441</v>
      </c>
      <c r="S1443">
        <f>IFERROR(SEARCH(Crewlist!$P$5,V1443)+ROW()/100000,"")</f>
        <v>1.0144299999999999</v>
      </c>
      <c r="T1443">
        <f t="shared" si="139"/>
        <v>1442</v>
      </c>
      <c r="U1443">
        <f t="shared" si="140"/>
        <v>0</v>
      </c>
      <c r="V1443" t="str">
        <f t="shared" si="137"/>
        <v xml:space="preserve"> </v>
      </c>
      <c r="Y1443" s="162" t="e">
        <f>VLOOKUP(B1443,Crewlist!AS:AU,3,FALSE)</f>
        <v>#N/A</v>
      </c>
      <c r="Z1443" s="163">
        <f t="shared" si="136"/>
        <v>0</v>
      </c>
    </row>
    <row r="1444" spans="2:26">
      <c r="B1444" s="171">
        <v>1443</v>
      </c>
      <c r="C1444" s="169"/>
      <c r="N1444" s="201">
        <v>0</v>
      </c>
      <c r="Q1444">
        <f t="shared" si="138"/>
        <v>0</v>
      </c>
      <c r="R1444">
        <f t="shared" si="135"/>
        <v>1442</v>
      </c>
      <c r="S1444">
        <f>IFERROR(SEARCH(Crewlist!$P$5,V1444)+ROW()/100000,"")</f>
        <v>1.01444</v>
      </c>
      <c r="T1444">
        <f t="shared" si="139"/>
        <v>1443</v>
      </c>
      <c r="U1444">
        <f t="shared" si="140"/>
        <v>0</v>
      </c>
      <c r="V1444" t="str">
        <f t="shared" si="137"/>
        <v xml:space="preserve"> </v>
      </c>
      <c r="Y1444" s="162" t="e">
        <f>VLOOKUP(B1444,Crewlist!AS:AU,3,FALSE)</f>
        <v>#N/A</v>
      </c>
      <c r="Z1444" s="163">
        <f t="shared" si="136"/>
        <v>0</v>
      </c>
    </row>
    <row r="1445" spans="2:26">
      <c r="B1445" s="202">
        <v>1444</v>
      </c>
      <c r="C1445" s="169"/>
      <c r="N1445" s="201">
        <v>0</v>
      </c>
      <c r="Q1445">
        <f t="shared" si="138"/>
        <v>0</v>
      </c>
      <c r="R1445">
        <f t="shared" si="135"/>
        <v>1443</v>
      </c>
      <c r="S1445">
        <f>IFERROR(SEARCH(Crewlist!$P$5,V1445)+ROW()/100000,"")</f>
        <v>1.0144500000000001</v>
      </c>
      <c r="T1445">
        <f t="shared" si="139"/>
        <v>1444</v>
      </c>
      <c r="U1445">
        <f t="shared" si="140"/>
        <v>0</v>
      </c>
      <c r="V1445" t="str">
        <f t="shared" si="137"/>
        <v xml:space="preserve"> </v>
      </c>
      <c r="Y1445" s="162" t="e">
        <f>VLOOKUP(B1445,Crewlist!AS:AU,3,FALSE)</f>
        <v>#N/A</v>
      </c>
      <c r="Z1445" s="163">
        <f t="shared" si="136"/>
        <v>0</v>
      </c>
    </row>
    <row r="1446" spans="2:26">
      <c r="B1446" s="171">
        <v>1445</v>
      </c>
      <c r="C1446" s="169"/>
      <c r="N1446" s="201">
        <v>0</v>
      </c>
      <c r="Q1446">
        <f t="shared" si="138"/>
        <v>0</v>
      </c>
      <c r="R1446">
        <f t="shared" si="135"/>
        <v>1444</v>
      </c>
      <c r="S1446">
        <f>IFERROR(SEARCH(Crewlist!$P$5,V1446)+ROW()/100000,"")</f>
        <v>1.0144599999999999</v>
      </c>
      <c r="T1446">
        <f t="shared" si="139"/>
        <v>1445</v>
      </c>
      <c r="U1446">
        <f t="shared" si="140"/>
        <v>0</v>
      </c>
      <c r="V1446" t="str">
        <f t="shared" si="137"/>
        <v xml:space="preserve"> </v>
      </c>
      <c r="Y1446" s="162" t="e">
        <f>VLOOKUP(B1446,Crewlist!AS:AU,3,FALSE)</f>
        <v>#N/A</v>
      </c>
      <c r="Z1446" s="163">
        <f t="shared" si="136"/>
        <v>0</v>
      </c>
    </row>
    <row r="1447" spans="2:26">
      <c r="B1447" s="171">
        <v>1446</v>
      </c>
      <c r="C1447" s="169"/>
      <c r="N1447" s="201">
        <v>0</v>
      </c>
      <c r="Q1447">
        <f t="shared" si="138"/>
        <v>0</v>
      </c>
      <c r="R1447">
        <f t="shared" si="135"/>
        <v>1445</v>
      </c>
      <c r="S1447">
        <f>IFERROR(SEARCH(Crewlist!$P$5,V1447)+ROW()/100000,"")</f>
        <v>1.01447</v>
      </c>
      <c r="T1447">
        <f t="shared" si="139"/>
        <v>1446</v>
      </c>
      <c r="U1447">
        <f t="shared" si="140"/>
        <v>0</v>
      </c>
      <c r="V1447" t="str">
        <f t="shared" si="137"/>
        <v xml:space="preserve"> </v>
      </c>
      <c r="Y1447" s="162" t="e">
        <f>VLOOKUP(B1447,Crewlist!AS:AU,3,FALSE)</f>
        <v>#N/A</v>
      </c>
      <c r="Z1447" s="163">
        <f t="shared" si="136"/>
        <v>0</v>
      </c>
    </row>
    <row r="1448" spans="2:26">
      <c r="B1448" s="202">
        <v>1447</v>
      </c>
      <c r="C1448" s="169"/>
      <c r="N1448" s="201">
        <v>0</v>
      </c>
      <c r="Q1448">
        <f t="shared" si="138"/>
        <v>0</v>
      </c>
      <c r="R1448">
        <f t="shared" si="135"/>
        <v>1446</v>
      </c>
      <c r="S1448">
        <f>IFERROR(SEARCH(Crewlist!$P$5,V1448)+ROW()/100000,"")</f>
        <v>1.01448</v>
      </c>
      <c r="T1448">
        <f t="shared" si="139"/>
        <v>1447</v>
      </c>
      <c r="U1448">
        <f t="shared" si="140"/>
        <v>0</v>
      </c>
      <c r="V1448" t="str">
        <f t="shared" si="137"/>
        <v xml:space="preserve"> </v>
      </c>
      <c r="Y1448" s="162" t="e">
        <f>VLOOKUP(B1448,Crewlist!AS:AU,3,FALSE)</f>
        <v>#N/A</v>
      </c>
      <c r="Z1448" s="163">
        <f t="shared" si="136"/>
        <v>0</v>
      </c>
    </row>
    <row r="1449" spans="2:26">
      <c r="B1449" s="171">
        <v>1448</v>
      </c>
      <c r="C1449" s="169"/>
      <c r="N1449" s="201">
        <v>0</v>
      </c>
      <c r="Q1449">
        <f t="shared" si="138"/>
        <v>0</v>
      </c>
      <c r="R1449">
        <f t="shared" si="135"/>
        <v>1447</v>
      </c>
      <c r="S1449">
        <f>IFERROR(SEARCH(Crewlist!$P$5,V1449)+ROW()/100000,"")</f>
        <v>1.0144899999999999</v>
      </c>
      <c r="T1449">
        <f t="shared" si="139"/>
        <v>1448</v>
      </c>
      <c r="U1449">
        <f t="shared" si="140"/>
        <v>0</v>
      </c>
      <c r="V1449" t="str">
        <f t="shared" si="137"/>
        <v xml:space="preserve"> </v>
      </c>
      <c r="Y1449" s="162" t="e">
        <f>VLOOKUP(B1449,Crewlist!AS:AU,3,FALSE)</f>
        <v>#N/A</v>
      </c>
      <c r="Z1449" s="163">
        <f t="shared" si="136"/>
        <v>0</v>
      </c>
    </row>
    <row r="1450" spans="2:26">
      <c r="B1450" s="171">
        <v>1449</v>
      </c>
      <c r="C1450" s="169"/>
      <c r="N1450" s="201">
        <v>0</v>
      </c>
      <c r="Q1450">
        <f t="shared" si="138"/>
        <v>0</v>
      </c>
      <c r="R1450">
        <f t="shared" si="135"/>
        <v>1448</v>
      </c>
      <c r="S1450">
        <f>IFERROR(SEARCH(Crewlist!$P$5,V1450)+ROW()/100000,"")</f>
        <v>1.0145</v>
      </c>
      <c r="T1450">
        <f t="shared" si="139"/>
        <v>1449</v>
      </c>
      <c r="U1450">
        <f t="shared" si="140"/>
        <v>0</v>
      </c>
      <c r="V1450" t="str">
        <f t="shared" si="137"/>
        <v xml:space="preserve"> </v>
      </c>
      <c r="Y1450" s="162" t="e">
        <f>VLOOKUP(B1450,Crewlist!AS:AU,3,FALSE)</f>
        <v>#N/A</v>
      </c>
      <c r="Z1450" s="163">
        <f t="shared" si="136"/>
        <v>0</v>
      </c>
    </row>
    <row r="1451" spans="2:26">
      <c r="B1451" s="202">
        <v>1450</v>
      </c>
      <c r="C1451" s="169"/>
      <c r="N1451" s="201">
        <v>0</v>
      </c>
      <c r="Q1451">
        <f t="shared" si="138"/>
        <v>0</v>
      </c>
      <c r="R1451">
        <f t="shared" si="135"/>
        <v>1449</v>
      </c>
      <c r="S1451">
        <f>IFERROR(SEARCH(Crewlist!$P$5,V1451)+ROW()/100000,"")</f>
        <v>1.01451</v>
      </c>
      <c r="T1451">
        <f t="shared" si="139"/>
        <v>1450</v>
      </c>
      <c r="U1451">
        <f t="shared" si="140"/>
        <v>0</v>
      </c>
      <c r="V1451" t="str">
        <f t="shared" si="137"/>
        <v xml:space="preserve"> </v>
      </c>
      <c r="Y1451" s="162" t="e">
        <f>VLOOKUP(B1451,Crewlist!AS:AU,3,FALSE)</f>
        <v>#N/A</v>
      </c>
      <c r="Z1451" s="163">
        <f t="shared" si="136"/>
        <v>0</v>
      </c>
    </row>
    <row r="1452" spans="2:26">
      <c r="B1452" s="171">
        <v>1451</v>
      </c>
      <c r="C1452" s="169"/>
      <c r="N1452" s="201">
        <v>0</v>
      </c>
      <c r="Q1452">
        <f t="shared" si="138"/>
        <v>0</v>
      </c>
      <c r="R1452">
        <f t="shared" si="135"/>
        <v>1450</v>
      </c>
      <c r="S1452">
        <f>IFERROR(SEARCH(Crewlist!$P$5,V1452)+ROW()/100000,"")</f>
        <v>1.0145200000000001</v>
      </c>
      <c r="T1452">
        <f t="shared" si="139"/>
        <v>1451</v>
      </c>
      <c r="U1452">
        <f t="shared" si="140"/>
        <v>0</v>
      </c>
      <c r="V1452" t="str">
        <f t="shared" si="137"/>
        <v xml:space="preserve"> </v>
      </c>
      <c r="Y1452" s="162" t="e">
        <f>VLOOKUP(B1452,Crewlist!AS:AU,3,FALSE)</f>
        <v>#N/A</v>
      </c>
      <c r="Z1452" s="163">
        <f t="shared" si="136"/>
        <v>0</v>
      </c>
    </row>
    <row r="1453" spans="2:26">
      <c r="B1453" s="171">
        <v>1452</v>
      </c>
      <c r="C1453" s="169"/>
      <c r="N1453" s="201">
        <v>0</v>
      </c>
      <c r="Q1453">
        <f t="shared" si="138"/>
        <v>0</v>
      </c>
      <c r="R1453">
        <f t="shared" si="135"/>
        <v>1451</v>
      </c>
      <c r="S1453">
        <f>IFERROR(SEARCH(Crewlist!$P$5,V1453)+ROW()/100000,"")</f>
        <v>1.0145299999999999</v>
      </c>
      <c r="T1453">
        <f t="shared" si="139"/>
        <v>1452</v>
      </c>
      <c r="U1453">
        <f t="shared" si="140"/>
        <v>0</v>
      </c>
      <c r="V1453" t="str">
        <f t="shared" si="137"/>
        <v xml:space="preserve"> </v>
      </c>
      <c r="Y1453" s="162" t="e">
        <f>VLOOKUP(B1453,Crewlist!AS:AU,3,FALSE)</f>
        <v>#N/A</v>
      </c>
      <c r="Z1453" s="163">
        <f t="shared" si="136"/>
        <v>0</v>
      </c>
    </row>
    <row r="1454" spans="2:26">
      <c r="B1454" s="202">
        <v>1453</v>
      </c>
      <c r="C1454" s="169"/>
      <c r="N1454" s="201">
        <v>0</v>
      </c>
      <c r="Q1454">
        <f t="shared" si="138"/>
        <v>0</v>
      </c>
      <c r="R1454">
        <f t="shared" si="135"/>
        <v>1452</v>
      </c>
      <c r="S1454">
        <f>IFERROR(SEARCH(Crewlist!$P$5,V1454)+ROW()/100000,"")</f>
        <v>1.01454</v>
      </c>
      <c r="T1454">
        <f t="shared" si="139"/>
        <v>1453</v>
      </c>
      <c r="U1454">
        <f t="shared" si="140"/>
        <v>0</v>
      </c>
      <c r="V1454" t="str">
        <f t="shared" si="137"/>
        <v xml:space="preserve"> </v>
      </c>
      <c r="Y1454" s="162" t="e">
        <f>VLOOKUP(B1454,Crewlist!AS:AU,3,FALSE)</f>
        <v>#N/A</v>
      </c>
      <c r="Z1454" s="163">
        <f t="shared" si="136"/>
        <v>0</v>
      </c>
    </row>
    <row r="1455" spans="2:26">
      <c r="B1455" s="171">
        <v>1454</v>
      </c>
      <c r="C1455" s="169"/>
      <c r="N1455" s="201">
        <v>0</v>
      </c>
      <c r="Q1455">
        <f t="shared" si="138"/>
        <v>0</v>
      </c>
      <c r="R1455">
        <f t="shared" si="135"/>
        <v>1453</v>
      </c>
      <c r="S1455">
        <f>IFERROR(SEARCH(Crewlist!$P$5,V1455)+ROW()/100000,"")</f>
        <v>1.0145500000000001</v>
      </c>
      <c r="T1455">
        <f t="shared" si="139"/>
        <v>1454</v>
      </c>
      <c r="U1455">
        <f t="shared" si="140"/>
        <v>0</v>
      </c>
      <c r="V1455" t="str">
        <f t="shared" si="137"/>
        <v xml:space="preserve"> </v>
      </c>
      <c r="Y1455" s="162" t="e">
        <f>VLOOKUP(B1455,Crewlist!AS:AU,3,FALSE)</f>
        <v>#N/A</v>
      </c>
      <c r="Z1455" s="163">
        <f t="shared" si="136"/>
        <v>0</v>
      </c>
    </row>
    <row r="1456" spans="2:26">
      <c r="B1456" s="171">
        <v>1455</v>
      </c>
      <c r="C1456" s="169"/>
      <c r="N1456" s="201">
        <v>0</v>
      </c>
      <c r="Q1456">
        <f t="shared" si="138"/>
        <v>0</v>
      </c>
      <c r="R1456">
        <f t="shared" si="135"/>
        <v>1454</v>
      </c>
      <c r="S1456">
        <f>IFERROR(SEARCH(Crewlist!$P$5,V1456)+ROW()/100000,"")</f>
        <v>1.0145599999999999</v>
      </c>
      <c r="T1456">
        <f t="shared" si="139"/>
        <v>1455</v>
      </c>
      <c r="U1456">
        <f t="shared" si="140"/>
        <v>0</v>
      </c>
      <c r="V1456" t="str">
        <f t="shared" si="137"/>
        <v xml:space="preserve"> </v>
      </c>
      <c r="Y1456" s="162" t="e">
        <f>VLOOKUP(B1456,Crewlist!AS:AU,3,FALSE)</f>
        <v>#N/A</v>
      </c>
      <c r="Z1456" s="163">
        <f t="shared" si="136"/>
        <v>0</v>
      </c>
    </row>
    <row r="1457" spans="2:26">
      <c r="B1457" s="202">
        <v>1456</v>
      </c>
      <c r="C1457" s="169"/>
      <c r="N1457" s="201">
        <v>0</v>
      </c>
      <c r="Q1457">
        <f t="shared" si="138"/>
        <v>0</v>
      </c>
      <c r="R1457">
        <f t="shared" si="135"/>
        <v>1455</v>
      </c>
      <c r="S1457">
        <f>IFERROR(SEARCH(Crewlist!$P$5,V1457)+ROW()/100000,"")</f>
        <v>1.01457</v>
      </c>
      <c r="T1457">
        <f t="shared" si="139"/>
        <v>1456</v>
      </c>
      <c r="U1457">
        <f t="shared" si="140"/>
        <v>0</v>
      </c>
      <c r="V1457" t="str">
        <f t="shared" si="137"/>
        <v xml:space="preserve"> </v>
      </c>
      <c r="Y1457" s="162" t="e">
        <f>VLOOKUP(B1457,Crewlist!AS:AU,3,FALSE)</f>
        <v>#N/A</v>
      </c>
      <c r="Z1457" s="163">
        <f t="shared" si="136"/>
        <v>0</v>
      </c>
    </row>
    <row r="1458" spans="2:26">
      <c r="B1458" s="171">
        <v>1457</v>
      </c>
      <c r="C1458" s="169"/>
      <c r="N1458" s="201">
        <v>0</v>
      </c>
      <c r="Q1458">
        <f t="shared" si="138"/>
        <v>0</v>
      </c>
      <c r="R1458">
        <f t="shared" si="135"/>
        <v>1456</v>
      </c>
      <c r="S1458">
        <f>IFERROR(SEARCH(Crewlist!$P$5,V1458)+ROW()/100000,"")</f>
        <v>1.01458</v>
      </c>
      <c r="T1458">
        <f t="shared" si="139"/>
        <v>1457</v>
      </c>
      <c r="U1458">
        <f t="shared" si="140"/>
        <v>0</v>
      </c>
      <c r="V1458" t="str">
        <f t="shared" si="137"/>
        <v xml:space="preserve"> </v>
      </c>
      <c r="Y1458" s="162" t="e">
        <f>VLOOKUP(B1458,Crewlist!AS:AU,3,FALSE)</f>
        <v>#N/A</v>
      </c>
      <c r="Z1458" s="163">
        <f t="shared" si="136"/>
        <v>0</v>
      </c>
    </row>
    <row r="1459" spans="2:26">
      <c r="B1459" s="171">
        <v>1458</v>
      </c>
      <c r="C1459" s="169"/>
      <c r="N1459" s="201">
        <v>0</v>
      </c>
      <c r="Q1459">
        <f t="shared" si="138"/>
        <v>0</v>
      </c>
      <c r="R1459">
        <f t="shared" si="135"/>
        <v>1457</v>
      </c>
      <c r="S1459">
        <f>IFERROR(SEARCH(Crewlist!$P$5,V1459)+ROW()/100000,"")</f>
        <v>1.0145900000000001</v>
      </c>
      <c r="T1459">
        <f t="shared" si="139"/>
        <v>1458</v>
      </c>
      <c r="U1459">
        <f t="shared" si="140"/>
        <v>0</v>
      </c>
      <c r="V1459" t="str">
        <f t="shared" si="137"/>
        <v xml:space="preserve"> </v>
      </c>
      <c r="Y1459" s="162" t="e">
        <f>VLOOKUP(B1459,Crewlist!AS:AU,3,FALSE)</f>
        <v>#N/A</v>
      </c>
      <c r="Z1459" s="163">
        <f t="shared" si="136"/>
        <v>0</v>
      </c>
    </row>
    <row r="1460" spans="2:26">
      <c r="B1460" s="202">
        <v>1459</v>
      </c>
      <c r="C1460" s="169"/>
      <c r="N1460" s="201">
        <v>0</v>
      </c>
      <c r="Q1460">
        <f t="shared" si="138"/>
        <v>0</v>
      </c>
      <c r="R1460">
        <f t="shared" si="135"/>
        <v>1458</v>
      </c>
      <c r="S1460">
        <f>IFERROR(SEARCH(Crewlist!$P$5,V1460)+ROW()/100000,"")</f>
        <v>1.0145999999999999</v>
      </c>
      <c r="T1460">
        <f t="shared" si="139"/>
        <v>1459</v>
      </c>
      <c r="U1460">
        <f t="shared" si="140"/>
        <v>0</v>
      </c>
      <c r="V1460" t="str">
        <f t="shared" si="137"/>
        <v xml:space="preserve"> </v>
      </c>
      <c r="Y1460" s="162" t="e">
        <f>VLOOKUP(B1460,Crewlist!AS:AU,3,FALSE)</f>
        <v>#N/A</v>
      </c>
      <c r="Z1460" s="163">
        <f t="shared" si="136"/>
        <v>0</v>
      </c>
    </row>
    <row r="1461" spans="2:26">
      <c r="B1461" s="171">
        <v>1460</v>
      </c>
      <c r="C1461" s="169"/>
      <c r="N1461" s="201">
        <v>0</v>
      </c>
      <c r="Q1461">
        <f t="shared" si="138"/>
        <v>0</v>
      </c>
      <c r="R1461">
        <f t="shared" si="135"/>
        <v>1459</v>
      </c>
      <c r="S1461">
        <f>IFERROR(SEARCH(Crewlist!$P$5,V1461)+ROW()/100000,"")</f>
        <v>1.01461</v>
      </c>
      <c r="T1461">
        <f t="shared" si="139"/>
        <v>1460</v>
      </c>
      <c r="U1461">
        <f t="shared" si="140"/>
        <v>0</v>
      </c>
      <c r="V1461" t="str">
        <f t="shared" si="137"/>
        <v xml:space="preserve"> </v>
      </c>
      <c r="Y1461" s="162" t="e">
        <f>VLOOKUP(B1461,Crewlist!AS:AU,3,FALSE)</f>
        <v>#N/A</v>
      </c>
      <c r="Z1461" s="163">
        <f t="shared" si="136"/>
        <v>0</v>
      </c>
    </row>
    <row r="1462" spans="2:26">
      <c r="B1462" s="171">
        <v>1461</v>
      </c>
      <c r="C1462" s="169"/>
      <c r="N1462" s="201">
        <v>0</v>
      </c>
      <c r="Q1462">
        <f t="shared" si="138"/>
        <v>0</v>
      </c>
      <c r="R1462">
        <f t="shared" si="135"/>
        <v>1460</v>
      </c>
      <c r="S1462">
        <f>IFERROR(SEARCH(Crewlist!$P$5,V1462)+ROW()/100000,"")</f>
        <v>1.0146200000000001</v>
      </c>
      <c r="T1462">
        <f t="shared" si="139"/>
        <v>1461</v>
      </c>
      <c r="U1462">
        <f t="shared" si="140"/>
        <v>0</v>
      </c>
      <c r="V1462" t="str">
        <f t="shared" si="137"/>
        <v xml:space="preserve"> </v>
      </c>
      <c r="Y1462" s="162" t="e">
        <f>VLOOKUP(B1462,Crewlist!AS:AU,3,FALSE)</f>
        <v>#N/A</v>
      </c>
      <c r="Z1462" s="163">
        <f t="shared" si="136"/>
        <v>0</v>
      </c>
    </row>
    <row r="1463" spans="2:26">
      <c r="B1463" s="202">
        <v>1462</v>
      </c>
      <c r="C1463" s="169"/>
      <c r="N1463" s="201">
        <v>0</v>
      </c>
      <c r="Q1463">
        <f t="shared" si="138"/>
        <v>0</v>
      </c>
      <c r="R1463">
        <f t="shared" si="135"/>
        <v>1461</v>
      </c>
      <c r="S1463">
        <f>IFERROR(SEARCH(Crewlist!$P$5,V1463)+ROW()/100000,"")</f>
        <v>1.0146299999999999</v>
      </c>
      <c r="T1463">
        <f t="shared" si="139"/>
        <v>1462</v>
      </c>
      <c r="U1463">
        <f t="shared" si="140"/>
        <v>0</v>
      </c>
      <c r="V1463" t="str">
        <f t="shared" si="137"/>
        <v xml:space="preserve"> </v>
      </c>
      <c r="Y1463" s="162" t="e">
        <f>VLOOKUP(B1463,Crewlist!AS:AU,3,FALSE)</f>
        <v>#N/A</v>
      </c>
      <c r="Z1463" s="163">
        <f t="shared" si="136"/>
        <v>0</v>
      </c>
    </row>
    <row r="1464" spans="2:26">
      <c r="B1464" s="171">
        <v>1463</v>
      </c>
      <c r="C1464" s="169"/>
      <c r="N1464" s="201">
        <v>0</v>
      </c>
      <c r="Q1464">
        <f t="shared" si="138"/>
        <v>0</v>
      </c>
      <c r="R1464">
        <f t="shared" si="135"/>
        <v>1462</v>
      </c>
      <c r="S1464">
        <f>IFERROR(SEARCH(Crewlist!$P$5,V1464)+ROW()/100000,"")</f>
        <v>1.01464</v>
      </c>
      <c r="T1464">
        <f t="shared" si="139"/>
        <v>1463</v>
      </c>
      <c r="U1464">
        <f t="shared" si="140"/>
        <v>0</v>
      </c>
      <c r="V1464" t="str">
        <f t="shared" si="137"/>
        <v xml:space="preserve"> </v>
      </c>
      <c r="Y1464" s="162" t="e">
        <f>VLOOKUP(B1464,Crewlist!AS:AU,3,FALSE)</f>
        <v>#N/A</v>
      </c>
      <c r="Z1464" s="163">
        <f t="shared" si="136"/>
        <v>0</v>
      </c>
    </row>
    <row r="1465" spans="2:26">
      <c r="B1465" s="171">
        <v>1464</v>
      </c>
      <c r="C1465" s="169"/>
      <c r="N1465" s="201">
        <v>0</v>
      </c>
      <c r="Q1465">
        <f t="shared" si="138"/>
        <v>0</v>
      </c>
      <c r="R1465">
        <f t="shared" si="135"/>
        <v>1463</v>
      </c>
      <c r="S1465">
        <f>IFERROR(SEARCH(Crewlist!$P$5,V1465)+ROW()/100000,"")</f>
        <v>1.0146500000000001</v>
      </c>
      <c r="T1465">
        <f t="shared" si="139"/>
        <v>1464</v>
      </c>
      <c r="U1465">
        <f t="shared" si="140"/>
        <v>0</v>
      </c>
      <c r="V1465" t="str">
        <f t="shared" si="137"/>
        <v xml:space="preserve"> </v>
      </c>
      <c r="Y1465" s="162" t="e">
        <f>VLOOKUP(B1465,Crewlist!AS:AU,3,FALSE)</f>
        <v>#N/A</v>
      </c>
      <c r="Z1465" s="163">
        <f t="shared" si="136"/>
        <v>0</v>
      </c>
    </row>
    <row r="1466" spans="2:26">
      <c r="B1466" s="202">
        <v>1465</v>
      </c>
      <c r="C1466" s="169"/>
      <c r="N1466" s="201">
        <v>0</v>
      </c>
      <c r="Q1466">
        <f t="shared" si="138"/>
        <v>0</v>
      </c>
      <c r="R1466">
        <f t="shared" si="135"/>
        <v>1464</v>
      </c>
      <c r="S1466">
        <f>IFERROR(SEARCH(Crewlist!$P$5,V1466)+ROW()/100000,"")</f>
        <v>1.0146599999999999</v>
      </c>
      <c r="T1466">
        <f t="shared" si="139"/>
        <v>1465</v>
      </c>
      <c r="U1466">
        <f t="shared" si="140"/>
        <v>0</v>
      </c>
      <c r="V1466" t="str">
        <f t="shared" si="137"/>
        <v xml:space="preserve"> </v>
      </c>
      <c r="Y1466" s="162" t="e">
        <f>VLOOKUP(B1466,Crewlist!AS:AU,3,FALSE)</f>
        <v>#N/A</v>
      </c>
      <c r="Z1466" s="163">
        <f t="shared" si="136"/>
        <v>0</v>
      </c>
    </row>
    <row r="1467" spans="2:26">
      <c r="B1467" s="171">
        <v>1466</v>
      </c>
      <c r="C1467" s="169"/>
      <c r="N1467" s="201">
        <v>0</v>
      </c>
      <c r="Q1467">
        <f t="shared" si="138"/>
        <v>0</v>
      </c>
      <c r="R1467">
        <f t="shared" si="135"/>
        <v>1465</v>
      </c>
      <c r="S1467">
        <f>IFERROR(SEARCH(Crewlist!$P$5,V1467)+ROW()/100000,"")</f>
        <v>1.01467</v>
      </c>
      <c r="T1467">
        <f t="shared" si="139"/>
        <v>1466</v>
      </c>
      <c r="U1467">
        <f t="shared" si="140"/>
        <v>0</v>
      </c>
      <c r="V1467" t="str">
        <f t="shared" si="137"/>
        <v xml:space="preserve"> </v>
      </c>
      <c r="Y1467" s="162" t="e">
        <f>VLOOKUP(B1467,Crewlist!AS:AU,3,FALSE)</f>
        <v>#N/A</v>
      </c>
      <c r="Z1467" s="163">
        <f t="shared" si="136"/>
        <v>0</v>
      </c>
    </row>
    <row r="1468" spans="2:26">
      <c r="B1468" s="171">
        <v>1467</v>
      </c>
      <c r="C1468" s="169"/>
      <c r="N1468" s="201">
        <v>0</v>
      </c>
      <c r="Q1468">
        <f t="shared" si="138"/>
        <v>0</v>
      </c>
      <c r="R1468">
        <f t="shared" si="135"/>
        <v>1466</v>
      </c>
      <c r="S1468">
        <f>IFERROR(SEARCH(Crewlist!$P$5,V1468)+ROW()/100000,"")</f>
        <v>1.01468</v>
      </c>
      <c r="T1468">
        <f t="shared" si="139"/>
        <v>1467</v>
      </c>
      <c r="U1468">
        <f t="shared" si="140"/>
        <v>0</v>
      </c>
      <c r="V1468" t="str">
        <f t="shared" si="137"/>
        <v xml:space="preserve"> </v>
      </c>
      <c r="Y1468" s="162" t="e">
        <f>VLOOKUP(B1468,Crewlist!AS:AU,3,FALSE)</f>
        <v>#N/A</v>
      </c>
      <c r="Z1468" s="163">
        <f t="shared" si="136"/>
        <v>0</v>
      </c>
    </row>
    <row r="1469" spans="2:26">
      <c r="B1469" s="202">
        <v>1468</v>
      </c>
      <c r="C1469" s="169"/>
      <c r="N1469" s="201">
        <v>0</v>
      </c>
      <c r="Q1469">
        <f t="shared" si="138"/>
        <v>0</v>
      </c>
      <c r="R1469">
        <f t="shared" si="135"/>
        <v>1467</v>
      </c>
      <c r="S1469">
        <f>IFERROR(SEARCH(Crewlist!$P$5,V1469)+ROW()/100000,"")</f>
        <v>1.0146900000000001</v>
      </c>
      <c r="T1469">
        <f t="shared" si="139"/>
        <v>1468</v>
      </c>
      <c r="U1469">
        <f t="shared" si="140"/>
        <v>0</v>
      </c>
      <c r="V1469" t="str">
        <f t="shared" si="137"/>
        <v xml:space="preserve"> </v>
      </c>
      <c r="Y1469" s="162" t="e">
        <f>VLOOKUP(B1469,Crewlist!AS:AU,3,FALSE)</f>
        <v>#N/A</v>
      </c>
      <c r="Z1469" s="163">
        <f t="shared" si="136"/>
        <v>0</v>
      </c>
    </row>
    <row r="1470" spans="2:26">
      <c r="B1470" s="171">
        <v>1469</v>
      </c>
      <c r="C1470" s="169"/>
      <c r="N1470" s="201">
        <v>0</v>
      </c>
      <c r="Q1470">
        <f t="shared" si="138"/>
        <v>0</v>
      </c>
      <c r="R1470">
        <f t="shared" si="135"/>
        <v>1468</v>
      </c>
      <c r="S1470">
        <f>IFERROR(SEARCH(Crewlist!$P$5,V1470)+ROW()/100000,"")</f>
        <v>1.0146999999999999</v>
      </c>
      <c r="T1470">
        <f t="shared" si="139"/>
        <v>1469</v>
      </c>
      <c r="U1470">
        <f t="shared" si="140"/>
        <v>0</v>
      </c>
      <c r="V1470" t="str">
        <f t="shared" si="137"/>
        <v xml:space="preserve"> </v>
      </c>
      <c r="Y1470" s="162" t="e">
        <f>VLOOKUP(B1470,Crewlist!AS:AU,3,FALSE)</f>
        <v>#N/A</v>
      </c>
      <c r="Z1470" s="163">
        <f t="shared" si="136"/>
        <v>0</v>
      </c>
    </row>
    <row r="1471" spans="2:26">
      <c r="B1471" s="171">
        <v>1470</v>
      </c>
      <c r="C1471" s="169"/>
      <c r="N1471" s="201">
        <v>0</v>
      </c>
      <c r="Q1471">
        <f t="shared" si="138"/>
        <v>0</v>
      </c>
      <c r="R1471">
        <f t="shared" si="135"/>
        <v>1469</v>
      </c>
      <c r="S1471">
        <f>IFERROR(SEARCH(Crewlist!$P$5,V1471)+ROW()/100000,"")</f>
        <v>1.01471</v>
      </c>
      <c r="T1471">
        <f t="shared" si="139"/>
        <v>1470</v>
      </c>
      <c r="U1471">
        <f t="shared" si="140"/>
        <v>0</v>
      </c>
      <c r="V1471" t="str">
        <f t="shared" si="137"/>
        <v xml:space="preserve"> </v>
      </c>
      <c r="Y1471" s="162" t="e">
        <f>VLOOKUP(B1471,Crewlist!AS:AU,3,FALSE)</f>
        <v>#N/A</v>
      </c>
      <c r="Z1471" s="163">
        <f t="shared" si="136"/>
        <v>0</v>
      </c>
    </row>
    <row r="1472" spans="2:26">
      <c r="B1472" s="202">
        <v>1471</v>
      </c>
      <c r="C1472" s="169"/>
      <c r="N1472" s="201">
        <v>0</v>
      </c>
      <c r="Q1472">
        <f t="shared" si="138"/>
        <v>0</v>
      </c>
      <c r="R1472">
        <f t="shared" si="135"/>
        <v>1470</v>
      </c>
      <c r="S1472">
        <f>IFERROR(SEARCH(Crewlist!$P$5,V1472)+ROW()/100000,"")</f>
        <v>1.0147200000000001</v>
      </c>
      <c r="T1472">
        <f t="shared" si="139"/>
        <v>1471</v>
      </c>
      <c r="U1472">
        <f t="shared" si="140"/>
        <v>0</v>
      </c>
      <c r="V1472" t="str">
        <f t="shared" si="137"/>
        <v xml:space="preserve"> </v>
      </c>
      <c r="Y1472" s="162" t="e">
        <f>VLOOKUP(B1472,Crewlist!AS:AU,3,FALSE)</f>
        <v>#N/A</v>
      </c>
      <c r="Z1472" s="163">
        <f t="shared" si="136"/>
        <v>0</v>
      </c>
    </row>
    <row r="1473" spans="2:26">
      <c r="B1473" s="171">
        <v>1472</v>
      </c>
      <c r="C1473" s="169"/>
      <c r="N1473" s="201">
        <v>0</v>
      </c>
      <c r="Q1473">
        <f t="shared" si="138"/>
        <v>0</v>
      </c>
      <c r="R1473">
        <f t="shared" si="135"/>
        <v>1471</v>
      </c>
      <c r="S1473">
        <f>IFERROR(SEARCH(Crewlist!$P$5,V1473)+ROW()/100000,"")</f>
        <v>1.0147299999999999</v>
      </c>
      <c r="T1473">
        <f t="shared" si="139"/>
        <v>1472</v>
      </c>
      <c r="U1473">
        <f t="shared" si="140"/>
        <v>0</v>
      </c>
      <c r="V1473" t="str">
        <f t="shared" si="137"/>
        <v xml:space="preserve"> </v>
      </c>
      <c r="Y1473" s="162" t="e">
        <f>VLOOKUP(B1473,Crewlist!AS:AU,3,FALSE)</f>
        <v>#N/A</v>
      </c>
      <c r="Z1473" s="163">
        <f t="shared" si="136"/>
        <v>0</v>
      </c>
    </row>
    <row r="1474" spans="2:26">
      <c r="B1474" s="171">
        <v>1473</v>
      </c>
      <c r="C1474" s="169"/>
      <c r="N1474" s="201">
        <v>0</v>
      </c>
      <c r="Q1474">
        <f t="shared" si="138"/>
        <v>0</v>
      </c>
      <c r="R1474">
        <f t="shared" ref="R1474:R1537" si="141">IFERROR(RANK(S1474,$S$2:$S$1998,1),"")</f>
        <v>1472</v>
      </c>
      <c r="S1474">
        <f>IFERROR(SEARCH(Crewlist!$P$5,V1474)+ROW()/100000,"")</f>
        <v>1.01474</v>
      </c>
      <c r="T1474">
        <f t="shared" si="139"/>
        <v>1473</v>
      </c>
      <c r="U1474">
        <f t="shared" si="140"/>
        <v>0</v>
      </c>
      <c r="V1474" t="str">
        <f t="shared" si="137"/>
        <v xml:space="preserve"> </v>
      </c>
      <c r="Y1474" s="162" t="e">
        <f>VLOOKUP(B1474,Crewlist!AS:AU,3,FALSE)</f>
        <v>#N/A</v>
      </c>
      <c r="Z1474" s="163">
        <f t="shared" ref="Z1474:Z1537" si="142">IF(ISNUMBER(SEARCH("",Y1474)),Y1474,N1474)</f>
        <v>0</v>
      </c>
    </row>
    <row r="1475" spans="2:26">
      <c r="B1475" s="202">
        <v>1474</v>
      </c>
      <c r="C1475" s="169"/>
      <c r="N1475" s="201">
        <v>0</v>
      </c>
      <c r="Q1475">
        <f t="shared" si="138"/>
        <v>0</v>
      </c>
      <c r="R1475">
        <f t="shared" si="141"/>
        <v>1473</v>
      </c>
      <c r="S1475">
        <f>IFERROR(SEARCH(Crewlist!$P$5,V1475)+ROW()/100000,"")</f>
        <v>1.01475</v>
      </c>
      <c r="T1475">
        <f t="shared" si="139"/>
        <v>1474</v>
      </c>
      <c r="U1475">
        <f t="shared" si="140"/>
        <v>0</v>
      </c>
      <c r="V1475" t="str">
        <f t="shared" ref="V1475:V1538" si="143">CONCATENATE(C1475," ",D1475)</f>
        <v xml:space="preserve"> </v>
      </c>
      <c r="Y1475" s="162" t="e">
        <f>VLOOKUP(B1475,Crewlist!AS:AU,3,FALSE)</f>
        <v>#N/A</v>
      </c>
      <c r="Z1475" s="163">
        <f t="shared" si="142"/>
        <v>0</v>
      </c>
    </row>
    <row r="1476" spans="2:26">
      <c r="B1476" s="171">
        <v>1475</v>
      </c>
      <c r="C1476" s="169"/>
      <c r="N1476" s="201">
        <v>0</v>
      </c>
      <c r="Q1476">
        <f t="shared" si="138"/>
        <v>0</v>
      </c>
      <c r="R1476">
        <f t="shared" si="141"/>
        <v>1474</v>
      </c>
      <c r="S1476">
        <f>IFERROR(SEARCH(Crewlist!$P$5,V1476)+ROW()/100000,"")</f>
        <v>1.0147600000000001</v>
      </c>
      <c r="T1476">
        <f t="shared" si="139"/>
        <v>1475</v>
      </c>
      <c r="U1476">
        <f t="shared" si="140"/>
        <v>0</v>
      </c>
      <c r="V1476" t="str">
        <f t="shared" si="143"/>
        <v xml:space="preserve"> </v>
      </c>
      <c r="Y1476" s="162" t="e">
        <f>VLOOKUP(B1476,Crewlist!AS:AU,3,FALSE)</f>
        <v>#N/A</v>
      </c>
      <c r="Z1476" s="163">
        <f t="shared" si="142"/>
        <v>0</v>
      </c>
    </row>
    <row r="1477" spans="2:26">
      <c r="B1477" s="171">
        <v>1476</v>
      </c>
      <c r="C1477" s="169"/>
      <c r="N1477" s="201">
        <v>0</v>
      </c>
      <c r="Q1477">
        <f t="shared" si="138"/>
        <v>0</v>
      </c>
      <c r="R1477">
        <f t="shared" si="141"/>
        <v>1475</v>
      </c>
      <c r="S1477">
        <f>IFERROR(SEARCH(Crewlist!$P$5,V1477)+ROW()/100000,"")</f>
        <v>1.0147699999999999</v>
      </c>
      <c r="T1477">
        <f t="shared" si="139"/>
        <v>1476</v>
      </c>
      <c r="U1477">
        <f t="shared" si="140"/>
        <v>0</v>
      </c>
      <c r="V1477" t="str">
        <f t="shared" si="143"/>
        <v xml:space="preserve"> </v>
      </c>
      <c r="Y1477" s="162" t="e">
        <f>VLOOKUP(B1477,Crewlist!AS:AU,3,FALSE)</f>
        <v>#N/A</v>
      </c>
      <c r="Z1477" s="163">
        <f t="shared" si="142"/>
        <v>0</v>
      </c>
    </row>
    <row r="1478" spans="2:26">
      <c r="B1478" s="202">
        <v>1477</v>
      </c>
      <c r="C1478" s="169"/>
      <c r="N1478" s="201">
        <v>0</v>
      </c>
      <c r="Q1478">
        <f t="shared" si="138"/>
        <v>0</v>
      </c>
      <c r="R1478">
        <f t="shared" si="141"/>
        <v>1476</v>
      </c>
      <c r="S1478">
        <f>IFERROR(SEARCH(Crewlist!$P$5,V1478)+ROW()/100000,"")</f>
        <v>1.01478</v>
      </c>
      <c r="T1478">
        <f t="shared" si="139"/>
        <v>1477</v>
      </c>
      <c r="U1478">
        <f t="shared" si="140"/>
        <v>0</v>
      </c>
      <c r="V1478" t="str">
        <f t="shared" si="143"/>
        <v xml:space="preserve"> </v>
      </c>
      <c r="Y1478" s="162" t="e">
        <f>VLOOKUP(B1478,Crewlist!AS:AU,3,FALSE)</f>
        <v>#N/A</v>
      </c>
      <c r="Z1478" s="163">
        <f t="shared" si="142"/>
        <v>0</v>
      </c>
    </row>
    <row r="1479" spans="2:26">
      <c r="B1479" s="171">
        <v>1478</v>
      </c>
      <c r="C1479" s="169"/>
      <c r="N1479" s="201">
        <v>0</v>
      </c>
      <c r="Q1479">
        <f t="shared" si="138"/>
        <v>0</v>
      </c>
      <c r="R1479">
        <f t="shared" si="141"/>
        <v>1477</v>
      </c>
      <c r="S1479">
        <f>IFERROR(SEARCH(Crewlist!$P$5,V1479)+ROW()/100000,"")</f>
        <v>1.0147900000000001</v>
      </c>
      <c r="T1479">
        <f t="shared" si="139"/>
        <v>1478</v>
      </c>
      <c r="U1479">
        <f t="shared" si="140"/>
        <v>0</v>
      </c>
      <c r="V1479" t="str">
        <f t="shared" si="143"/>
        <v xml:space="preserve"> </v>
      </c>
      <c r="Y1479" s="162" t="e">
        <f>VLOOKUP(B1479,Crewlist!AS:AU,3,FALSE)</f>
        <v>#N/A</v>
      </c>
      <c r="Z1479" s="163">
        <f t="shared" si="142"/>
        <v>0</v>
      </c>
    </row>
    <row r="1480" spans="2:26">
      <c r="B1480" s="171">
        <v>1479</v>
      </c>
      <c r="C1480" s="169"/>
      <c r="N1480" s="201">
        <v>0</v>
      </c>
      <c r="Q1480">
        <f t="shared" si="138"/>
        <v>0</v>
      </c>
      <c r="R1480">
        <f t="shared" si="141"/>
        <v>1478</v>
      </c>
      <c r="S1480">
        <f>IFERROR(SEARCH(Crewlist!$P$5,V1480)+ROW()/100000,"")</f>
        <v>1.0147999999999999</v>
      </c>
      <c r="T1480">
        <f t="shared" si="139"/>
        <v>1479</v>
      </c>
      <c r="U1480">
        <f t="shared" si="140"/>
        <v>0</v>
      </c>
      <c r="V1480" t="str">
        <f t="shared" si="143"/>
        <v xml:space="preserve"> </v>
      </c>
      <c r="Y1480" s="162" t="e">
        <f>VLOOKUP(B1480,Crewlist!AS:AU,3,FALSE)</f>
        <v>#N/A</v>
      </c>
      <c r="Z1480" s="163">
        <f t="shared" si="142"/>
        <v>0</v>
      </c>
    </row>
    <row r="1481" spans="2:26">
      <c r="B1481" s="202">
        <v>1480</v>
      </c>
      <c r="C1481" s="169"/>
      <c r="N1481" s="201">
        <v>0</v>
      </c>
      <c r="Q1481">
        <f t="shared" ref="Q1481:Q1544" si="144">IF(C1481&lt;&gt; "",B1481,0)</f>
        <v>0</v>
      </c>
      <c r="R1481">
        <f t="shared" si="141"/>
        <v>1479</v>
      </c>
      <c r="S1481">
        <f>IFERROR(SEARCH(Crewlist!$P$5,V1481)+ROW()/100000,"")</f>
        <v>1.01481</v>
      </c>
      <c r="T1481">
        <f t="shared" ref="T1481:T1544" si="145">B1481</f>
        <v>1480</v>
      </c>
      <c r="U1481">
        <f t="shared" ref="U1481:U1544" si="146">C1481</f>
        <v>0</v>
      </c>
      <c r="V1481" t="str">
        <f t="shared" si="143"/>
        <v xml:space="preserve"> </v>
      </c>
      <c r="Y1481" s="162" t="e">
        <f>VLOOKUP(B1481,Crewlist!AS:AU,3,FALSE)</f>
        <v>#N/A</v>
      </c>
      <c r="Z1481" s="163">
        <f t="shared" si="142"/>
        <v>0</v>
      </c>
    </row>
    <row r="1482" spans="2:26">
      <c r="B1482" s="171">
        <v>1481</v>
      </c>
      <c r="C1482" s="169"/>
      <c r="N1482" s="201">
        <v>0</v>
      </c>
      <c r="Q1482">
        <f t="shared" si="144"/>
        <v>0</v>
      </c>
      <c r="R1482">
        <f t="shared" si="141"/>
        <v>1480</v>
      </c>
      <c r="S1482">
        <f>IFERROR(SEARCH(Crewlist!$P$5,V1482)+ROW()/100000,"")</f>
        <v>1.0148200000000001</v>
      </c>
      <c r="T1482">
        <f t="shared" si="145"/>
        <v>1481</v>
      </c>
      <c r="U1482">
        <f t="shared" si="146"/>
        <v>0</v>
      </c>
      <c r="V1482" t="str">
        <f t="shared" si="143"/>
        <v xml:space="preserve"> </v>
      </c>
      <c r="Y1482" s="162" t="e">
        <f>VLOOKUP(B1482,Crewlist!AS:AU,3,FALSE)</f>
        <v>#N/A</v>
      </c>
      <c r="Z1482" s="163">
        <f t="shared" si="142"/>
        <v>0</v>
      </c>
    </row>
    <row r="1483" spans="2:26">
      <c r="B1483" s="171">
        <v>1482</v>
      </c>
      <c r="C1483" s="169"/>
      <c r="N1483" s="201">
        <v>0</v>
      </c>
      <c r="Q1483">
        <f t="shared" si="144"/>
        <v>0</v>
      </c>
      <c r="R1483">
        <f t="shared" si="141"/>
        <v>1481</v>
      </c>
      <c r="S1483">
        <f>IFERROR(SEARCH(Crewlist!$P$5,V1483)+ROW()/100000,"")</f>
        <v>1.0148299999999999</v>
      </c>
      <c r="T1483">
        <f t="shared" si="145"/>
        <v>1482</v>
      </c>
      <c r="U1483">
        <f t="shared" si="146"/>
        <v>0</v>
      </c>
      <c r="V1483" t="str">
        <f t="shared" si="143"/>
        <v xml:space="preserve"> </v>
      </c>
      <c r="Y1483" s="162" t="e">
        <f>VLOOKUP(B1483,Crewlist!AS:AU,3,FALSE)</f>
        <v>#N/A</v>
      </c>
      <c r="Z1483" s="163">
        <f t="shared" si="142"/>
        <v>0</v>
      </c>
    </row>
    <row r="1484" spans="2:26">
      <c r="B1484" s="202">
        <v>1483</v>
      </c>
      <c r="C1484" s="169"/>
      <c r="N1484" s="201">
        <v>0</v>
      </c>
      <c r="Q1484">
        <f t="shared" si="144"/>
        <v>0</v>
      </c>
      <c r="R1484">
        <f t="shared" si="141"/>
        <v>1482</v>
      </c>
      <c r="S1484">
        <f>IFERROR(SEARCH(Crewlist!$P$5,V1484)+ROW()/100000,"")</f>
        <v>1.01484</v>
      </c>
      <c r="T1484">
        <f t="shared" si="145"/>
        <v>1483</v>
      </c>
      <c r="U1484">
        <f t="shared" si="146"/>
        <v>0</v>
      </c>
      <c r="V1484" t="str">
        <f t="shared" si="143"/>
        <v xml:space="preserve"> </v>
      </c>
      <c r="Y1484" s="162" t="e">
        <f>VLOOKUP(B1484,Crewlist!AS:AU,3,FALSE)</f>
        <v>#N/A</v>
      </c>
      <c r="Z1484" s="163">
        <f t="shared" si="142"/>
        <v>0</v>
      </c>
    </row>
    <row r="1485" spans="2:26">
      <c r="B1485" s="171">
        <v>1484</v>
      </c>
      <c r="C1485" s="169"/>
      <c r="N1485" s="201">
        <v>0</v>
      </c>
      <c r="Q1485">
        <f t="shared" si="144"/>
        <v>0</v>
      </c>
      <c r="R1485">
        <f t="shared" si="141"/>
        <v>1483</v>
      </c>
      <c r="S1485">
        <f>IFERROR(SEARCH(Crewlist!$P$5,V1485)+ROW()/100000,"")</f>
        <v>1.01485</v>
      </c>
      <c r="T1485">
        <f t="shared" si="145"/>
        <v>1484</v>
      </c>
      <c r="U1485">
        <f t="shared" si="146"/>
        <v>0</v>
      </c>
      <c r="V1485" t="str">
        <f t="shared" si="143"/>
        <v xml:space="preserve"> </v>
      </c>
      <c r="Y1485" s="162" t="e">
        <f>VLOOKUP(B1485,Crewlist!AS:AU,3,FALSE)</f>
        <v>#N/A</v>
      </c>
      <c r="Z1485" s="163">
        <f t="shared" si="142"/>
        <v>0</v>
      </c>
    </row>
    <row r="1486" spans="2:26">
      <c r="B1486" s="171">
        <v>1485</v>
      </c>
      <c r="C1486" s="169"/>
      <c r="N1486" s="201">
        <v>0</v>
      </c>
      <c r="Q1486">
        <f t="shared" si="144"/>
        <v>0</v>
      </c>
      <c r="R1486">
        <f t="shared" si="141"/>
        <v>1484</v>
      </c>
      <c r="S1486">
        <f>IFERROR(SEARCH(Crewlist!$P$5,V1486)+ROW()/100000,"")</f>
        <v>1.0148600000000001</v>
      </c>
      <c r="T1486">
        <f t="shared" si="145"/>
        <v>1485</v>
      </c>
      <c r="U1486">
        <f t="shared" si="146"/>
        <v>0</v>
      </c>
      <c r="V1486" t="str">
        <f t="shared" si="143"/>
        <v xml:space="preserve"> </v>
      </c>
      <c r="Y1486" s="162" t="e">
        <f>VLOOKUP(B1486,Crewlist!AS:AU,3,FALSE)</f>
        <v>#N/A</v>
      </c>
      <c r="Z1486" s="163">
        <f t="shared" si="142"/>
        <v>0</v>
      </c>
    </row>
    <row r="1487" spans="2:26">
      <c r="B1487" s="202">
        <v>1486</v>
      </c>
      <c r="C1487" s="169"/>
      <c r="N1487" s="201">
        <v>0</v>
      </c>
      <c r="Q1487">
        <f t="shared" si="144"/>
        <v>0</v>
      </c>
      <c r="R1487">
        <f t="shared" si="141"/>
        <v>1485</v>
      </c>
      <c r="S1487">
        <f>IFERROR(SEARCH(Crewlist!$P$5,V1487)+ROW()/100000,"")</f>
        <v>1.0148699999999999</v>
      </c>
      <c r="T1487">
        <f t="shared" si="145"/>
        <v>1486</v>
      </c>
      <c r="U1487">
        <f t="shared" si="146"/>
        <v>0</v>
      </c>
      <c r="V1487" t="str">
        <f t="shared" si="143"/>
        <v xml:space="preserve"> </v>
      </c>
      <c r="Y1487" s="162" t="e">
        <f>VLOOKUP(B1487,Crewlist!AS:AU,3,FALSE)</f>
        <v>#N/A</v>
      </c>
      <c r="Z1487" s="163">
        <f t="shared" si="142"/>
        <v>0</v>
      </c>
    </row>
    <row r="1488" spans="2:26">
      <c r="B1488" s="171">
        <v>1487</v>
      </c>
      <c r="C1488" s="169"/>
      <c r="N1488" s="201">
        <v>0</v>
      </c>
      <c r="Q1488">
        <f t="shared" si="144"/>
        <v>0</v>
      </c>
      <c r="R1488">
        <f t="shared" si="141"/>
        <v>1486</v>
      </c>
      <c r="S1488">
        <f>IFERROR(SEARCH(Crewlist!$P$5,V1488)+ROW()/100000,"")</f>
        <v>1.01488</v>
      </c>
      <c r="T1488">
        <f t="shared" si="145"/>
        <v>1487</v>
      </c>
      <c r="U1488">
        <f t="shared" si="146"/>
        <v>0</v>
      </c>
      <c r="V1488" t="str">
        <f t="shared" si="143"/>
        <v xml:space="preserve"> </v>
      </c>
      <c r="Y1488" s="162" t="e">
        <f>VLOOKUP(B1488,Crewlist!AS:AU,3,FALSE)</f>
        <v>#N/A</v>
      </c>
      <c r="Z1488" s="163">
        <f t="shared" si="142"/>
        <v>0</v>
      </c>
    </row>
    <row r="1489" spans="2:26">
      <c r="B1489" s="171">
        <v>1488</v>
      </c>
      <c r="C1489" s="169"/>
      <c r="N1489" s="201">
        <v>0</v>
      </c>
      <c r="Q1489">
        <f t="shared" si="144"/>
        <v>0</v>
      </c>
      <c r="R1489">
        <f t="shared" si="141"/>
        <v>1487</v>
      </c>
      <c r="S1489">
        <f>IFERROR(SEARCH(Crewlist!$P$5,V1489)+ROW()/100000,"")</f>
        <v>1.0148900000000001</v>
      </c>
      <c r="T1489">
        <f t="shared" si="145"/>
        <v>1488</v>
      </c>
      <c r="U1489">
        <f t="shared" si="146"/>
        <v>0</v>
      </c>
      <c r="V1489" t="str">
        <f t="shared" si="143"/>
        <v xml:space="preserve"> </v>
      </c>
      <c r="Y1489" s="162" t="e">
        <f>VLOOKUP(B1489,Crewlist!AS:AU,3,FALSE)</f>
        <v>#N/A</v>
      </c>
      <c r="Z1489" s="163">
        <f t="shared" si="142"/>
        <v>0</v>
      </c>
    </row>
    <row r="1490" spans="2:26">
      <c r="B1490" s="202">
        <v>1489</v>
      </c>
      <c r="C1490" s="169"/>
      <c r="N1490" s="201">
        <v>0</v>
      </c>
      <c r="Q1490">
        <f t="shared" si="144"/>
        <v>0</v>
      </c>
      <c r="R1490">
        <f t="shared" si="141"/>
        <v>1488</v>
      </c>
      <c r="S1490">
        <f>IFERROR(SEARCH(Crewlist!$P$5,V1490)+ROW()/100000,"")</f>
        <v>1.0148999999999999</v>
      </c>
      <c r="T1490">
        <f t="shared" si="145"/>
        <v>1489</v>
      </c>
      <c r="U1490">
        <f t="shared" si="146"/>
        <v>0</v>
      </c>
      <c r="V1490" t="str">
        <f t="shared" si="143"/>
        <v xml:space="preserve"> </v>
      </c>
      <c r="Y1490" s="162" t="e">
        <f>VLOOKUP(B1490,Crewlist!AS:AU,3,FALSE)</f>
        <v>#N/A</v>
      </c>
      <c r="Z1490" s="163">
        <f t="shared" si="142"/>
        <v>0</v>
      </c>
    </row>
    <row r="1491" spans="2:26">
      <c r="B1491" s="171">
        <v>1490</v>
      </c>
      <c r="C1491" s="169"/>
      <c r="N1491" s="201">
        <v>0</v>
      </c>
      <c r="Q1491">
        <f t="shared" si="144"/>
        <v>0</v>
      </c>
      <c r="R1491">
        <f t="shared" si="141"/>
        <v>1489</v>
      </c>
      <c r="S1491">
        <f>IFERROR(SEARCH(Crewlist!$P$5,V1491)+ROW()/100000,"")</f>
        <v>1.01491</v>
      </c>
      <c r="T1491">
        <f t="shared" si="145"/>
        <v>1490</v>
      </c>
      <c r="U1491">
        <f t="shared" si="146"/>
        <v>0</v>
      </c>
      <c r="V1491" t="str">
        <f t="shared" si="143"/>
        <v xml:space="preserve"> </v>
      </c>
      <c r="Y1491" s="162" t="e">
        <f>VLOOKUP(B1491,Crewlist!AS:AU,3,FALSE)</f>
        <v>#N/A</v>
      </c>
      <c r="Z1491" s="163">
        <f t="shared" si="142"/>
        <v>0</v>
      </c>
    </row>
    <row r="1492" spans="2:26">
      <c r="B1492" s="171">
        <v>1491</v>
      </c>
      <c r="C1492" s="169"/>
      <c r="N1492" s="201">
        <v>0</v>
      </c>
      <c r="Q1492">
        <f t="shared" si="144"/>
        <v>0</v>
      </c>
      <c r="R1492">
        <f t="shared" si="141"/>
        <v>1490</v>
      </c>
      <c r="S1492">
        <f>IFERROR(SEARCH(Crewlist!$P$5,V1492)+ROW()/100000,"")</f>
        <v>1.01492</v>
      </c>
      <c r="T1492">
        <f t="shared" si="145"/>
        <v>1491</v>
      </c>
      <c r="U1492">
        <f t="shared" si="146"/>
        <v>0</v>
      </c>
      <c r="V1492" t="str">
        <f t="shared" si="143"/>
        <v xml:space="preserve"> </v>
      </c>
      <c r="Y1492" s="162" t="e">
        <f>VLOOKUP(B1492,Crewlist!AS:AU,3,FALSE)</f>
        <v>#N/A</v>
      </c>
      <c r="Z1492" s="163">
        <f t="shared" si="142"/>
        <v>0</v>
      </c>
    </row>
    <row r="1493" spans="2:26">
      <c r="B1493" s="202">
        <v>1492</v>
      </c>
      <c r="C1493" s="169"/>
      <c r="N1493" s="201">
        <v>0</v>
      </c>
      <c r="Q1493">
        <f t="shared" si="144"/>
        <v>0</v>
      </c>
      <c r="R1493">
        <f t="shared" si="141"/>
        <v>1491</v>
      </c>
      <c r="S1493">
        <f>IFERROR(SEARCH(Crewlist!$P$5,V1493)+ROW()/100000,"")</f>
        <v>1.0149300000000001</v>
      </c>
      <c r="T1493">
        <f t="shared" si="145"/>
        <v>1492</v>
      </c>
      <c r="U1493">
        <f t="shared" si="146"/>
        <v>0</v>
      </c>
      <c r="V1493" t="str">
        <f t="shared" si="143"/>
        <v xml:space="preserve"> </v>
      </c>
      <c r="Y1493" s="162" t="e">
        <f>VLOOKUP(B1493,Crewlist!AS:AU,3,FALSE)</f>
        <v>#N/A</v>
      </c>
      <c r="Z1493" s="163">
        <f t="shared" si="142"/>
        <v>0</v>
      </c>
    </row>
    <row r="1494" spans="2:26">
      <c r="B1494" s="171">
        <v>1493</v>
      </c>
      <c r="C1494" s="169"/>
      <c r="N1494" s="201">
        <v>0</v>
      </c>
      <c r="Q1494">
        <f t="shared" si="144"/>
        <v>0</v>
      </c>
      <c r="R1494">
        <f t="shared" si="141"/>
        <v>1492</v>
      </c>
      <c r="S1494">
        <f>IFERROR(SEARCH(Crewlist!$P$5,V1494)+ROW()/100000,"")</f>
        <v>1.01494</v>
      </c>
      <c r="T1494">
        <f t="shared" si="145"/>
        <v>1493</v>
      </c>
      <c r="U1494">
        <f t="shared" si="146"/>
        <v>0</v>
      </c>
      <c r="V1494" t="str">
        <f t="shared" si="143"/>
        <v xml:space="preserve"> </v>
      </c>
      <c r="Y1494" s="162" t="e">
        <f>VLOOKUP(B1494,Crewlist!AS:AU,3,FALSE)</f>
        <v>#N/A</v>
      </c>
      <c r="Z1494" s="163">
        <f t="shared" si="142"/>
        <v>0</v>
      </c>
    </row>
    <row r="1495" spans="2:26">
      <c r="B1495" s="171">
        <v>1494</v>
      </c>
      <c r="C1495" s="169"/>
      <c r="N1495" s="201">
        <v>0</v>
      </c>
      <c r="Q1495">
        <f t="shared" si="144"/>
        <v>0</v>
      </c>
      <c r="R1495">
        <f t="shared" si="141"/>
        <v>1493</v>
      </c>
      <c r="S1495">
        <f>IFERROR(SEARCH(Crewlist!$P$5,V1495)+ROW()/100000,"")</f>
        <v>1.01495</v>
      </c>
      <c r="T1495">
        <f t="shared" si="145"/>
        <v>1494</v>
      </c>
      <c r="U1495">
        <f t="shared" si="146"/>
        <v>0</v>
      </c>
      <c r="V1495" t="str">
        <f t="shared" si="143"/>
        <v xml:space="preserve"> </v>
      </c>
      <c r="Y1495" s="162" t="e">
        <f>VLOOKUP(B1495,Crewlist!AS:AU,3,FALSE)</f>
        <v>#N/A</v>
      </c>
      <c r="Z1495" s="163">
        <f t="shared" si="142"/>
        <v>0</v>
      </c>
    </row>
    <row r="1496" spans="2:26">
      <c r="B1496" s="202">
        <v>1495</v>
      </c>
      <c r="C1496" s="169"/>
      <c r="N1496" s="201">
        <v>0</v>
      </c>
      <c r="Q1496">
        <f t="shared" si="144"/>
        <v>0</v>
      </c>
      <c r="R1496">
        <f t="shared" si="141"/>
        <v>1494</v>
      </c>
      <c r="S1496">
        <f>IFERROR(SEARCH(Crewlist!$P$5,V1496)+ROW()/100000,"")</f>
        <v>1.0149600000000001</v>
      </c>
      <c r="T1496">
        <f t="shared" si="145"/>
        <v>1495</v>
      </c>
      <c r="U1496">
        <f t="shared" si="146"/>
        <v>0</v>
      </c>
      <c r="V1496" t="str">
        <f t="shared" si="143"/>
        <v xml:space="preserve"> </v>
      </c>
      <c r="Y1496" s="162" t="e">
        <f>VLOOKUP(B1496,Crewlist!AS:AU,3,FALSE)</f>
        <v>#N/A</v>
      </c>
      <c r="Z1496" s="163">
        <f t="shared" si="142"/>
        <v>0</v>
      </c>
    </row>
    <row r="1497" spans="2:26">
      <c r="B1497" s="171">
        <v>1496</v>
      </c>
      <c r="C1497" s="169"/>
      <c r="N1497" s="201">
        <v>0</v>
      </c>
      <c r="Q1497">
        <f t="shared" si="144"/>
        <v>0</v>
      </c>
      <c r="R1497">
        <f t="shared" si="141"/>
        <v>1495</v>
      </c>
      <c r="S1497">
        <f>IFERROR(SEARCH(Crewlist!$P$5,V1497)+ROW()/100000,"")</f>
        <v>1.0149699999999999</v>
      </c>
      <c r="T1497">
        <f t="shared" si="145"/>
        <v>1496</v>
      </c>
      <c r="U1497">
        <f t="shared" si="146"/>
        <v>0</v>
      </c>
      <c r="V1497" t="str">
        <f t="shared" si="143"/>
        <v xml:space="preserve"> </v>
      </c>
      <c r="Y1497" s="162" t="e">
        <f>VLOOKUP(B1497,Crewlist!AS:AU,3,FALSE)</f>
        <v>#N/A</v>
      </c>
      <c r="Z1497" s="163">
        <f t="shared" si="142"/>
        <v>0</v>
      </c>
    </row>
    <row r="1498" spans="2:26">
      <c r="B1498" s="171">
        <v>1497</v>
      </c>
      <c r="C1498" s="169"/>
      <c r="N1498" s="201">
        <v>0</v>
      </c>
      <c r="Q1498">
        <f t="shared" si="144"/>
        <v>0</v>
      </c>
      <c r="R1498">
        <f t="shared" si="141"/>
        <v>1496</v>
      </c>
      <c r="S1498">
        <f>IFERROR(SEARCH(Crewlist!$P$5,V1498)+ROW()/100000,"")</f>
        <v>1.01498</v>
      </c>
      <c r="T1498">
        <f t="shared" si="145"/>
        <v>1497</v>
      </c>
      <c r="U1498">
        <f t="shared" si="146"/>
        <v>0</v>
      </c>
      <c r="V1498" t="str">
        <f t="shared" si="143"/>
        <v xml:space="preserve"> </v>
      </c>
      <c r="Y1498" s="162" t="e">
        <f>VLOOKUP(B1498,Crewlist!AS:AU,3,FALSE)</f>
        <v>#N/A</v>
      </c>
      <c r="Z1498" s="163">
        <f t="shared" si="142"/>
        <v>0</v>
      </c>
    </row>
    <row r="1499" spans="2:26">
      <c r="B1499" s="202">
        <v>1498</v>
      </c>
      <c r="C1499" s="169"/>
      <c r="N1499" s="201">
        <v>0</v>
      </c>
      <c r="Q1499">
        <f t="shared" si="144"/>
        <v>0</v>
      </c>
      <c r="R1499">
        <f t="shared" si="141"/>
        <v>1497</v>
      </c>
      <c r="S1499">
        <f>IFERROR(SEARCH(Crewlist!$P$5,V1499)+ROW()/100000,"")</f>
        <v>1.0149900000000001</v>
      </c>
      <c r="T1499">
        <f t="shared" si="145"/>
        <v>1498</v>
      </c>
      <c r="U1499">
        <f t="shared" si="146"/>
        <v>0</v>
      </c>
      <c r="V1499" t="str">
        <f t="shared" si="143"/>
        <v xml:space="preserve"> </v>
      </c>
      <c r="Y1499" s="162" t="e">
        <f>VLOOKUP(B1499,Crewlist!AS:AU,3,FALSE)</f>
        <v>#N/A</v>
      </c>
      <c r="Z1499" s="163">
        <f t="shared" si="142"/>
        <v>0</v>
      </c>
    </row>
    <row r="1500" spans="2:26">
      <c r="B1500" s="171">
        <v>1499</v>
      </c>
      <c r="C1500" s="169"/>
      <c r="N1500" s="201">
        <v>0</v>
      </c>
      <c r="Q1500">
        <f t="shared" si="144"/>
        <v>0</v>
      </c>
      <c r="R1500">
        <f t="shared" si="141"/>
        <v>1498</v>
      </c>
      <c r="S1500">
        <f>IFERROR(SEARCH(Crewlist!$P$5,V1500)+ROW()/100000,"")</f>
        <v>1.0149999999999999</v>
      </c>
      <c r="T1500">
        <f t="shared" si="145"/>
        <v>1499</v>
      </c>
      <c r="U1500">
        <f t="shared" si="146"/>
        <v>0</v>
      </c>
      <c r="V1500" t="str">
        <f t="shared" si="143"/>
        <v xml:space="preserve"> </v>
      </c>
      <c r="Y1500" s="162" t="e">
        <f>VLOOKUP(B1500,Crewlist!AS:AU,3,FALSE)</f>
        <v>#N/A</v>
      </c>
      <c r="Z1500" s="163">
        <f t="shared" si="142"/>
        <v>0</v>
      </c>
    </row>
    <row r="1501" spans="2:26">
      <c r="B1501" s="171">
        <v>1500</v>
      </c>
      <c r="C1501" s="169"/>
      <c r="N1501" s="201">
        <v>0</v>
      </c>
      <c r="Q1501">
        <f t="shared" si="144"/>
        <v>0</v>
      </c>
      <c r="R1501">
        <f t="shared" si="141"/>
        <v>1499</v>
      </c>
      <c r="S1501">
        <f>IFERROR(SEARCH(Crewlist!$P$5,V1501)+ROW()/100000,"")</f>
        <v>1.01501</v>
      </c>
      <c r="T1501">
        <f t="shared" si="145"/>
        <v>1500</v>
      </c>
      <c r="U1501">
        <f t="shared" si="146"/>
        <v>0</v>
      </c>
      <c r="V1501" t="str">
        <f t="shared" si="143"/>
        <v xml:space="preserve"> </v>
      </c>
      <c r="Y1501" s="162" t="e">
        <f>VLOOKUP(B1501,Crewlist!AS:AU,3,FALSE)</f>
        <v>#N/A</v>
      </c>
      <c r="Z1501" s="163">
        <f t="shared" si="142"/>
        <v>0</v>
      </c>
    </row>
    <row r="1502" spans="2:26">
      <c r="B1502" s="202">
        <v>1501</v>
      </c>
      <c r="C1502" s="169"/>
      <c r="N1502" s="201">
        <v>0</v>
      </c>
      <c r="Q1502">
        <f t="shared" si="144"/>
        <v>0</v>
      </c>
      <c r="R1502">
        <f t="shared" si="141"/>
        <v>1500</v>
      </c>
      <c r="S1502">
        <f>IFERROR(SEARCH(Crewlist!$P$5,V1502)+ROW()/100000,"")</f>
        <v>1.01502</v>
      </c>
      <c r="T1502">
        <f t="shared" si="145"/>
        <v>1501</v>
      </c>
      <c r="U1502">
        <f t="shared" si="146"/>
        <v>0</v>
      </c>
      <c r="V1502" t="str">
        <f t="shared" si="143"/>
        <v xml:space="preserve"> </v>
      </c>
      <c r="Y1502" s="162" t="e">
        <f>VLOOKUP(B1502,Crewlist!AS:AU,3,FALSE)</f>
        <v>#N/A</v>
      </c>
      <c r="Z1502" s="163">
        <f t="shared" si="142"/>
        <v>0</v>
      </c>
    </row>
    <row r="1503" spans="2:26">
      <c r="B1503" s="171">
        <v>1502</v>
      </c>
      <c r="C1503" s="169"/>
      <c r="N1503" s="201">
        <v>0</v>
      </c>
      <c r="Q1503">
        <f t="shared" si="144"/>
        <v>0</v>
      </c>
      <c r="R1503">
        <f t="shared" si="141"/>
        <v>1501</v>
      </c>
      <c r="S1503">
        <f>IFERROR(SEARCH(Crewlist!$P$5,V1503)+ROW()/100000,"")</f>
        <v>1.0150300000000001</v>
      </c>
      <c r="T1503">
        <f t="shared" si="145"/>
        <v>1502</v>
      </c>
      <c r="U1503">
        <f t="shared" si="146"/>
        <v>0</v>
      </c>
      <c r="V1503" t="str">
        <f t="shared" si="143"/>
        <v xml:space="preserve"> </v>
      </c>
      <c r="Y1503" s="162" t="e">
        <f>VLOOKUP(B1503,Crewlist!AS:AU,3,FALSE)</f>
        <v>#N/A</v>
      </c>
      <c r="Z1503" s="163">
        <f t="shared" si="142"/>
        <v>0</v>
      </c>
    </row>
    <row r="1504" spans="2:26">
      <c r="B1504" s="171">
        <v>1503</v>
      </c>
      <c r="C1504" s="169"/>
      <c r="N1504" s="201">
        <v>0</v>
      </c>
      <c r="Q1504">
        <f t="shared" si="144"/>
        <v>0</v>
      </c>
      <c r="R1504">
        <f t="shared" si="141"/>
        <v>1502</v>
      </c>
      <c r="S1504">
        <f>IFERROR(SEARCH(Crewlist!$P$5,V1504)+ROW()/100000,"")</f>
        <v>1.0150399999999999</v>
      </c>
      <c r="T1504">
        <f t="shared" si="145"/>
        <v>1503</v>
      </c>
      <c r="U1504">
        <f t="shared" si="146"/>
        <v>0</v>
      </c>
      <c r="V1504" t="str">
        <f t="shared" si="143"/>
        <v xml:space="preserve"> </v>
      </c>
      <c r="Y1504" s="162" t="e">
        <f>VLOOKUP(B1504,Crewlist!AS:AU,3,FALSE)</f>
        <v>#N/A</v>
      </c>
      <c r="Z1504" s="163">
        <f t="shared" si="142"/>
        <v>0</v>
      </c>
    </row>
    <row r="1505" spans="2:26">
      <c r="B1505" s="202">
        <v>1504</v>
      </c>
      <c r="C1505" s="169"/>
      <c r="N1505" s="201">
        <v>0</v>
      </c>
      <c r="Q1505">
        <f t="shared" si="144"/>
        <v>0</v>
      </c>
      <c r="R1505">
        <f t="shared" si="141"/>
        <v>1503</v>
      </c>
      <c r="S1505">
        <f>IFERROR(SEARCH(Crewlist!$P$5,V1505)+ROW()/100000,"")</f>
        <v>1.01505</v>
      </c>
      <c r="T1505">
        <f t="shared" si="145"/>
        <v>1504</v>
      </c>
      <c r="U1505">
        <f t="shared" si="146"/>
        <v>0</v>
      </c>
      <c r="V1505" t="str">
        <f t="shared" si="143"/>
        <v xml:space="preserve"> </v>
      </c>
      <c r="Y1505" s="162" t="e">
        <f>VLOOKUP(B1505,Crewlist!AS:AU,3,FALSE)</f>
        <v>#N/A</v>
      </c>
      <c r="Z1505" s="163">
        <f t="shared" si="142"/>
        <v>0</v>
      </c>
    </row>
    <row r="1506" spans="2:26">
      <c r="B1506" s="171">
        <v>1505</v>
      </c>
      <c r="C1506" s="169"/>
      <c r="N1506" s="201">
        <v>0</v>
      </c>
      <c r="Q1506">
        <f t="shared" si="144"/>
        <v>0</v>
      </c>
      <c r="R1506">
        <f t="shared" si="141"/>
        <v>1504</v>
      </c>
      <c r="S1506">
        <f>IFERROR(SEARCH(Crewlist!$P$5,V1506)+ROW()/100000,"")</f>
        <v>1.0150600000000001</v>
      </c>
      <c r="T1506">
        <f t="shared" si="145"/>
        <v>1505</v>
      </c>
      <c r="U1506">
        <f t="shared" si="146"/>
        <v>0</v>
      </c>
      <c r="V1506" t="str">
        <f t="shared" si="143"/>
        <v xml:space="preserve"> </v>
      </c>
      <c r="Y1506" s="162" t="e">
        <f>VLOOKUP(B1506,Crewlist!AS:AU,3,FALSE)</f>
        <v>#N/A</v>
      </c>
      <c r="Z1506" s="163">
        <f t="shared" si="142"/>
        <v>0</v>
      </c>
    </row>
    <row r="1507" spans="2:26">
      <c r="B1507" s="171">
        <v>1506</v>
      </c>
      <c r="C1507" s="169"/>
      <c r="N1507" s="201">
        <v>0</v>
      </c>
      <c r="Q1507">
        <f t="shared" si="144"/>
        <v>0</v>
      </c>
      <c r="R1507">
        <f t="shared" si="141"/>
        <v>1505</v>
      </c>
      <c r="S1507">
        <f>IFERROR(SEARCH(Crewlist!$P$5,V1507)+ROW()/100000,"")</f>
        <v>1.0150699999999999</v>
      </c>
      <c r="T1507">
        <f t="shared" si="145"/>
        <v>1506</v>
      </c>
      <c r="U1507">
        <f t="shared" si="146"/>
        <v>0</v>
      </c>
      <c r="V1507" t="str">
        <f t="shared" si="143"/>
        <v xml:space="preserve"> </v>
      </c>
      <c r="Y1507" s="162" t="e">
        <f>VLOOKUP(B1507,Crewlist!AS:AU,3,FALSE)</f>
        <v>#N/A</v>
      </c>
      <c r="Z1507" s="163">
        <f t="shared" si="142"/>
        <v>0</v>
      </c>
    </row>
    <row r="1508" spans="2:26">
      <c r="B1508" s="202">
        <v>1507</v>
      </c>
      <c r="C1508" s="169"/>
      <c r="N1508" s="201">
        <v>0</v>
      </c>
      <c r="Q1508">
        <f t="shared" si="144"/>
        <v>0</v>
      </c>
      <c r="R1508">
        <f t="shared" si="141"/>
        <v>1506</v>
      </c>
      <c r="S1508">
        <f>IFERROR(SEARCH(Crewlist!$P$5,V1508)+ROW()/100000,"")</f>
        <v>1.01508</v>
      </c>
      <c r="T1508">
        <f t="shared" si="145"/>
        <v>1507</v>
      </c>
      <c r="U1508">
        <f t="shared" si="146"/>
        <v>0</v>
      </c>
      <c r="V1508" t="str">
        <f t="shared" si="143"/>
        <v xml:space="preserve"> </v>
      </c>
      <c r="Y1508" s="162" t="e">
        <f>VLOOKUP(B1508,Crewlist!AS:AU,3,FALSE)</f>
        <v>#N/A</v>
      </c>
      <c r="Z1508" s="163">
        <f t="shared" si="142"/>
        <v>0</v>
      </c>
    </row>
    <row r="1509" spans="2:26">
      <c r="B1509" s="171">
        <v>1508</v>
      </c>
      <c r="C1509" s="169"/>
      <c r="N1509" s="201">
        <v>0</v>
      </c>
      <c r="Q1509">
        <f t="shared" si="144"/>
        <v>0</v>
      </c>
      <c r="R1509">
        <f t="shared" si="141"/>
        <v>1507</v>
      </c>
      <c r="S1509">
        <f>IFERROR(SEARCH(Crewlist!$P$5,V1509)+ROW()/100000,"")</f>
        <v>1.01509</v>
      </c>
      <c r="T1509">
        <f t="shared" si="145"/>
        <v>1508</v>
      </c>
      <c r="U1509">
        <f t="shared" si="146"/>
        <v>0</v>
      </c>
      <c r="V1509" t="str">
        <f t="shared" si="143"/>
        <v xml:space="preserve"> </v>
      </c>
      <c r="Y1509" s="162" t="e">
        <f>VLOOKUP(B1509,Crewlist!AS:AU,3,FALSE)</f>
        <v>#N/A</v>
      </c>
      <c r="Z1509" s="163">
        <f t="shared" si="142"/>
        <v>0</v>
      </c>
    </row>
    <row r="1510" spans="2:26">
      <c r="B1510" s="171">
        <v>1509</v>
      </c>
      <c r="C1510" s="169"/>
      <c r="N1510" s="201">
        <v>0</v>
      </c>
      <c r="Q1510">
        <f t="shared" si="144"/>
        <v>0</v>
      </c>
      <c r="R1510">
        <f t="shared" si="141"/>
        <v>1508</v>
      </c>
      <c r="S1510">
        <f>IFERROR(SEARCH(Crewlist!$P$5,V1510)+ROW()/100000,"")</f>
        <v>1.0150999999999999</v>
      </c>
      <c r="T1510">
        <f t="shared" si="145"/>
        <v>1509</v>
      </c>
      <c r="U1510">
        <f t="shared" si="146"/>
        <v>0</v>
      </c>
      <c r="V1510" t="str">
        <f t="shared" si="143"/>
        <v xml:space="preserve"> </v>
      </c>
      <c r="Y1510" s="162" t="e">
        <f>VLOOKUP(B1510,Crewlist!AS:AU,3,FALSE)</f>
        <v>#N/A</v>
      </c>
      <c r="Z1510" s="163">
        <f t="shared" si="142"/>
        <v>0</v>
      </c>
    </row>
    <row r="1511" spans="2:26">
      <c r="B1511" s="202">
        <v>1510</v>
      </c>
      <c r="C1511" s="169"/>
      <c r="N1511" s="201">
        <v>0</v>
      </c>
      <c r="Q1511">
        <f t="shared" si="144"/>
        <v>0</v>
      </c>
      <c r="R1511">
        <f t="shared" si="141"/>
        <v>1509</v>
      </c>
      <c r="S1511">
        <f>IFERROR(SEARCH(Crewlist!$P$5,V1511)+ROW()/100000,"")</f>
        <v>1.01511</v>
      </c>
      <c r="T1511">
        <f t="shared" si="145"/>
        <v>1510</v>
      </c>
      <c r="U1511">
        <f t="shared" si="146"/>
        <v>0</v>
      </c>
      <c r="V1511" t="str">
        <f t="shared" si="143"/>
        <v xml:space="preserve"> </v>
      </c>
      <c r="Y1511" s="162" t="e">
        <f>VLOOKUP(B1511,Crewlist!AS:AU,3,FALSE)</f>
        <v>#N/A</v>
      </c>
      <c r="Z1511" s="163">
        <f t="shared" si="142"/>
        <v>0</v>
      </c>
    </row>
    <row r="1512" spans="2:26">
      <c r="B1512" s="171">
        <v>1511</v>
      </c>
      <c r="C1512" s="169"/>
      <c r="N1512" s="201">
        <v>0</v>
      </c>
      <c r="Q1512">
        <f t="shared" si="144"/>
        <v>0</v>
      </c>
      <c r="R1512">
        <f t="shared" si="141"/>
        <v>1510</v>
      </c>
      <c r="S1512">
        <f>IFERROR(SEARCH(Crewlist!$P$5,V1512)+ROW()/100000,"")</f>
        <v>1.01512</v>
      </c>
      <c r="T1512">
        <f t="shared" si="145"/>
        <v>1511</v>
      </c>
      <c r="U1512">
        <f t="shared" si="146"/>
        <v>0</v>
      </c>
      <c r="V1512" t="str">
        <f t="shared" si="143"/>
        <v xml:space="preserve"> </v>
      </c>
      <c r="Y1512" s="162" t="e">
        <f>VLOOKUP(B1512,Crewlist!AS:AU,3,FALSE)</f>
        <v>#N/A</v>
      </c>
      <c r="Z1512" s="163">
        <f t="shared" si="142"/>
        <v>0</v>
      </c>
    </row>
    <row r="1513" spans="2:26">
      <c r="B1513" s="171">
        <v>1512</v>
      </c>
      <c r="C1513" s="169"/>
      <c r="N1513" s="201">
        <v>0</v>
      </c>
      <c r="Q1513">
        <f t="shared" si="144"/>
        <v>0</v>
      </c>
      <c r="R1513">
        <f t="shared" si="141"/>
        <v>1511</v>
      </c>
      <c r="S1513">
        <f>IFERROR(SEARCH(Crewlist!$P$5,V1513)+ROW()/100000,"")</f>
        <v>1.0151300000000001</v>
      </c>
      <c r="T1513">
        <f t="shared" si="145"/>
        <v>1512</v>
      </c>
      <c r="U1513">
        <f t="shared" si="146"/>
        <v>0</v>
      </c>
      <c r="V1513" t="str">
        <f t="shared" si="143"/>
        <v xml:space="preserve"> </v>
      </c>
      <c r="Y1513" s="162" t="e">
        <f>VLOOKUP(B1513,Crewlist!AS:AU,3,FALSE)</f>
        <v>#N/A</v>
      </c>
      <c r="Z1513" s="163">
        <f t="shared" si="142"/>
        <v>0</v>
      </c>
    </row>
    <row r="1514" spans="2:26">
      <c r="B1514" s="202">
        <v>1513</v>
      </c>
      <c r="C1514" s="169"/>
      <c r="N1514" s="201">
        <v>0</v>
      </c>
      <c r="Q1514">
        <f t="shared" si="144"/>
        <v>0</v>
      </c>
      <c r="R1514">
        <f t="shared" si="141"/>
        <v>1512</v>
      </c>
      <c r="S1514">
        <f>IFERROR(SEARCH(Crewlist!$P$5,V1514)+ROW()/100000,"")</f>
        <v>1.0151399999999999</v>
      </c>
      <c r="T1514">
        <f t="shared" si="145"/>
        <v>1513</v>
      </c>
      <c r="U1514">
        <f t="shared" si="146"/>
        <v>0</v>
      </c>
      <c r="V1514" t="str">
        <f t="shared" si="143"/>
        <v xml:space="preserve"> </v>
      </c>
      <c r="Y1514" s="162" t="e">
        <f>VLOOKUP(B1514,Crewlist!AS:AU,3,FALSE)</f>
        <v>#N/A</v>
      </c>
      <c r="Z1514" s="163">
        <f t="shared" si="142"/>
        <v>0</v>
      </c>
    </row>
    <row r="1515" spans="2:26">
      <c r="B1515" s="171">
        <v>1514</v>
      </c>
      <c r="C1515" s="169"/>
      <c r="N1515" s="201">
        <v>0</v>
      </c>
      <c r="Q1515">
        <f t="shared" si="144"/>
        <v>0</v>
      </c>
      <c r="R1515">
        <f t="shared" si="141"/>
        <v>1513</v>
      </c>
      <c r="S1515">
        <f>IFERROR(SEARCH(Crewlist!$P$5,V1515)+ROW()/100000,"")</f>
        <v>1.01515</v>
      </c>
      <c r="T1515">
        <f t="shared" si="145"/>
        <v>1514</v>
      </c>
      <c r="U1515">
        <f t="shared" si="146"/>
        <v>0</v>
      </c>
      <c r="V1515" t="str">
        <f t="shared" si="143"/>
        <v xml:space="preserve"> </v>
      </c>
      <c r="Y1515" s="162" t="e">
        <f>VLOOKUP(B1515,Crewlist!AS:AU,3,FALSE)</f>
        <v>#N/A</v>
      </c>
      <c r="Z1515" s="163">
        <f t="shared" si="142"/>
        <v>0</v>
      </c>
    </row>
    <row r="1516" spans="2:26">
      <c r="B1516" s="171">
        <v>1515</v>
      </c>
      <c r="C1516" s="169"/>
      <c r="N1516" s="201">
        <v>0</v>
      </c>
      <c r="Q1516">
        <f t="shared" si="144"/>
        <v>0</v>
      </c>
      <c r="R1516">
        <f t="shared" si="141"/>
        <v>1514</v>
      </c>
      <c r="S1516">
        <f>IFERROR(SEARCH(Crewlist!$P$5,V1516)+ROW()/100000,"")</f>
        <v>1.0151600000000001</v>
      </c>
      <c r="T1516">
        <f t="shared" si="145"/>
        <v>1515</v>
      </c>
      <c r="U1516">
        <f t="shared" si="146"/>
        <v>0</v>
      </c>
      <c r="V1516" t="str">
        <f t="shared" si="143"/>
        <v xml:space="preserve"> </v>
      </c>
      <c r="Y1516" s="162" t="e">
        <f>VLOOKUP(B1516,Crewlist!AS:AU,3,FALSE)</f>
        <v>#N/A</v>
      </c>
      <c r="Z1516" s="163">
        <f t="shared" si="142"/>
        <v>0</v>
      </c>
    </row>
    <row r="1517" spans="2:26">
      <c r="B1517" s="202">
        <v>1516</v>
      </c>
      <c r="C1517" s="169"/>
      <c r="N1517" s="201">
        <v>0</v>
      </c>
      <c r="Q1517">
        <f t="shared" si="144"/>
        <v>0</v>
      </c>
      <c r="R1517">
        <f t="shared" si="141"/>
        <v>1515</v>
      </c>
      <c r="S1517">
        <f>IFERROR(SEARCH(Crewlist!$P$5,V1517)+ROW()/100000,"")</f>
        <v>1.0151699999999999</v>
      </c>
      <c r="T1517">
        <f t="shared" si="145"/>
        <v>1516</v>
      </c>
      <c r="U1517">
        <f t="shared" si="146"/>
        <v>0</v>
      </c>
      <c r="V1517" t="str">
        <f t="shared" si="143"/>
        <v xml:space="preserve"> </v>
      </c>
      <c r="Y1517" s="162" t="e">
        <f>VLOOKUP(B1517,Crewlist!AS:AU,3,FALSE)</f>
        <v>#N/A</v>
      </c>
      <c r="Z1517" s="163">
        <f t="shared" si="142"/>
        <v>0</v>
      </c>
    </row>
    <row r="1518" spans="2:26">
      <c r="B1518" s="171">
        <v>1517</v>
      </c>
      <c r="C1518" s="169"/>
      <c r="N1518" s="201">
        <v>0</v>
      </c>
      <c r="Q1518">
        <f t="shared" si="144"/>
        <v>0</v>
      </c>
      <c r="R1518">
        <f t="shared" si="141"/>
        <v>1516</v>
      </c>
      <c r="S1518">
        <f>IFERROR(SEARCH(Crewlist!$P$5,V1518)+ROW()/100000,"")</f>
        <v>1.01518</v>
      </c>
      <c r="T1518">
        <f t="shared" si="145"/>
        <v>1517</v>
      </c>
      <c r="U1518">
        <f t="shared" si="146"/>
        <v>0</v>
      </c>
      <c r="V1518" t="str">
        <f t="shared" si="143"/>
        <v xml:space="preserve"> </v>
      </c>
      <c r="Y1518" s="162" t="e">
        <f>VLOOKUP(B1518,Crewlist!AS:AU,3,FALSE)</f>
        <v>#N/A</v>
      </c>
      <c r="Z1518" s="163">
        <f t="shared" si="142"/>
        <v>0</v>
      </c>
    </row>
    <row r="1519" spans="2:26">
      <c r="B1519" s="171">
        <v>1518</v>
      </c>
      <c r="C1519" s="169"/>
      <c r="N1519" s="201">
        <v>0</v>
      </c>
      <c r="Q1519">
        <f t="shared" si="144"/>
        <v>0</v>
      </c>
      <c r="R1519">
        <f t="shared" si="141"/>
        <v>1517</v>
      </c>
      <c r="S1519">
        <f>IFERROR(SEARCH(Crewlist!$P$5,V1519)+ROW()/100000,"")</f>
        <v>1.01519</v>
      </c>
      <c r="T1519">
        <f t="shared" si="145"/>
        <v>1518</v>
      </c>
      <c r="U1519">
        <f t="shared" si="146"/>
        <v>0</v>
      </c>
      <c r="V1519" t="str">
        <f t="shared" si="143"/>
        <v xml:space="preserve"> </v>
      </c>
      <c r="Y1519" s="162" t="e">
        <f>VLOOKUP(B1519,Crewlist!AS:AU,3,FALSE)</f>
        <v>#N/A</v>
      </c>
      <c r="Z1519" s="163">
        <f t="shared" si="142"/>
        <v>0</v>
      </c>
    </row>
    <row r="1520" spans="2:26">
      <c r="B1520" s="202">
        <v>1519</v>
      </c>
      <c r="C1520" s="169"/>
      <c r="N1520" s="201">
        <v>0</v>
      </c>
      <c r="Q1520">
        <f t="shared" si="144"/>
        <v>0</v>
      </c>
      <c r="R1520">
        <f t="shared" si="141"/>
        <v>1518</v>
      </c>
      <c r="S1520">
        <f>IFERROR(SEARCH(Crewlist!$P$5,V1520)+ROW()/100000,"")</f>
        <v>1.0152000000000001</v>
      </c>
      <c r="T1520">
        <f t="shared" si="145"/>
        <v>1519</v>
      </c>
      <c r="U1520">
        <f t="shared" si="146"/>
        <v>0</v>
      </c>
      <c r="V1520" t="str">
        <f t="shared" si="143"/>
        <v xml:space="preserve"> </v>
      </c>
      <c r="Y1520" s="162" t="e">
        <f>VLOOKUP(B1520,Crewlist!AS:AU,3,FALSE)</f>
        <v>#N/A</v>
      </c>
      <c r="Z1520" s="163">
        <f t="shared" si="142"/>
        <v>0</v>
      </c>
    </row>
    <row r="1521" spans="2:26">
      <c r="B1521" s="171">
        <v>1520</v>
      </c>
      <c r="C1521" s="169"/>
      <c r="N1521" s="201">
        <v>0</v>
      </c>
      <c r="Q1521">
        <f t="shared" si="144"/>
        <v>0</v>
      </c>
      <c r="R1521">
        <f t="shared" si="141"/>
        <v>1519</v>
      </c>
      <c r="S1521">
        <f>IFERROR(SEARCH(Crewlist!$P$5,V1521)+ROW()/100000,"")</f>
        <v>1.0152099999999999</v>
      </c>
      <c r="T1521">
        <f t="shared" si="145"/>
        <v>1520</v>
      </c>
      <c r="U1521">
        <f t="shared" si="146"/>
        <v>0</v>
      </c>
      <c r="V1521" t="str">
        <f t="shared" si="143"/>
        <v xml:space="preserve"> </v>
      </c>
      <c r="Y1521" s="162" t="e">
        <f>VLOOKUP(B1521,Crewlist!AS:AU,3,FALSE)</f>
        <v>#N/A</v>
      </c>
      <c r="Z1521" s="163">
        <f t="shared" si="142"/>
        <v>0</v>
      </c>
    </row>
    <row r="1522" spans="2:26">
      <c r="B1522" s="171">
        <v>1521</v>
      </c>
      <c r="C1522" s="169"/>
      <c r="N1522" s="201">
        <v>0</v>
      </c>
      <c r="Q1522">
        <f t="shared" si="144"/>
        <v>0</v>
      </c>
      <c r="R1522">
        <f t="shared" si="141"/>
        <v>1520</v>
      </c>
      <c r="S1522">
        <f>IFERROR(SEARCH(Crewlist!$P$5,V1522)+ROW()/100000,"")</f>
        <v>1.01522</v>
      </c>
      <c r="T1522">
        <f t="shared" si="145"/>
        <v>1521</v>
      </c>
      <c r="U1522">
        <f t="shared" si="146"/>
        <v>0</v>
      </c>
      <c r="V1522" t="str">
        <f t="shared" si="143"/>
        <v xml:space="preserve"> </v>
      </c>
      <c r="Y1522" s="162" t="e">
        <f>VLOOKUP(B1522,Crewlist!AS:AU,3,FALSE)</f>
        <v>#N/A</v>
      </c>
      <c r="Z1522" s="163">
        <f t="shared" si="142"/>
        <v>0</v>
      </c>
    </row>
    <row r="1523" spans="2:26">
      <c r="B1523" s="202">
        <v>1522</v>
      </c>
      <c r="C1523" s="169"/>
      <c r="N1523" s="201">
        <v>0</v>
      </c>
      <c r="Q1523">
        <f t="shared" si="144"/>
        <v>0</v>
      </c>
      <c r="R1523">
        <f t="shared" si="141"/>
        <v>1521</v>
      </c>
      <c r="S1523">
        <f>IFERROR(SEARCH(Crewlist!$P$5,V1523)+ROW()/100000,"")</f>
        <v>1.0152300000000001</v>
      </c>
      <c r="T1523">
        <f t="shared" si="145"/>
        <v>1522</v>
      </c>
      <c r="U1523">
        <f t="shared" si="146"/>
        <v>0</v>
      </c>
      <c r="V1523" t="str">
        <f t="shared" si="143"/>
        <v xml:space="preserve"> </v>
      </c>
      <c r="Y1523" s="162" t="e">
        <f>VLOOKUP(B1523,Crewlist!AS:AU,3,FALSE)</f>
        <v>#N/A</v>
      </c>
      <c r="Z1523" s="163">
        <f t="shared" si="142"/>
        <v>0</v>
      </c>
    </row>
    <row r="1524" spans="2:26">
      <c r="B1524" s="171">
        <v>1523</v>
      </c>
      <c r="C1524" s="169"/>
      <c r="N1524" s="201">
        <v>0</v>
      </c>
      <c r="Q1524">
        <f t="shared" si="144"/>
        <v>0</v>
      </c>
      <c r="R1524">
        <f t="shared" si="141"/>
        <v>1522</v>
      </c>
      <c r="S1524">
        <f>IFERROR(SEARCH(Crewlist!$P$5,V1524)+ROW()/100000,"")</f>
        <v>1.0152399999999999</v>
      </c>
      <c r="T1524">
        <f t="shared" si="145"/>
        <v>1523</v>
      </c>
      <c r="U1524">
        <f t="shared" si="146"/>
        <v>0</v>
      </c>
      <c r="V1524" t="str">
        <f t="shared" si="143"/>
        <v xml:space="preserve"> </v>
      </c>
      <c r="Y1524" s="162" t="e">
        <f>VLOOKUP(B1524,Crewlist!AS:AU,3,FALSE)</f>
        <v>#N/A</v>
      </c>
      <c r="Z1524" s="163">
        <f t="shared" si="142"/>
        <v>0</v>
      </c>
    </row>
    <row r="1525" spans="2:26">
      <c r="B1525" s="171">
        <v>1524</v>
      </c>
      <c r="C1525" s="169"/>
      <c r="N1525" s="201">
        <v>0</v>
      </c>
      <c r="Q1525">
        <f t="shared" si="144"/>
        <v>0</v>
      </c>
      <c r="R1525">
        <f t="shared" si="141"/>
        <v>1523</v>
      </c>
      <c r="S1525">
        <f>IFERROR(SEARCH(Crewlist!$P$5,V1525)+ROW()/100000,"")</f>
        <v>1.01525</v>
      </c>
      <c r="T1525">
        <f t="shared" si="145"/>
        <v>1524</v>
      </c>
      <c r="U1525">
        <f t="shared" si="146"/>
        <v>0</v>
      </c>
      <c r="V1525" t="str">
        <f t="shared" si="143"/>
        <v xml:space="preserve"> </v>
      </c>
      <c r="Y1525" s="162" t="e">
        <f>VLOOKUP(B1525,Crewlist!AS:AU,3,FALSE)</f>
        <v>#N/A</v>
      </c>
      <c r="Z1525" s="163">
        <f t="shared" si="142"/>
        <v>0</v>
      </c>
    </row>
    <row r="1526" spans="2:26">
      <c r="B1526" s="202">
        <v>1525</v>
      </c>
      <c r="C1526" s="169"/>
      <c r="N1526" s="201">
        <v>0</v>
      </c>
      <c r="Q1526">
        <f t="shared" si="144"/>
        <v>0</v>
      </c>
      <c r="R1526">
        <f t="shared" si="141"/>
        <v>1524</v>
      </c>
      <c r="S1526">
        <f>IFERROR(SEARCH(Crewlist!$P$5,V1526)+ROW()/100000,"")</f>
        <v>1.0152600000000001</v>
      </c>
      <c r="T1526">
        <f t="shared" si="145"/>
        <v>1525</v>
      </c>
      <c r="U1526">
        <f t="shared" si="146"/>
        <v>0</v>
      </c>
      <c r="V1526" t="str">
        <f t="shared" si="143"/>
        <v xml:space="preserve"> </v>
      </c>
      <c r="Y1526" s="162" t="e">
        <f>VLOOKUP(B1526,Crewlist!AS:AU,3,FALSE)</f>
        <v>#N/A</v>
      </c>
      <c r="Z1526" s="163">
        <f t="shared" si="142"/>
        <v>0</v>
      </c>
    </row>
    <row r="1527" spans="2:26">
      <c r="B1527" s="171">
        <v>1526</v>
      </c>
      <c r="C1527" s="169"/>
      <c r="N1527" s="201">
        <v>0</v>
      </c>
      <c r="Q1527">
        <f t="shared" si="144"/>
        <v>0</v>
      </c>
      <c r="R1527">
        <f t="shared" si="141"/>
        <v>1525</v>
      </c>
      <c r="S1527">
        <f>IFERROR(SEARCH(Crewlist!$P$5,V1527)+ROW()/100000,"")</f>
        <v>1.0152699999999999</v>
      </c>
      <c r="T1527">
        <f t="shared" si="145"/>
        <v>1526</v>
      </c>
      <c r="U1527">
        <f t="shared" si="146"/>
        <v>0</v>
      </c>
      <c r="V1527" t="str">
        <f t="shared" si="143"/>
        <v xml:space="preserve"> </v>
      </c>
      <c r="Y1527" s="162" t="e">
        <f>VLOOKUP(B1527,Crewlist!AS:AU,3,FALSE)</f>
        <v>#N/A</v>
      </c>
      <c r="Z1527" s="163">
        <f t="shared" si="142"/>
        <v>0</v>
      </c>
    </row>
    <row r="1528" spans="2:26">
      <c r="B1528" s="171">
        <v>1527</v>
      </c>
      <c r="C1528" s="169"/>
      <c r="N1528" s="201">
        <v>0</v>
      </c>
      <c r="Q1528">
        <f t="shared" si="144"/>
        <v>0</v>
      </c>
      <c r="R1528">
        <f t="shared" si="141"/>
        <v>1526</v>
      </c>
      <c r="S1528">
        <f>IFERROR(SEARCH(Crewlist!$P$5,V1528)+ROW()/100000,"")</f>
        <v>1.01528</v>
      </c>
      <c r="T1528">
        <f t="shared" si="145"/>
        <v>1527</v>
      </c>
      <c r="U1528">
        <f t="shared" si="146"/>
        <v>0</v>
      </c>
      <c r="V1528" t="str">
        <f t="shared" si="143"/>
        <v xml:space="preserve"> </v>
      </c>
      <c r="Y1528" s="162" t="e">
        <f>VLOOKUP(B1528,Crewlist!AS:AU,3,FALSE)</f>
        <v>#N/A</v>
      </c>
      <c r="Z1528" s="163">
        <f t="shared" si="142"/>
        <v>0</v>
      </c>
    </row>
    <row r="1529" spans="2:26">
      <c r="B1529" s="202">
        <v>1528</v>
      </c>
      <c r="C1529" s="169"/>
      <c r="N1529" s="201">
        <v>0</v>
      </c>
      <c r="Q1529">
        <f t="shared" si="144"/>
        <v>0</v>
      </c>
      <c r="R1529">
        <f t="shared" si="141"/>
        <v>1527</v>
      </c>
      <c r="S1529">
        <f>IFERROR(SEARCH(Crewlist!$P$5,V1529)+ROW()/100000,"")</f>
        <v>1.01529</v>
      </c>
      <c r="T1529">
        <f t="shared" si="145"/>
        <v>1528</v>
      </c>
      <c r="U1529">
        <f t="shared" si="146"/>
        <v>0</v>
      </c>
      <c r="V1529" t="str">
        <f t="shared" si="143"/>
        <v xml:space="preserve"> </v>
      </c>
      <c r="Y1529" s="162" t="e">
        <f>VLOOKUP(B1529,Crewlist!AS:AU,3,FALSE)</f>
        <v>#N/A</v>
      </c>
      <c r="Z1529" s="163">
        <f t="shared" si="142"/>
        <v>0</v>
      </c>
    </row>
    <row r="1530" spans="2:26">
      <c r="B1530" s="171">
        <v>1529</v>
      </c>
      <c r="C1530" s="169"/>
      <c r="N1530" s="201">
        <v>0</v>
      </c>
      <c r="Q1530">
        <f t="shared" si="144"/>
        <v>0</v>
      </c>
      <c r="R1530">
        <f t="shared" si="141"/>
        <v>1528</v>
      </c>
      <c r="S1530">
        <f>IFERROR(SEARCH(Crewlist!$P$5,V1530)+ROW()/100000,"")</f>
        <v>1.0153000000000001</v>
      </c>
      <c r="T1530">
        <f t="shared" si="145"/>
        <v>1529</v>
      </c>
      <c r="U1530">
        <f t="shared" si="146"/>
        <v>0</v>
      </c>
      <c r="V1530" t="str">
        <f t="shared" si="143"/>
        <v xml:space="preserve"> </v>
      </c>
      <c r="Y1530" s="162" t="e">
        <f>VLOOKUP(B1530,Crewlist!AS:AU,3,FALSE)</f>
        <v>#N/A</v>
      </c>
      <c r="Z1530" s="163">
        <f t="shared" si="142"/>
        <v>0</v>
      </c>
    </row>
    <row r="1531" spans="2:26">
      <c r="B1531" s="171">
        <v>1530</v>
      </c>
      <c r="C1531" s="169"/>
      <c r="N1531" s="201">
        <v>0</v>
      </c>
      <c r="Q1531">
        <f t="shared" si="144"/>
        <v>0</v>
      </c>
      <c r="R1531">
        <f t="shared" si="141"/>
        <v>1529</v>
      </c>
      <c r="S1531">
        <f>IFERROR(SEARCH(Crewlist!$P$5,V1531)+ROW()/100000,"")</f>
        <v>1.0153099999999999</v>
      </c>
      <c r="T1531">
        <f t="shared" si="145"/>
        <v>1530</v>
      </c>
      <c r="U1531">
        <f t="shared" si="146"/>
        <v>0</v>
      </c>
      <c r="V1531" t="str">
        <f t="shared" si="143"/>
        <v xml:space="preserve"> </v>
      </c>
      <c r="Y1531" s="162" t="e">
        <f>VLOOKUP(B1531,Crewlist!AS:AU,3,FALSE)</f>
        <v>#N/A</v>
      </c>
      <c r="Z1531" s="163">
        <f t="shared" si="142"/>
        <v>0</v>
      </c>
    </row>
    <row r="1532" spans="2:26">
      <c r="B1532" s="202">
        <v>1531</v>
      </c>
      <c r="C1532" s="169"/>
      <c r="N1532" s="201">
        <v>0</v>
      </c>
      <c r="Q1532">
        <f t="shared" si="144"/>
        <v>0</v>
      </c>
      <c r="R1532">
        <f t="shared" si="141"/>
        <v>1530</v>
      </c>
      <c r="S1532">
        <f>IFERROR(SEARCH(Crewlist!$P$5,V1532)+ROW()/100000,"")</f>
        <v>1.01532</v>
      </c>
      <c r="T1532">
        <f t="shared" si="145"/>
        <v>1531</v>
      </c>
      <c r="U1532">
        <f t="shared" si="146"/>
        <v>0</v>
      </c>
      <c r="V1532" t="str">
        <f t="shared" si="143"/>
        <v xml:space="preserve"> </v>
      </c>
      <c r="Y1532" s="162" t="e">
        <f>VLOOKUP(B1532,Crewlist!AS:AU,3,FALSE)</f>
        <v>#N/A</v>
      </c>
      <c r="Z1532" s="163">
        <f t="shared" si="142"/>
        <v>0</v>
      </c>
    </row>
    <row r="1533" spans="2:26">
      <c r="B1533" s="171">
        <v>1532</v>
      </c>
      <c r="C1533" s="169"/>
      <c r="N1533" s="201">
        <v>0</v>
      </c>
      <c r="Q1533">
        <f t="shared" si="144"/>
        <v>0</v>
      </c>
      <c r="R1533">
        <f t="shared" si="141"/>
        <v>1531</v>
      </c>
      <c r="S1533">
        <f>IFERROR(SEARCH(Crewlist!$P$5,V1533)+ROW()/100000,"")</f>
        <v>1.0153300000000001</v>
      </c>
      <c r="T1533">
        <f t="shared" si="145"/>
        <v>1532</v>
      </c>
      <c r="U1533">
        <f t="shared" si="146"/>
        <v>0</v>
      </c>
      <c r="V1533" t="str">
        <f t="shared" si="143"/>
        <v xml:space="preserve"> </v>
      </c>
      <c r="Y1533" s="162" t="e">
        <f>VLOOKUP(B1533,Crewlist!AS:AU,3,FALSE)</f>
        <v>#N/A</v>
      </c>
      <c r="Z1533" s="163">
        <f t="shared" si="142"/>
        <v>0</v>
      </c>
    </row>
    <row r="1534" spans="2:26">
      <c r="B1534" s="171">
        <v>1533</v>
      </c>
      <c r="C1534" s="169"/>
      <c r="N1534" s="201">
        <v>0</v>
      </c>
      <c r="Q1534">
        <f t="shared" si="144"/>
        <v>0</v>
      </c>
      <c r="R1534">
        <f t="shared" si="141"/>
        <v>1532</v>
      </c>
      <c r="S1534">
        <f>IFERROR(SEARCH(Crewlist!$P$5,V1534)+ROW()/100000,"")</f>
        <v>1.0153399999999999</v>
      </c>
      <c r="T1534">
        <f t="shared" si="145"/>
        <v>1533</v>
      </c>
      <c r="U1534">
        <f t="shared" si="146"/>
        <v>0</v>
      </c>
      <c r="V1534" t="str">
        <f t="shared" si="143"/>
        <v xml:space="preserve"> </v>
      </c>
      <c r="Y1534" s="162" t="e">
        <f>VLOOKUP(B1534,Crewlist!AS:AU,3,FALSE)</f>
        <v>#N/A</v>
      </c>
      <c r="Z1534" s="163">
        <f t="shared" si="142"/>
        <v>0</v>
      </c>
    </row>
    <row r="1535" spans="2:26">
      <c r="B1535" s="202">
        <v>1534</v>
      </c>
      <c r="C1535" s="169"/>
      <c r="N1535" s="201">
        <v>0</v>
      </c>
      <c r="Q1535">
        <f t="shared" si="144"/>
        <v>0</v>
      </c>
      <c r="R1535">
        <f t="shared" si="141"/>
        <v>1533</v>
      </c>
      <c r="S1535">
        <f>IFERROR(SEARCH(Crewlist!$P$5,V1535)+ROW()/100000,"")</f>
        <v>1.01535</v>
      </c>
      <c r="T1535">
        <f t="shared" si="145"/>
        <v>1534</v>
      </c>
      <c r="U1535">
        <f t="shared" si="146"/>
        <v>0</v>
      </c>
      <c r="V1535" t="str">
        <f t="shared" si="143"/>
        <v xml:space="preserve"> </v>
      </c>
      <c r="Y1535" s="162" t="e">
        <f>VLOOKUP(B1535,Crewlist!AS:AU,3,FALSE)</f>
        <v>#N/A</v>
      </c>
      <c r="Z1535" s="163">
        <f t="shared" si="142"/>
        <v>0</v>
      </c>
    </row>
    <row r="1536" spans="2:26">
      <c r="B1536" s="171">
        <v>1535</v>
      </c>
      <c r="C1536" s="169"/>
      <c r="N1536" s="201">
        <v>0</v>
      </c>
      <c r="Q1536">
        <f t="shared" si="144"/>
        <v>0</v>
      </c>
      <c r="R1536">
        <f t="shared" si="141"/>
        <v>1534</v>
      </c>
      <c r="S1536">
        <f>IFERROR(SEARCH(Crewlist!$P$5,V1536)+ROW()/100000,"")</f>
        <v>1.01536</v>
      </c>
      <c r="T1536">
        <f t="shared" si="145"/>
        <v>1535</v>
      </c>
      <c r="U1536">
        <f t="shared" si="146"/>
        <v>0</v>
      </c>
      <c r="V1536" t="str">
        <f t="shared" si="143"/>
        <v xml:space="preserve"> </v>
      </c>
      <c r="Y1536" s="162" t="e">
        <f>VLOOKUP(B1536,Crewlist!AS:AU,3,FALSE)</f>
        <v>#N/A</v>
      </c>
      <c r="Z1536" s="163">
        <f t="shared" si="142"/>
        <v>0</v>
      </c>
    </row>
    <row r="1537" spans="2:26">
      <c r="B1537" s="171">
        <v>1536</v>
      </c>
      <c r="C1537" s="169"/>
      <c r="N1537" s="201">
        <v>0</v>
      </c>
      <c r="Q1537">
        <f t="shared" si="144"/>
        <v>0</v>
      </c>
      <c r="R1537">
        <f t="shared" si="141"/>
        <v>1535</v>
      </c>
      <c r="S1537">
        <f>IFERROR(SEARCH(Crewlist!$P$5,V1537)+ROW()/100000,"")</f>
        <v>1.0153700000000001</v>
      </c>
      <c r="T1537">
        <f t="shared" si="145"/>
        <v>1536</v>
      </c>
      <c r="U1537">
        <f t="shared" si="146"/>
        <v>0</v>
      </c>
      <c r="V1537" t="str">
        <f t="shared" si="143"/>
        <v xml:space="preserve"> </v>
      </c>
      <c r="Y1537" s="162" t="e">
        <f>VLOOKUP(B1537,Crewlist!AS:AU,3,FALSE)</f>
        <v>#N/A</v>
      </c>
      <c r="Z1537" s="163">
        <f t="shared" si="142"/>
        <v>0</v>
      </c>
    </row>
    <row r="1538" spans="2:26">
      <c r="B1538" s="202">
        <v>1537</v>
      </c>
      <c r="C1538" s="169"/>
      <c r="N1538" s="201">
        <v>0</v>
      </c>
      <c r="Q1538">
        <f t="shared" si="144"/>
        <v>0</v>
      </c>
      <c r="R1538">
        <f t="shared" ref="R1538:R1601" si="147">IFERROR(RANK(S1538,$S$2:$S$1998,1),"")</f>
        <v>1536</v>
      </c>
      <c r="S1538">
        <f>IFERROR(SEARCH(Crewlist!$P$5,V1538)+ROW()/100000,"")</f>
        <v>1.0153799999999999</v>
      </c>
      <c r="T1538">
        <f t="shared" si="145"/>
        <v>1537</v>
      </c>
      <c r="U1538">
        <f t="shared" si="146"/>
        <v>0</v>
      </c>
      <c r="V1538" t="str">
        <f t="shared" si="143"/>
        <v xml:space="preserve"> </v>
      </c>
      <c r="Y1538" s="162" t="e">
        <f>VLOOKUP(B1538,Crewlist!AS:AU,3,FALSE)</f>
        <v>#N/A</v>
      </c>
      <c r="Z1538" s="163">
        <f t="shared" ref="Z1538:Z1584" si="148">IF(ISNUMBER(SEARCH("",Y1538)),Y1538,N1538)</f>
        <v>0</v>
      </c>
    </row>
    <row r="1539" spans="2:26">
      <c r="B1539" s="171">
        <v>1538</v>
      </c>
      <c r="C1539" s="169"/>
      <c r="N1539" s="201">
        <v>0</v>
      </c>
      <c r="Q1539">
        <f t="shared" si="144"/>
        <v>0</v>
      </c>
      <c r="R1539">
        <f t="shared" si="147"/>
        <v>1537</v>
      </c>
      <c r="S1539">
        <f>IFERROR(SEARCH(Crewlist!$P$5,V1539)+ROW()/100000,"")</f>
        <v>1.01539</v>
      </c>
      <c r="T1539">
        <f t="shared" si="145"/>
        <v>1538</v>
      </c>
      <c r="U1539">
        <f t="shared" si="146"/>
        <v>0</v>
      </c>
      <c r="V1539" t="str">
        <f t="shared" ref="V1539:V1602" si="149">CONCATENATE(C1539," ",D1539)</f>
        <v xml:space="preserve"> </v>
      </c>
      <c r="Y1539" s="162" t="e">
        <f>VLOOKUP(B1539,Crewlist!AS:AU,3,FALSE)</f>
        <v>#N/A</v>
      </c>
      <c r="Z1539" s="163">
        <f t="shared" si="148"/>
        <v>0</v>
      </c>
    </row>
    <row r="1540" spans="2:26">
      <c r="B1540" s="171">
        <v>1539</v>
      </c>
      <c r="C1540" s="169"/>
      <c r="N1540" s="201">
        <v>0</v>
      </c>
      <c r="Q1540">
        <f t="shared" si="144"/>
        <v>0</v>
      </c>
      <c r="R1540">
        <f t="shared" si="147"/>
        <v>1538</v>
      </c>
      <c r="S1540">
        <f>IFERROR(SEARCH(Crewlist!$P$5,V1540)+ROW()/100000,"")</f>
        <v>1.0154000000000001</v>
      </c>
      <c r="T1540">
        <f t="shared" si="145"/>
        <v>1539</v>
      </c>
      <c r="U1540">
        <f t="shared" si="146"/>
        <v>0</v>
      </c>
      <c r="V1540" t="str">
        <f t="shared" si="149"/>
        <v xml:space="preserve"> </v>
      </c>
      <c r="Y1540" s="162" t="e">
        <f>VLOOKUP(B1540,Crewlist!AS:AU,3,FALSE)</f>
        <v>#N/A</v>
      </c>
      <c r="Z1540" s="163">
        <f t="shared" si="148"/>
        <v>0</v>
      </c>
    </row>
    <row r="1541" spans="2:26">
      <c r="B1541" s="202">
        <v>1540</v>
      </c>
      <c r="C1541" s="169"/>
      <c r="N1541" s="201">
        <v>0</v>
      </c>
      <c r="Q1541">
        <f t="shared" si="144"/>
        <v>0</v>
      </c>
      <c r="R1541">
        <f t="shared" si="147"/>
        <v>1539</v>
      </c>
      <c r="S1541">
        <f>IFERROR(SEARCH(Crewlist!$P$5,V1541)+ROW()/100000,"")</f>
        <v>1.0154099999999999</v>
      </c>
      <c r="T1541">
        <f t="shared" si="145"/>
        <v>1540</v>
      </c>
      <c r="U1541">
        <f t="shared" si="146"/>
        <v>0</v>
      </c>
      <c r="V1541" t="str">
        <f t="shared" si="149"/>
        <v xml:space="preserve"> </v>
      </c>
      <c r="Y1541" s="162" t="e">
        <f>VLOOKUP(B1541,Crewlist!AS:AU,3,FALSE)</f>
        <v>#N/A</v>
      </c>
      <c r="Z1541" s="163">
        <f t="shared" si="148"/>
        <v>0</v>
      </c>
    </row>
    <row r="1542" spans="2:26">
      <c r="B1542" s="171">
        <v>1541</v>
      </c>
      <c r="C1542" s="169"/>
      <c r="N1542" s="201">
        <v>0</v>
      </c>
      <c r="Q1542">
        <f t="shared" si="144"/>
        <v>0</v>
      </c>
      <c r="R1542">
        <f t="shared" si="147"/>
        <v>1540</v>
      </c>
      <c r="S1542">
        <f>IFERROR(SEARCH(Crewlist!$P$5,V1542)+ROW()/100000,"")</f>
        <v>1.01542</v>
      </c>
      <c r="T1542">
        <f t="shared" si="145"/>
        <v>1541</v>
      </c>
      <c r="U1542">
        <f t="shared" si="146"/>
        <v>0</v>
      </c>
      <c r="V1542" t="str">
        <f t="shared" si="149"/>
        <v xml:space="preserve"> </v>
      </c>
      <c r="Y1542" s="162" t="e">
        <f>VLOOKUP(B1542,Crewlist!AS:AU,3,FALSE)</f>
        <v>#N/A</v>
      </c>
      <c r="Z1542" s="163">
        <f t="shared" si="148"/>
        <v>0</v>
      </c>
    </row>
    <row r="1543" spans="2:26">
      <c r="B1543" s="171">
        <v>1542</v>
      </c>
      <c r="C1543" s="169"/>
      <c r="N1543" s="201">
        <v>0</v>
      </c>
      <c r="Q1543">
        <f t="shared" si="144"/>
        <v>0</v>
      </c>
      <c r="R1543">
        <f t="shared" si="147"/>
        <v>1541</v>
      </c>
      <c r="S1543">
        <f>IFERROR(SEARCH(Crewlist!$P$5,V1543)+ROW()/100000,"")</f>
        <v>1.0154300000000001</v>
      </c>
      <c r="T1543">
        <f t="shared" si="145"/>
        <v>1542</v>
      </c>
      <c r="U1543">
        <f t="shared" si="146"/>
        <v>0</v>
      </c>
      <c r="V1543" t="str">
        <f t="shared" si="149"/>
        <v xml:space="preserve"> </v>
      </c>
      <c r="Y1543" s="162" t="e">
        <f>VLOOKUP(B1543,Crewlist!AS:AU,3,FALSE)</f>
        <v>#N/A</v>
      </c>
      <c r="Z1543" s="163">
        <f t="shared" si="148"/>
        <v>0</v>
      </c>
    </row>
    <row r="1544" spans="2:26">
      <c r="B1544" s="202">
        <v>1543</v>
      </c>
      <c r="C1544" s="169"/>
      <c r="N1544" s="201">
        <v>0</v>
      </c>
      <c r="Q1544">
        <f t="shared" si="144"/>
        <v>0</v>
      </c>
      <c r="R1544">
        <f t="shared" si="147"/>
        <v>1542</v>
      </c>
      <c r="S1544">
        <f>IFERROR(SEARCH(Crewlist!$P$5,V1544)+ROW()/100000,"")</f>
        <v>1.0154399999999999</v>
      </c>
      <c r="T1544">
        <f t="shared" si="145"/>
        <v>1543</v>
      </c>
      <c r="U1544">
        <f t="shared" si="146"/>
        <v>0</v>
      </c>
      <c r="V1544" t="str">
        <f t="shared" si="149"/>
        <v xml:space="preserve"> </v>
      </c>
      <c r="Y1544" s="162" t="e">
        <f>VLOOKUP(B1544,Crewlist!AS:AU,3,FALSE)</f>
        <v>#N/A</v>
      </c>
      <c r="Z1544" s="163">
        <f t="shared" si="148"/>
        <v>0</v>
      </c>
    </row>
    <row r="1545" spans="2:26">
      <c r="B1545" s="171">
        <v>1544</v>
      </c>
      <c r="C1545" s="169"/>
      <c r="N1545" s="201">
        <v>0</v>
      </c>
      <c r="Q1545">
        <f t="shared" ref="Q1545:Q1608" si="150">IF(C1545&lt;&gt; "",B1545,0)</f>
        <v>0</v>
      </c>
      <c r="R1545">
        <f t="shared" si="147"/>
        <v>1543</v>
      </c>
      <c r="S1545">
        <f>IFERROR(SEARCH(Crewlist!$P$5,V1545)+ROW()/100000,"")</f>
        <v>1.01545</v>
      </c>
      <c r="T1545">
        <f t="shared" ref="T1545:T1608" si="151">B1545</f>
        <v>1544</v>
      </c>
      <c r="U1545">
        <f t="shared" ref="U1545:U1608" si="152">C1545</f>
        <v>0</v>
      </c>
      <c r="V1545" t="str">
        <f t="shared" si="149"/>
        <v xml:space="preserve"> </v>
      </c>
      <c r="Y1545" s="162" t="e">
        <f>VLOOKUP(B1545,Crewlist!AS:AU,3,FALSE)</f>
        <v>#N/A</v>
      </c>
      <c r="Z1545" s="163">
        <f t="shared" si="148"/>
        <v>0</v>
      </c>
    </row>
    <row r="1546" spans="2:26">
      <c r="B1546" s="171">
        <v>1545</v>
      </c>
      <c r="C1546" s="169"/>
      <c r="N1546" s="201">
        <v>0</v>
      </c>
      <c r="Q1546">
        <f t="shared" si="150"/>
        <v>0</v>
      </c>
      <c r="R1546">
        <f t="shared" si="147"/>
        <v>1544</v>
      </c>
      <c r="S1546">
        <f>IFERROR(SEARCH(Crewlist!$P$5,V1546)+ROW()/100000,"")</f>
        <v>1.01546</v>
      </c>
      <c r="T1546">
        <f t="shared" si="151"/>
        <v>1545</v>
      </c>
      <c r="U1546">
        <f t="shared" si="152"/>
        <v>0</v>
      </c>
      <c r="V1546" t="str">
        <f t="shared" si="149"/>
        <v xml:space="preserve"> </v>
      </c>
      <c r="Y1546" s="162" t="e">
        <f>VLOOKUP(B1546,Crewlist!AS:AU,3,FALSE)</f>
        <v>#N/A</v>
      </c>
      <c r="Z1546" s="163">
        <f t="shared" si="148"/>
        <v>0</v>
      </c>
    </row>
    <row r="1547" spans="2:26">
      <c r="B1547" s="202">
        <v>1546</v>
      </c>
      <c r="C1547" s="169"/>
      <c r="N1547" s="201">
        <v>0</v>
      </c>
      <c r="Q1547">
        <f t="shared" si="150"/>
        <v>0</v>
      </c>
      <c r="R1547">
        <f t="shared" si="147"/>
        <v>1545</v>
      </c>
      <c r="S1547">
        <f>IFERROR(SEARCH(Crewlist!$P$5,V1547)+ROW()/100000,"")</f>
        <v>1.0154700000000001</v>
      </c>
      <c r="T1547">
        <f t="shared" si="151"/>
        <v>1546</v>
      </c>
      <c r="U1547">
        <f t="shared" si="152"/>
        <v>0</v>
      </c>
      <c r="V1547" t="str">
        <f t="shared" si="149"/>
        <v xml:space="preserve"> </v>
      </c>
      <c r="Y1547" s="162" t="e">
        <f>VLOOKUP(B1547,Crewlist!AS:AU,3,FALSE)</f>
        <v>#N/A</v>
      </c>
      <c r="Z1547" s="163">
        <f t="shared" si="148"/>
        <v>0</v>
      </c>
    </row>
    <row r="1548" spans="2:26">
      <c r="B1548" s="171">
        <v>1547</v>
      </c>
      <c r="C1548" s="169"/>
      <c r="N1548" s="201">
        <v>0</v>
      </c>
      <c r="Q1548">
        <f t="shared" si="150"/>
        <v>0</v>
      </c>
      <c r="R1548">
        <f t="shared" si="147"/>
        <v>1546</v>
      </c>
      <c r="S1548">
        <f>IFERROR(SEARCH(Crewlist!$P$5,V1548)+ROW()/100000,"")</f>
        <v>1.0154799999999999</v>
      </c>
      <c r="T1548">
        <f t="shared" si="151"/>
        <v>1547</v>
      </c>
      <c r="U1548">
        <f t="shared" si="152"/>
        <v>0</v>
      </c>
      <c r="V1548" t="str">
        <f t="shared" si="149"/>
        <v xml:space="preserve"> </v>
      </c>
      <c r="Y1548" s="162" t="e">
        <f>VLOOKUP(B1548,Crewlist!AS:AU,3,FALSE)</f>
        <v>#N/A</v>
      </c>
      <c r="Z1548" s="163">
        <f t="shared" si="148"/>
        <v>0</v>
      </c>
    </row>
    <row r="1549" spans="2:26">
      <c r="B1549" s="171">
        <v>1548</v>
      </c>
      <c r="C1549" s="169"/>
      <c r="N1549" s="201">
        <v>0</v>
      </c>
      <c r="Q1549">
        <f t="shared" si="150"/>
        <v>0</v>
      </c>
      <c r="R1549">
        <f t="shared" si="147"/>
        <v>1547</v>
      </c>
      <c r="S1549">
        <f>IFERROR(SEARCH(Crewlist!$P$5,V1549)+ROW()/100000,"")</f>
        <v>1.01549</v>
      </c>
      <c r="T1549">
        <f t="shared" si="151"/>
        <v>1548</v>
      </c>
      <c r="U1549">
        <f t="shared" si="152"/>
        <v>0</v>
      </c>
      <c r="V1549" t="str">
        <f t="shared" si="149"/>
        <v xml:space="preserve"> </v>
      </c>
      <c r="Y1549" s="162" t="e">
        <f>VLOOKUP(B1549,Crewlist!AS:AU,3,FALSE)</f>
        <v>#N/A</v>
      </c>
      <c r="Z1549" s="163">
        <f t="shared" si="148"/>
        <v>0</v>
      </c>
    </row>
    <row r="1550" spans="2:26">
      <c r="B1550" s="202">
        <v>1549</v>
      </c>
      <c r="C1550" s="169"/>
      <c r="N1550" s="201">
        <v>0</v>
      </c>
      <c r="Q1550">
        <f t="shared" si="150"/>
        <v>0</v>
      </c>
      <c r="R1550">
        <f t="shared" si="147"/>
        <v>1548</v>
      </c>
      <c r="S1550">
        <f>IFERROR(SEARCH(Crewlist!$P$5,V1550)+ROW()/100000,"")</f>
        <v>1.0155000000000001</v>
      </c>
      <c r="T1550">
        <f t="shared" si="151"/>
        <v>1549</v>
      </c>
      <c r="U1550">
        <f t="shared" si="152"/>
        <v>0</v>
      </c>
      <c r="V1550" t="str">
        <f t="shared" si="149"/>
        <v xml:space="preserve"> </v>
      </c>
      <c r="Y1550" s="162" t="e">
        <f>VLOOKUP(B1550,Crewlist!AS:AU,3,FALSE)</f>
        <v>#N/A</v>
      </c>
      <c r="Z1550" s="163">
        <f t="shared" si="148"/>
        <v>0</v>
      </c>
    </row>
    <row r="1551" spans="2:26">
      <c r="B1551" s="171">
        <v>1550</v>
      </c>
      <c r="C1551" s="169"/>
      <c r="N1551" s="201">
        <v>0</v>
      </c>
      <c r="Q1551">
        <f t="shared" si="150"/>
        <v>0</v>
      </c>
      <c r="R1551">
        <f t="shared" si="147"/>
        <v>1549</v>
      </c>
      <c r="S1551">
        <f>IFERROR(SEARCH(Crewlist!$P$5,V1551)+ROW()/100000,"")</f>
        <v>1.0155099999999999</v>
      </c>
      <c r="T1551">
        <f t="shared" si="151"/>
        <v>1550</v>
      </c>
      <c r="U1551">
        <f t="shared" si="152"/>
        <v>0</v>
      </c>
      <c r="V1551" t="str">
        <f t="shared" si="149"/>
        <v xml:space="preserve"> </v>
      </c>
      <c r="Y1551" s="162" t="e">
        <f>VLOOKUP(B1551,Crewlist!AS:AU,3,FALSE)</f>
        <v>#N/A</v>
      </c>
      <c r="Z1551" s="163">
        <f t="shared" si="148"/>
        <v>0</v>
      </c>
    </row>
    <row r="1552" spans="2:26">
      <c r="B1552" s="171">
        <v>1551</v>
      </c>
      <c r="C1552" s="169"/>
      <c r="N1552" s="201">
        <v>0</v>
      </c>
      <c r="Q1552">
        <f t="shared" si="150"/>
        <v>0</v>
      </c>
      <c r="R1552">
        <f t="shared" si="147"/>
        <v>1550</v>
      </c>
      <c r="S1552">
        <f>IFERROR(SEARCH(Crewlist!$P$5,V1552)+ROW()/100000,"")</f>
        <v>1.01552</v>
      </c>
      <c r="T1552">
        <f t="shared" si="151"/>
        <v>1551</v>
      </c>
      <c r="U1552">
        <f t="shared" si="152"/>
        <v>0</v>
      </c>
      <c r="V1552" t="str">
        <f t="shared" si="149"/>
        <v xml:space="preserve"> </v>
      </c>
      <c r="Y1552" s="162" t="e">
        <f>VLOOKUP(B1552,Crewlist!AS:AU,3,FALSE)</f>
        <v>#N/A</v>
      </c>
      <c r="Z1552" s="163">
        <f t="shared" si="148"/>
        <v>0</v>
      </c>
    </row>
    <row r="1553" spans="2:26">
      <c r="B1553" s="202">
        <v>1552</v>
      </c>
      <c r="C1553" s="169"/>
      <c r="N1553" s="201">
        <v>0</v>
      </c>
      <c r="Q1553">
        <f t="shared" si="150"/>
        <v>0</v>
      </c>
      <c r="R1553">
        <f t="shared" si="147"/>
        <v>1551</v>
      </c>
      <c r="S1553">
        <f>IFERROR(SEARCH(Crewlist!$P$5,V1553)+ROW()/100000,"")</f>
        <v>1.01553</v>
      </c>
      <c r="T1553">
        <f t="shared" si="151"/>
        <v>1552</v>
      </c>
      <c r="U1553">
        <f t="shared" si="152"/>
        <v>0</v>
      </c>
      <c r="V1553" t="str">
        <f t="shared" si="149"/>
        <v xml:space="preserve"> </v>
      </c>
      <c r="Y1553" s="162" t="e">
        <f>VLOOKUP(B1553,Crewlist!AS:AU,3,FALSE)</f>
        <v>#N/A</v>
      </c>
      <c r="Z1553" s="163">
        <f t="shared" si="148"/>
        <v>0</v>
      </c>
    </row>
    <row r="1554" spans="2:26">
      <c r="B1554" s="171">
        <v>1553</v>
      </c>
      <c r="C1554" s="169"/>
      <c r="N1554" s="201">
        <v>0</v>
      </c>
      <c r="Q1554">
        <f t="shared" si="150"/>
        <v>0</v>
      </c>
      <c r="R1554">
        <f t="shared" si="147"/>
        <v>1552</v>
      </c>
      <c r="S1554">
        <f>IFERROR(SEARCH(Crewlist!$P$5,V1554)+ROW()/100000,"")</f>
        <v>1.0155400000000001</v>
      </c>
      <c r="T1554">
        <f t="shared" si="151"/>
        <v>1553</v>
      </c>
      <c r="U1554">
        <f t="shared" si="152"/>
        <v>0</v>
      </c>
      <c r="V1554" t="str">
        <f t="shared" si="149"/>
        <v xml:space="preserve"> </v>
      </c>
      <c r="Y1554" s="162" t="e">
        <f>VLOOKUP(B1554,Crewlist!AS:AU,3,FALSE)</f>
        <v>#N/A</v>
      </c>
      <c r="Z1554" s="163">
        <f t="shared" si="148"/>
        <v>0</v>
      </c>
    </row>
    <row r="1555" spans="2:26">
      <c r="B1555" s="171">
        <v>1554</v>
      </c>
      <c r="C1555" s="169"/>
      <c r="N1555" s="201">
        <v>0</v>
      </c>
      <c r="Q1555">
        <f t="shared" si="150"/>
        <v>0</v>
      </c>
      <c r="R1555">
        <f t="shared" si="147"/>
        <v>1553</v>
      </c>
      <c r="S1555">
        <f>IFERROR(SEARCH(Crewlist!$P$5,V1555)+ROW()/100000,"")</f>
        <v>1.01555</v>
      </c>
      <c r="T1555">
        <f t="shared" si="151"/>
        <v>1554</v>
      </c>
      <c r="U1555">
        <f t="shared" si="152"/>
        <v>0</v>
      </c>
      <c r="V1555" t="str">
        <f t="shared" si="149"/>
        <v xml:space="preserve"> </v>
      </c>
      <c r="Y1555" s="162" t="e">
        <f>VLOOKUP(B1555,Crewlist!AS:AU,3,FALSE)</f>
        <v>#N/A</v>
      </c>
      <c r="Z1555" s="163">
        <f t="shared" si="148"/>
        <v>0</v>
      </c>
    </row>
    <row r="1556" spans="2:26">
      <c r="B1556" s="202">
        <v>1555</v>
      </c>
      <c r="C1556" s="169"/>
      <c r="N1556" s="201">
        <v>0</v>
      </c>
      <c r="Q1556">
        <f t="shared" si="150"/>
        <v>0</v>
      </c>
      <c r="R1556">
        <f t="shared" si="147"/>
        <v>1554</v>
      </c>
      <c r="S1556">
        <f>IFERROR(SEARCH(Crewlist!$P$5,V1556)+ROW()/100000,"")</f>
        <v>1.01556</v>
      </c>
      <c r="T1556">
        <f t="shared" si="151"/>
        <v>1555</v>
      </c>
      <c r="U1556">
        <f t="shared" si="152"/>
        <v>0</v>
      </c>
      <c r="V1556" t="str">
        <f t="shared" si="149"/>
        <v xml:space="preserve"> </v>
      </c>
      <c r="Y1556" s="162" t="e">
        <f>VLOOKUP(B1556,Crewlist!AS:AU,3,FALSE)</f>
        <v>#N/A</v>
      </c>
      <c r="Z1556" s="163">
        <f t="shared" si="148"/>
        <v>0</v>
      </c>
    </row>
    <row r="1557" spans="2:26">
      <c r="B1557" s="171">
        <v>1556</v>
      </c>
      <c r="C1557" s="169"/>
      <c r="N1557" s="201">
        <v>0</v>
      </c>
      <c r="Q1557">
        <f t="shared" si="150"/>
        <v>0</v>
      </c>
      <c r="R1557">
        <f t="shared" si="147"/>
        <v>1555</v>
      </c>
      <c r="S1557">
        <f>IFERROR(SEARCH(Crewlist!$P$5,V1557)+ROW()/100000,"")</f>
        <v>1.0155700000000001</v>
      </c>
      <c r="T1557">
        <f t="shared" si="151"/>
        <v>1556</v>
      </c>
      <c r="U1557">
        <f t="shared" si="152"/>
        <v>0</v>
      </c>
      <c r="V1557" t="str">
        <f t="shared" si="149"/>
        <v xml:space="preserve"> </v>
      </c>
      <c r="Y1557" s="162" t="e">
        <f>VLOOKUP(B1557,Crewlist!AS:AU,3,FALSE)</f>
        <v>#N/A</v>
      </c>
      <c r="Z1557" s="163">
        <f t="shared" si="148"/>
        <v>0</v>
      </c>
    </row>
    <row r="1558" spans="2:26">
      <c r="B1558" s="171">
        <v>1557</v>
      </c>
      <c r="C1558" s="169"/>
      <c r="N1558" s="201">
        <v>0</v>
      </c>
      <c r="Q1558">
        <f t="shared" si="150"/>
        <v>0</v>
      </c>
      <c r="R1558">
        <f t="shared" si="147"/>
        <v>1556</v>
      </c>
      <c r="S1558">
        <f>IFERROR(SEARCH(Crewlist!$P$5,V1558)+ROW()/100000,"")</f>
        <v>1.0155799999999999</v>
      </c>
      <c r="T1558">
        <f t="shared" si="151"/>
        <v>1557</v>
      </c>
      <c r="U1558">
        <f t="shared" si="152"/>
        <v>0</v>
      </c>
      <c r="V1558" t="str">
        <f t="shared" si="149"/>
        <v xml:space="preserve"> </v>
      </c>
      <c r="Y1558" s="162" t="e">
        <f>VLOOKUP(B1558,Crewlist!AS:AU,3,FALSE)</f>
        <v>#N/A</v>
      </c>
      <c r="Z1558" s="163">
        <f t="shared" si="148"/>
        <v>0</v>
      </c>
    </row>
    <row r="1559" spans="2:26">
      <c r="B1559" s="202">
        <v>1558</v>
      </c>
      <c r="C1559" s="169"/>
      <c r="N1559" s="201">
        <v>0</v>
      </c>
      <c r="Q1559">
        <f t="shared" si="150"/>
        <v>0</v>
      </c>
      <c r="R1559">
        <f t="shared" si="147"/>
        <v>1557</v>
      </c>
      <c r="S1559">
        <f>IFERROR(SEARCH(Crewlist!$P$5,V1559)+ROW()/100000,"")</f>
        <v>1.01559</v>
      </c>
      <c r="T1559">
        <f t="shared" si="151"/>
        <v>1558</v>
      </c>
      <c r="U1559">
        <f t="shared" si="152"/>
        <v>0</v>
      </c>
      <c r="V1559" t="str">
        <f t="shared" si="149"/>
        <v xml:space="preserve"> </v>
      </c>
      <c r="Y1559" s="162" t="e">
        <f>VLOOKUP(B1559,Crewlist!AS:AU,3,FALSE)</f>
        <v>#N/A</v>
      </c>
      <c r="Z1559" s="163">
        <f t="shared" si="148"/>
        <v>0</v>
      </c>
    </row>
    <row r="1560" spans="2:26">
      <c r="B1560" s="171">
        <v>1559</v>
      </c>
      <c r="C1560" s="169"/>
      <c r="N1560" s="201">
        <v>0</v>
      </c>
      <c r="Q1560">
        <f t="shared" si="150"/>
        <v>0</v>
      </c>
      <c r="R1560">
        <f t="shared" si="147"/>
        <v>1558</v>
      </c>
      <c r="S1560">
        <f>IFERROR(SEARCH(Crewlist!$P$5,V1560)+ROW()/100000,"")</f>
        <v>1.0156000000000001</v>
      </c>
      <c r="T1560">
        <f t="shared" si="151"/>
        <v>1559</v>
      </c>
      <c r="U1560">
        <f t="shared" si="152"/>
        <v>0</v>
      </c>
      <c r="V1560" t="str">
        <f t="shared" si="149"/>
        <v xml:space="preserve"> </v>
      </c>
      <c r="Y1560" s="162" t="e">
        <f>VLOOKUP(B1560,Crewlist!AS:AU,3,FALSE)</f>
        <v>#N/A</v>
      </c>
      <c r="Z1560" s="163">
        <f t="shared" si="148"/>
        <v>0</v>
      </c>
    </row>
    <row r="1561" spans="2:26">
      <c r="B1561" s="171">
        <v>1560</v>
      </c>
      <c r="C1561" s="169"/>
      <c r="N1561" s="201">
        <v>0</v>
      </c>
      <c r="Q1561">
        <f t="shared" si="150"/>
        <v>0</v>
      </c>
      <c r="R1561">
        <f t="shared" si="147"/>
        <v>1559</v>
      </c>
      <c r="S1561">
        <f>IFERROR(SEARCH(Crewlist!$P$5,V1561)+ROW()/100000,"")</f>
        <v>1.0156099999999999</v>
      </c>
      <c r="T1561">
        <f t="shared" si="151"/>
        <v>1560</v>
      </c>
      <c r="U1561">
        <f t="shared" si="152"/>
        <v>0</v>
      </c>
      <c r="V1561" t="str">
        <f t="shared" si="149"/>
        <v xml:space="preserve"> </v>
      </c>
      <c r="Y1561" s="162" t="e">
        <f>VLOOKUP(B1561,Crewlist!AS:AU,3,FALSE)</f>
        <v>#N/A</v>
      </c>
      <c r="Z1561" s="163">
        <f t="shared" si="148"/>
        <v>0</v>
      </c>
    </row>
    <row r="1562" spans="2:26">
      <c r="B1562" s="202">
        <v>1561</v>
      </c>
      <c r="C1562" s="169"/>
      <c r="N1562" s="201">
        <v>0</v>
      </c>
      <c r="Q1562">
        <f t="shared" si="150"/>
        <v>0</v>
      </c>
      <c r="R1562">
        <f t="shared" si="147"/>
        <v>1560</v>
      </c>
      <c r="S1562">
        <f>IFERROR(SEARCH(Crewlist!$P$5,V1562)+ROW()/100000,"")</f>
        <v>1.01562</v>
      </c>
      <c r="T1562">
        <f t="shared" si="151"/>
        <v>1561</v>
      </c>
      <c r="U1562">
        <f t="shared" si="152"/>
        <v>0</v>
      </c>
      <c r="V1562" t="str">
        <f t="shared" si="149"/>
        <v xml:space="preserve"> </v>
      </c>
      <c r="Y1562" s="162" t="e">
        <f>VLOOKUP(B1562,Crewlist!AS:AU,3,FALSE)</f>
        <v>#N/A</v>
      </c>
      <c r="Z1562" s="163">
        <f t="shared" si="148"/>
        <v>0</v>
      </c>
    </row>
    <row r="1563" spans="2:26">
      <c r="B1563" s="171">
        <v>1562</v>
      </c>
      <c r="C1563" s="169"/>
      <c r="N1563" s="201">
        <v>0</v>
      </c>
      <c r="Q1563">
        <f t="shared" si="150"/>
        <v>0</v>
      </c>
      <c r="R1563">
        <f t="shared" si="147"/>
        <v>1561</v>
      </c>
      <c r="S1563">
        <f>IFERROR(SEARCH(Crewlist!$P$5,V1563)+ROW()/100000,"")</f>
        <v>1.01563</v>
      </c>
      <c r="T1563">
        <f t="shared" si="151"/>
        <v>1562</v>
      </c>
      <c r="U1563">
        <f t="shared" si="152"/>
        <v>0</v>
      </c>
      <c r="V1563" t="str">
        <f t="shared" si="149"/>
        <v xml:space="preserve"> </v>
      </c>
      <c r="Y1563" s="162" t="e">
        <f>VLOOKUP(B1563,Crewlist!AS:AU,3,FALSE)</f>
        <v>#N/A</v>
      </c>
      <c r="Z1563" s="163">
        <f t="shared" si="148"/>
        <v>0</v>
      </c>
    </row>
    <row r="1564" spans="2:26">
      <c r="B1564" s="171">
        <v>1563</v>
      </c>
      <c r="C1564" s="169"/>
      <c r="N1564" s="201">
        <v>0</v>
      </c>
      <c r="Q1564">
        <f t="shared" si="150"/>
        <v>0</v>
      </c>
      <c r="R1564">
        <f t="shared" si="147"/>
        <v>1562</v>
      </c>
      <c r="S1564">
        <f>IFERROR(SEARCH(Crewlist!$P$5,V1564)+ROW()/100000,"")</f>
        <v>1.0156400000000001</v>
      </c>
      <c r="T1564">
        <f t="shared" si="151"/>
        <v>1563</v>
      </c>
      <c r="U1564">
        <f t="shared" si="152"/>
        <v>0</v>
      </c>
      <c r="V1564" t="str">
        <f t="shared" si="149"/>
        <v xml:space="preserve"> </v>
      </c>
      <c r="Y1564" s="162" t="e">
        <f>VLOOKUP(B1564,Crewlist!AS:AU,3,FALSE)</f>
        <v>#N/A</v>
      </c>
      <c r="Z1564" s="163">
        <f t="shared" si="148"/>
        <v>0</v>
      </c>
    </row>
    <row r="1565" spans="2:26">
      <c r="B1565" s="202">
        <v>1564</v>
      </c>
      <c r="C1565" s="169"/>
      <c r="N1565" s="201">
        <v>0</v>
      </c>
      <c r="Q1565">
        <f t="shared" si="150"/>
        <v>0</v>
      </c>
      <c r="R1565">
        <f t="shared" si="147"/>
        <v>1563</v>
      </c>
      <c r="S1565">
        <f>IFERROR(SEARCH(Crewlist!$P$5,V1565)+ROW()/100000,"")</f>
        <v>1.0156499999999999</v>
      </c>
      <c r="T1565">
        <f t="shared" si="151"/>
        <v>1564</v>
      </c>
      <c r="U1565">
        <f t="shared" si="152"/>
        <v>0</v>
      </c>
      <c r="V1565" t="str">
        <f t="shared" si="149"/>
        <v xml:space="preserve"> </v>
      </c>
      <c r="Y1565" s="162" t="e">
        <f>VLOOKUP(B1565,Crewlist!AS:AU,3,FALSE)</f>
        <v>#N/A</v>
      </c>
      <c r="Z1565" s="163">
        <f t="shared" si="148"/>
        <v>0</v>
      </c>
    </row>
    <row r="1566" spans="2:26">
      <c r="B1566" s="171">
        <v>1565</v>
      </c>
      <c r="C1566" s="169"/>
      <c r="N1566" s="201">
        <v>0</v>
      </c>
      <c r="Q1566">
        <f t="shared" si="150"/>
        <v>0</v>
      </c>
      <c r="R1566">
        <f t="shared" si="147"/>
        <v>1564</v>
      </c>
      <c r="S1566">
        <f>IFERROR(SEARCH(Crewlist!$P$5,V1566)+ROW()/100000,"")</f>
        <v>1.01566</v>
      </c>
      <c r="T1566">
        <f t="shared" si="151"/>
        <v>1565</v>
      </c>
      <c r="U1566">
        <f t="shared" si="152"/>
        <v>0</v>
      </c>
      <c r="V1566" t="str">
        <f t="shared" si="149"/>
        <v xml:space="preserve"> </v>
      </c>
      <c r="Y1566" s="162" t="e">
        <f>VLOOKUP(B1566,Crewlist!AS:AU,3,FALSE)</f>
        <v>#N/A</v>
      </c>
      <c r="Z1566" s="163">
        <f t="shared" si="148"/>
        <v>0</v>
      </c>
    </row>
    <row r="1567" spans="2:26">
      <c r="B1567" s="171">
        <v>1566</v>
      </c>
      <c r="C1567" s="169"/>
      <c r="N1567" s="201">
        <v>0</v>
      </c>
      <c r="Q1567">
        <f t="shared" si="150"/>
        <v>0</v>
      </c>
      <c r="R1567">
        <f t="shared" si="147"/>
        <v>1565</v>
      </c>
      <c r="S1567">
        <f>IFERROR(SEARCH(Crewlist!$P$5,V1567)+ROW()/100000,"")</f>
        <v>1.0156700000000001</v>
      </c>
      <c r="T1567">
        <f t="shared" si="151"/>
        <v>1566</v>
      </c>
      <c r="U1567">
        <f t="shared" si="152"/>
        <v>0</v>
      </c>
      <c r="V1567" t="str">
        <f t="shared" si="149"/>
        <v xml:space="preserve"> </v>
      </c>
      <c r="Y1567" s="162" t="e">
        <f>VLOOKUP(B1567,Crewlist!AS:AU,3,FALSE)</f>
        <v>#N/A</v>
      </c>
      <c r="Z1567" s="163">
        <f t="shared" si="148"/>
        <v>0</v>
      </c>
    </row>
    <row r="1568" spans="2:26">
      <c r="B1568" s="202">
        <v>1567</v>
      </c>
      <c r="C1568" s="169"/>
      <c r="N1568" s="201">
        <v>0</v>
      </c>
      <c r="Q1568">
        <f t="shared" si="150"/>
        <v>0</v>
      </c>
      <c r="R1568">
        <f t="shared" si="147"/>
        <v>1566</v>
      </c>
      <c r="S1568">
        <f>IFERROR(SEARCH(Crewlist!$P$5,V1568)+ROW()/100000,"")</f>
        <v>1.0156799999999999</v>
      </c>
      <c r="T1568">
        <f t="shared" si="151"/>
        <v>1567</v>
      </c>
      <c r="U1568">
        <f t="shared" si="152"/>
        <v>0</v>
      </c>
      <c r="V1568" t="str">
        <f t="shared" si="149"/>
        <v xml:space="preserve"> </v>
      </c>
      <c r="Y1568" s="162" t="e">
        <f>VLOOKUP(B1568,Crewlist!AS:AU,3,FALSE)</f>
        <v>#N/A</v>
      </c>
      <c r="Z1568" s="163">
        <f t="shared" si="148"/>
        <v>0</v>
      </c>
    </row>
    <row r="1569" spans="2:26">
      <c r="B1569" s="171">
        <v>1568</v>
      </c>
      <c r="C1569" s="169"/>
      <c r="N1569" s="201">
        <v>0</v>
      </c>
      <c r="Q1569">
        <f t="shared" si="150"/>
        <v>0</v>
      </c>
      <c r="R1569">
        <f t="shared" si="147"/>
        <v>1567</v>
      </c>
      <c r="S1569">
        <f>IFERROR(SEARCH(Crewlist!$P$5,V1569)+ROW()/100000,"")</f>
        <v>1.01569</v>
      </c>
      <c r="T1569">
        <f t="shared" si="151"/>
        <v>1568</v>
      </c>
      <c r="U1569">
        <f t="shared" si="152"/>
        <v>0</v>
      </c>
      <c r="V1569" t="str">
        <f t="shared" si="149"/>
        <v xml:space="preserve"> </v>
      </c>
      <c r="Y1569" s="162" t="e">
        <f>VLOOKUP(B1569,Crewlist!AS:AU,3,FALSE)</f>
        <v>#N/A</v>
      </c>
      <c r="Z1569" s="163">
        <f t="shared" si="148"/>
        <v>0</v>
      </c>
    </row>
    <row r="1570" spans="2:26">
      <c r="B1570" s="171">
        <v>1569</v>
      </c>
      <c r="C1570" s="169"/>
      <c r="N1570" s="201">
        <v>0</v>
      </c>
      <c r="Q1570">
        <f t="shared" si="150"/>
        <v>0</v>
      </c>
      <c r="R1570">
        <f t="shared" si="147"/>
        <v>1568</v>
      </c>
      <c r="S1570">
        <f>IFERROR(SEARCH(Crewlist!$P$5,V1570)+ROW()/100000,"")</f>
        <v>1.0157</v>
      </c>
      <c r="T1570">
        <f t="shared" si="151"/>
        <v>1569</v>
      </c>
      <c r="U1570">
        <f t="shared" si="152"/>
        <v>0</v>
      </c>
      <c r="V1570" t="str">
        <f t="shared" si="149"/>
        <v xml:space="preserve"> </v>
      </c>
      <c r="Y1570" s="162" t="e">
        <f>VLOOKUP(B1570,Crewlist!AS:AU,3,FALSE)</f>
        <v>#N/A</v>
      </c>
      <c r="Z1570" s="163">
        <f t="shared" si="148"/>
        <v>0</v>
      </c>
    </row>
    <row r="1571" spans="2:26">
      <c r="B1571" s="202">
        <v>1570</v>
      </c>
      <c r="C1571" s="169"/>
      <c r="N1571" s="201">
        <v>0</v>
      </c>
      <c r="Q1571">
        <f t="shared" si="150"/>
        <v>0</v>
      </c>
      <c r="R1571">
        <f t="shared" si="147"/>
        <v>1569</v>
      </c>
      <c r="S1571">
        <f>IFERROR(SEARCH(Crewlist!$P$5,V1571)+ROW()/100000,"")</f>
        <v>1.0157099999999999</v>
      </c>
      <c r="T1571">
        <f t="shared" si="151"/>
        <v>1570</v>
      </c>
      <c r="U1571">
        <f t="shared" si="152"/>
        <v>0</v>
      </c>
      <c r="V1571" t="str">
        <f t="shared" si="149"/>
        <v xml:space="preserve"> </v>
      </c>
      <c r="Y1571" s="162" t="e">
        <f>VLOOKUP(B1571,Crewlist!AS:AU,3,FALSE)</f>
        <v>#N/A</v>
      </c>
      <c r="Z1571" s="163">
        <f t="shared" si="148"/>
        <v>0</v>
      </c>
    </row>
    <row r="1572" spans="2:26">
      <c r="B1572" s="171">
        <v>1571</v>
      </c>
      <c r="C1572" s="169"/>
      <c r="N1572" s="201">
        <v>0</v>
      </c>
      <c r="Q1572">
        <f t="shared" si="150"/>
        <v>0</v>
      </c>
      <c r="R1572">
        <f t="shared" si="147"/>
        <v>1570</v>
      </c>
      <c r="S1572">
        <f>IFERROR(SEARCH(Crewlist!$P$5,V1572)+ROW()/100000,"")</f>
        <v>1.01572</v>
      </c>
      <c r="T1572">
        <f t="shared" si="151"/>
        <v>1571</v>
      </c>
      <c r="U1572">
        <f t="shared" si="152"/>
        <v>0</v>
      </c>
      <c r="V1572" t="str">
        <f t="shared" si="149"/>
        <v xml:space="preserve"> </v>
      </c>
      <c r="Y1572" s="162" t="e">
        <f>VLOOKUP(B1572,Crewlist!AS:AU,3,FALSE)</f>
        <v>#N/A</v>
      </c>
      <c r="Z1572" s="163">
        <f t="shared" si="148"/>
        <v>0</v>
      </c>
    </row>
    <row r="1573" spans="2:26">
      <c r="B1573" s="171">
        <v>1572</v>
      </c>
      <c r="C1573" s="169"/>
      <c r="N1573" s="201">
        <v>0</v>
      </c>
      <c r="Q1573">
        <f t="shared" si="150"/>
        <v>0</v>
      </c>
      <c r="R1573">
        <f t="shared" si="147"/>
        <v>1571</v>
      </c>
      <c r="S1573">
        <f>IFERROR(SEARCH(Crewlist!$P$5,V1573)+ROW()/100000,"")</f>
        <v>1.01573</v>
      </c>
      <c r="T1573">
        <f t="shared" si="151"/>
        <v>1572</v>
      </c>
      <c r="U1573">
        <f t="shared" si="152"/>
        <v>0</v>
      </c>
      <c r="V1573" t="str">
        <f t="shared" si="149"/>
        <v xml:space="preserve"> </v>
      </c>
      <c r="Y1573" s="162" t="e">
        <f>VLOOKUP(B1573,Crewlist!AS:AU,3,FALSE)</f>
        <v>#N/A</v>
      </c>
      <c r="Z1573" s="163">
        <f t="shared" si="148"/>
        <v>0</v>
      </c>
    </row>
    <row r="1574" spans="2:26">
      <c r="B1574" s="202">
        <v>1573</v>
      </c>
      <c r="C1574" s="169"/>
      <c r="N1574" s="201">
        <v>0</v>
      </c>
      <c r="Q1574">
        <f t="shared" si="150"/>
        <v>0</v>
      </c>
      <c r="R1574">
        <f t="shared" si="147"/>
        <v>1572</v>
      </c>
      <c r="S1574">
        <f>IFERROR(SEARCH(Crewlist!$P$5,V1574)+ROW()/100000,"")</f>
        <v>1.0157400000000001</v>
      </c>
      <c r="T1574">
        <f t="shared" si="151"/>
        <v>1573</v>
      </c>
      <c r="U1574">
        <f t="shared" si="152"/>
        <v>0</v>
      </c>
      <c r="V1574" t="str">
        <f t="shared" si="149"/>
        <v xml:space="preserve"> </v>
      </c>
      <c r="Y1574" s="162" t="e">
        <f>VLOOKUP(B1574,Crewlist!AS:AU,3,FALSE)</f>
        <v>#N/A</v>
      </c>
      <c r="Z1574" s="163">
        <f t="shared" si="148"/>
        <v>0</v>
      </c>
    </row>
    <row r="1575" spans="2:26">
      <c r="B1575" s="171">
        <v>1574</v>
      </c>
      <c r="C1575" s="169"/>
      <c r="N1575" s="201">
        <v>0</v>
      </c>
      <c r="Q1575">
        <f t="shared" si="150"/>
        <v>0</v>
      </c>
      <c r="R1575">
        <f t="shared" si="147"/>
        <v>1573</v>
      </c>
      <c r="S1575">
        <f>IFERROR(SEARCH(Crewlist!$P$5,V1575)+ROW()/100000,"")</f>
        <v>1.0157499999999999</v>
      </c>
      <c r="T1575">
        <f t="shared" si="151"/>
        <v>1574</v>
      </c>
      <c r="U1575">
        <f t="shared" si="152"/>
        <v>0</v>
      </c>
      <c r="V1575" t="str">
        <f t="shared" si="149"/>
        <v xml:space="preserve"> </v>
      </c>
      <c r="Y1575" s="162" t="e">
        <f>VLOOKUP(B1575,Crewlist!AS:AU,3,FALSE)</f>
        <v>#N/A</v>
      </c>
      <c r="Z1575" s="163">
        <f t="shared" si="148"/>
        <v>0</v>
      </c>
    </row>
    <row r="1576" spans="2:26">
      <c r="B1576" s="171">
        <v>1575</v>
      </c>
      <c r="C1576" s="169"/>
      <c r="N1576" s="201">
        <v>0</v>
      </c>
      <c r="Q1576">
        <f t="shared" si="150"/>
        <v>0</v>
      </c>
      <c r="R1576">
        <f t="shared" si="147"/>
        <v>1574</v>
      </c>
      <c r="S1576">
        <f>IFERROR(SEARCH(Crewlist!$P$5,V1576)+ROW()/100000,"")</f>
        <v>1.01576</v>
      </c>
      <c r="T1576">
        <f t="shared" si="151"/>
        <v>1575</v>
      </c>
      <c r="U1576">
        <f t="shared" si="152"/>
        <v>0</v>
      </c>
      <c r="V1576" t="str">
        <f t="shared" si="149"/>
        <v xml:space="preserve"> </v>
      </c>
      <c r="Y1576" s="162" t="e">
        <f>VLOOKUP(B1576,Crewlist!AS:AU,3,FALSE)</f>
        <v>#N/A</v>
      </c>
      <c r="Z1576" s="163">
        <f t="shared" si="148"/>
        <v>0</v>
      </c>
    </row>
    <row r="1577" spans="2:26">
      <c r="B1577" s="202">
        <v>1576</v>
      </c>
      <c r="C1577" s="169"/>
      <c r="N1577" s="201">
        <v>0</v>
      </c>
      <c r="Q1577">
        <f t="shared" si="150"/>
        <v>0</v>
      </c>
      <c r="R1577">
        <f t="shared" si="147"/>
        <v>1575</v>
      </c>
      <c r="S1577">
        <f>IFERROR(SEARCH(Crewlist!$P$5,V1577)+ROW()/100000,"")</f>
        <v>1.0157700000000001</v>
      </c>
      <c r="T1577">
        <f t="shared" si="151"/>
        <v>1576</v>
      </c>
      <c r="U1577">
        <f t="shared" si="152"/>
        <v>0</v>
      </c>
      <c r="V1577" t="str">
        <f t="shared" si="149"/>
        <v xml:space="preserve"> </v>
      </c>
      <c r="Y1577" s="162" t="e">
        <f>VLOOKUP(B1577,Crewlist!AS:AU,3,FALSE)</f>
        <v>#N/A</v>
      </c>
      <c r="Z1577" s="163">
        <f t="shared" si="148"/>
        <v>0</v>
      </c>
    </row>
    <row r="1578" spans="2:26">
      <c r="B1578" s="171">
        <v>1577</v>
      </c>
      <c r="C1578" s="169"/>
      <c r="N1578" s="201">
        <v>0</v>
      </c>
      <c r="Q1578">
        <f t="shared" si="150"/>
        <v>0</v>
      </c>
      <c r="R1578">
        <f t="shared" si="147"/>
        <v>1576</v>
      </c>
      <c r="S1578">
        <f>IFERROR(SEARCH(Crewlist!$P$5,V1578)+ROW()/100000,"")</f>
        <v>1.0157799999999999</v>
      </c>
      <c r="T1578">
        <f t="shared" si="151"/>
        <v>1577</v>
      </c>
      <c r="U1578">
        <f t="shared" si="152"/>
        <v>0</v>
      </c>
      <c r="V1578" t="str">
        <f t="shared" si="149"/>
        <v xml:space="preserve"> </v>
      </c>
      <c r="Y1578" s="162" t="e">
        <f>VLOOKUP(B1578,Crewlist!AS:AU,3,FALSE)</f>
        <v>#N/A</v>
      </c>
      <c r="Z1578" s="163">
        <f t="shared" si="148"/>
        <v>0</v>
      </c>
    </row>
    <row r="1579" spans="2:26">
      <c r="B1579" s="171">
        <v>1578</v>
      </c>
      <c r="C1579" s="169"/>
      <c r="N1579" s="201">
        <v>0</v>
      </c>
      <c r="Q1579">
        <f t="shared" si="150"/>
        <v>0</v>
      </c>
      <c r="R1579">
        <f t="shared" si="147"/>
        <v>1577</v>
      </c>
      <c r="S1579">
        <f>IFERROR(SEARCH(Crewlist!$P$5,V1579)+ROW()/100000,"")</f>
        <v>1.01579</v>
      </c>
      <c r="T1579">
        <f t="shared" si="151"/>
        <v>1578</v>
      </c>
      <c r="U1579">
        <f t="shared" si="152"/>
        <v>0</v>
      </c>
      <c r="V1579" t="str">
        <f t="shared" si="149"/>
        <v xml:space="preserve"> </v>
      </c>
      <c r="Y1579" s="162" t="e">
        <f>VLOOKUP(B1579,Crewlist!AS:AU,3,FALSE)</f>
        <v>#N/A</v>
      </c>
      <c r="Z1579" s="163">
        <f t="shared" si="148"/>
        <v>0</v>
      </c>
    </row>
    <row r="1580" spans="2:26">
      <c r="B1580" s="202">
        <v>1579</v>
      </c>
      <c r="C1580" s="169"/>
      <c r="N1580" s="201">
        <v>0</v>
      </c>
      <c r="Q1580">
        <f t="shared" si="150"/>
        <v>0</v>
      </c>
      <c r="R1580">
        <f t="shared" si="147"/>
        <v>1578</v>
      </c>
      <c r="S1580">
        <f>IFERROR(SEARCH(Crewlist!$P$5,V1580)+ROW()/100000,"")</f>
        <v>1.0158</v>
      </c>
      <c r="T1580">
        <f t="shared" si="151"/>
        <v>1579</v>
      </c>
      <c r="U1580">
        <f t="shared" si="152"/>
        <v>0</v>
      </c>
      <c r="V1580" t="str">
        <f t="shared" si="149"/>
        <v xml:space="preserve"> </v>
      </c>
      <c r="Y1580" s="162" t="e">
        <f>VLOOKUP(B1580,Crewlist!AS:AU,3,FALSE)</f>
        <v>#N/A</v>
      </c>
      <c r="Z1580" s="163">
        <f t="shared" si="148"/>
        <v>0</v>
      </c>
    </row>
    <row r="1581" spans="2:26">
      <c r="B1581" s="171">
        <v>1580</v>
      </c>
      <c r="C1581" s="169"/>
      <c r="N1581" s="201">
        <v>0</v>
      </c>
      <c r="Q1581">
        <f t="shared" si="150"/>
        <v>0</v>
      </c>
      <c r="R1581">
        <f t="shared" si="147"/>
        <v>1579</v>
      </c>
      <c r="S1581">
        <f>IFERROR(SEARCH(Crewlist!$P$5,V1581)+ROW()/100000,"")</f>
        <v>1.0158100000000001</v>
      </c>
      <c r="T1581">
        <f t="shared" si="151"/>
        <v>1580</v>
      </c>
      <c r="U1581">
        <f t="shared" si="152"/>
        <v>0</v>
      </c>
      <c r="V1581" t="str">
        <f t="shared" si="149"/>
        <v xml:space="preserve"> </v>
      </c>
      <c r="Y1581" s="162" t="e">
        <f>VLOOKUP(B1581,Crewlist!AS:AU,3,FALSE)</f>
        <v>#N/A</v>
      </c>
      <c r="Z1581" s="163">
        <f t="shared" si="148"/>
        <v>0</v>
      </c>
    </row>
    <row r="1582" spans="2:26">
      <c r="B1582" s="171">
        <v>1581</v>
      </c>
      <c r="C1582" s="169"/>
      <c r="N1582" s="201">
        <v>0</v>
      </c>
      <c r="Q1582">
        <f t="shared" si="150"/>
        <v>0</v>
      </c>
      <c r="R1582">
        <f t="shared" si="147"/>
        <v>1580</v>
      </c>
      <c r="S1582">
        <f>IFERROR(SEARCH(Crewlist!$P$5,V1582)+ROW()/100000,"")</f>
        <v>1.0158199999999999</v>
      </c>
      <c r="T1582">
        <f t="shared" si="151"/>
        <v>1581</v>
      </c>
      <c r="U1582">
        <f t="shared" si="152"/>
        <v>0</v>
      </c>
      <c r="V1582" t="str">
        <f t="shared" si="149"/>
        <v xml:space="preserve"> </v>
      </c>
      <c r="Y1582" s="162" t="e">
        <f>VLOOKUP(B1582,Crewlist!AS:AU,3,FALSE)</f>
        <v>#N/A</v>
      </c>
      <c r="Z1582" s="163">
        <f t="shared" si="148"/>
        <v>0</v>
      </c>
    </row>
    <row r="1583" spans="2:26">
      <c r="B1583" s="202">
        <v>1582</v>
      </c>
      <c r="C1583" s="169"/>
      <c r="N1583" s="201">
        <v>0</v>
      </c>
      <c r="Q1583">
        <f t="shared" si="150"/>
        <v>0</v>
      </c>
      <c r="R1583">
        <f t="shared" si="147"/>
        <v>1581</v>
      </c>
      <c r="S1583">
        <f>IFERROR(SEARCH(Crewlist!$P$5,V1583)+ROW()/100000,"")</f>
        <v>1.01583</v>
      </c>
      <c r="T1583">
        <f t="shared" si="151"/>
        <v>1582</v>
      </c>
      <c r="U1583">
        <f t="shared" si="152"/>
        <v>0</v>
      </c>
      <c r="V1583" t="str">
        <f t="shared" si="149"/>
        <v xml:space="preserve"> </v>
      </c>
      <c r="Y1583" s="162" t="e">
        <f>VLOOKUP(B1583,Crewlist!AS:AU,3,FALSE)</f>
        <v>#N/A</v>
      </c>
      <c r="Z1583" s="163">
        <f t="shared" si="148"/>
        <v>0</v>
      </c>
    </row>
    <row r="1584" spans="2:26">
      <c r="B1584" s="171">
        <v>1583</v>
      </c>
      <c r="C1584" s="169"/>
      <c r="N1584" s="201">
        <v>0</v>
      </c>
      <c r="Q1584">
        <f t="shared" si="150"/>
        <v>0</v>
      </c>
      <c r="R1584">
        <f t="shared" si="147"/>
        <v>1582</v>
      </c>
      <c r="S1584">
        <f>IFERROR(SEARCH(Crewlist!$P$5,V1584)+ROW()/100000,"")</f>
        <v>1.0158400000000001</v>
      </c>
      <c r="T1584">
        <f t="shared" si="151"/>
        <v>1583</v>
      </c>
      <c r="U1584">
        <f t="shared" si="152"/>
        <v>0</v>
      </c>
      <c r="V1584" t="str">
        <f t="shared" si="149"/>
        <v xml:space="preserve"> </v>
      </c>
      <c r="Y1584" s="162" t="e">
        <f>VLOOKUP(B1584,Crewlist!AS:AU,3,FALSE)</f>
        <v>#N/A</v>
      </c>
      <c r="Z1584" s="163">
        <f t="shared" si="148"/>
        <v>0</v>
      </c>
    </row>
    <row r="1585" spans="2:26">
      <c r="B1585" s="176"/>
      <c r="H1585" s="173"/>
      <c r="I1585" s="174"/>
      <c r="J1585" s="174"/>
      <c r="Q1585">
        <f t="shared" si="150"/>
        <v>0</v>
      </c>
      <c r="R1585" t="str">
        <f t="shared" si="147"/>
        <v/>
      </c>
      <c r="S1585" t="str">
        <f>IFERROR(SEARCH(Crewlist!$P$5,V1585)+ROW()/100000,"")</f>
        <v/>
      </c>
      <c r="T1585">
        <f t="shared" si="151"/>
        <v>0</v>
      </c>
      <c r="U1585">
        <f t="shared" si="152"/>
        <v>0</v>
      </c>
      <c r="Y1585" s="162"/>
      <c r="Z1585" s="163"/>
    </row>
    <row r="1586" spans="2:26">
      <c r="B1586" s="187"/>
      <c r="C1586" s="186"/>
      <c r="D1586" s="186"/>
      <c r="E1586" s="186"/>
      <c r="F1586" s="187"/>
      <c r="G1586" s="188"/>
      <c r="H1586" s="186"/>
      <c r="I1586" s="187"/>
      <c r="J1586" s="187"/>
      <c r="K1586" s="189"/>
      <c r="L1586" s="189"/>
      <c r="M1586" s="190"/>
      <c r="Q1586">
        <f t="shared" si="150"/>
        <v>0</v>
      </c>
      <c r="R1586" t="str">
        <f t="shared" si="147"/>
        <v/>
      </c>
      <c r="S1586" t="str">
        <f>IFERROR(SEARCH(Crewlist!$P$5,V1586)+ROW()/100000,"")</f>
        <v/>
      </c>
      <c r="T1586">
        <f t="shared" si="151"/>
        <v>0</v>
      </c>
      <c r="U1586">
        <f t="shared" si="152"/>
        <v>0</v>
      </c>
      <c r="Y1586" s="162"/>
      <c r="Z1586" s="163"/>
    </row>
    <row r="1587" spans="2:26">
      <c r="Q1587">
        <f t="shared" si="150"/>
        <v>0</v>
      </c>
      <c r="R1587">
        <f t="shared" si="147"/>
        <v>1583</v>
      </c>
      <c r="S1587">
        <f>IFERROR(SEARCH(Crewlist!$P$5,V1587)+ROW()/100000,"")</f>
        <v>1.0158700000000001</v>
      </c>
      <c r="T1587">
        <f t="shared" si="151"/>
        <v>0</v>
      </c>
      <c r="U1587">
        <f t="shared" si="152"/>
        <v>0</v>
      </c>
      <c r="V1587" t="str">
        <f t="shared" si="149"/>
        <v xml:space="preserve"> </v>
      </c>
    </row>
    <row r="1588" spans="2:26">
      <c r="Q1588">
        <f t="shared" si="150"/>
        <v>0</v>
      </c>
      <c r="R1588">
        <f t="shared" si="147"/>
        <v>1584</v>
      </c>
      <c r="S1588">
        <f>IFERROR(SEARCH(Crewlist!$P$5,V1588)+ROW()/100000,"")</f>
        <v>1.0158799999999999</v>
      </c>
      <c r="T1588">
        <f t="shared" si="151"/>
        <v>0</v>
      </c>
      <c r="U1588">
        <f t="shared" si="152"/>
        <v>0</v>
      </c>
      <c r="V1588" t="str">
        <f t="shared" si="149"/>
        <v xml:space="preserve"> </v>
      </c>
    </row>
    <row r="1589" spans="2:26">
      <c r="Q1589">
        <f t="shared" si="150"/>
        <v>0</v>
      </c>
      <c r="R1589">
        <f t="shared" si="147"/>
        <v>1585</v>
      </c>
      <c r="S1589">
        <f>IFERROR(SEARCH(Crewlist!$P$5,V1589)+ROW()/100000,"")</f>
        <v>1.01589</v>
      </c>
      <c r="T1589">
        <f t="shared" si="151"/>
        <v>0</v>
      </c>
      <c r="U1589">
        <f t="shared" si="152"/>
        <v>0</v>
      </c>
      <c r="V1589" t="str">
        <f t="shared" si="149"/>
        <v xml:space="preserve"> </v>
      </c>
    </row>
    <row r="1590" spans="2:26">
      <c r="Q1590">
        <f t="shared" si="150"/>
        <v>0</v>
      </c>
      <c r="R1590">
        <f t="shared" si="147"/>
        <v>1586</v>
      </c>
      <c r="S1590">
        <f>IFERROR(SEARCH(Crewlist!$P$5,V1590)+ROW()/100000,"")</f>
        <v>1.0159</v>
      </c>
      <c r="T1590">
        <f t="shared" si="151"/>
        <v>0</v>
      </c>
      <c r="U1590">
        <f t="shared" si="152"/>
        <v>0</v>
      </c>
      <c r="V1590" t="str">
        <f t="shared" si="149"/>
        <v xml:space="preserve"> </v>
      </c>
    </row>
    <row r="1591" spans="2:26">
      <c r="Q1591">
        <f t="shared" si="150"/>
        <v>0</v>
      </c>
      <c r="R1591">
        <f t="shared" si="147"/>
        <v>1587</v>
      </c>
      <c r="S1591">
        <f>IFERROR(SEARCH(Crewlist!$P$5,V1591)+ROW()/100000,"")</f>
        <v>1.0159100000000001</v>
      </c>
      <c r="T1591">
        <f t="shared" si="151"/>
        <v>0</v>
      </c>
      <c r="U1591">
        <f t="shared" si="152"/>
        <v>0</v>
      </c>
      <c r="V1591" t="str">
        <f t="shared" si="149"/>
        <v xml:space="preserve"> </v>
      </c>
    </row>
    <row r="1592" spans="2:26">
      <c r="Q1592">
        <f t="shared" si="150"/>
        <v>0</v>
      </c>
      <c r="R1592">
        <f t="shared" si="147"/>
        <v>1588</v>
      </c>
      <c r="S1592">
        <f>IFERROR(SEARCH(Crewlist!$P$5,V1592)+ROW()/100000,"")</f>
        <v>1.0159199999999999</v>
      </c>
      <c r="T1592">
        <f t="shared" si="151"/>
        <v>0</v>
      </c>
      <c r="U1592">
        <f t="shared" si="152"/>
        <v>0</v>
      </c>
      <c r="V1592" t="str">
        <f t="shared" si="149"/>
        <v xml:space="preserve"> </v>
      </c>
    </row>
    <row r="1593" spans="2:26">
      <c r="Q1593">
        <f t="shared" si="150"/>
        <v>0</v>
      </c>
      <c r="R1593">
        <f t="shared" si="147"/>
        <v>1589</v>
      </c>
      <c r="S1593">
        <f>IFERROR(SEARCH(Crewlist!$P$5,V1593)+ROW()/100000,"")</f>
        <v>1.01593</v>
      </c>
      <c r="T1593">
        <f t="shared" si="151"/>
        <v>0</v>
      </c>
      <c r="U1593">
        <f t="shared" si="152"/>
        <v>0</v>
      </c>
      <c r="V1593" t="str">
        <f t="shared" si="149"/>
        <v xml:space="preserve"> </v>
      </c>
    </row>
    <row r="1594" spans="2:26">
      <c r="Q1594">
        <f t="shared" si="150"/>
        <v>0</v>
      </c>
      <c r="R1594">
        <f t="shared" si="147"/>
        <v>1590</v>
      </c>
      <c r="S1594">
        <f>IFERROR(SEARCH(Crewlist!$P$5,V1594)+ROW()/100000,"")</f>
        <v>1.0159400000000001</v>
      </c>
      <c r="T1594">
        <f t="shared" si="151"/>
        <v>0</v>
      </c>
      <c r="U1594">
        <f t="shared" si="152"/>
        <v>0</v>
      </c>
      <c r="V1594" t="str">
        <f t="shared" si="149"/>
        <v xml:space="preserve"> </v>
      </c>
    </row>
    <row r="1595" spans="2:26">
      <c r="Q1595">
        <f t="shared" si="150"/>
        <v>0</v>
      </c>
      <c r="R1595">
        <f t="shared" si="147"/>
        <v>1591</v>
      </c>
      <c r="S1595">
        <f>IFERROR(SEARCH(Crewlist!$P$5,V1595)+ROW()/100000,"")</f>
        <v>1.0159499999999999</v>
      </c>
      <c r="T1595">
        <f t="shared" si="151"/>
        <v>0</v>
      </c>
      <c r="U1595">
        <f t="shared" si="152"/>
        <v>0</v>
      </c>
      <c r="V1595" t="str">
        <f t="shared" si="149"/>
        <v xml:space="preserve"> </v>
      </c>
    </row>
    <row r="1596" spans="2:26">
      <c r="Q1596">
        <f t="shared" si="150"/>
        <v>0</v>
      </c>
      <c r="R1596">
        <f t="shared" si="147"/>
        <v>1592</v>
      </c>
      <c r="S1596">
        <f>IFERROR(SEARCH(Crewlist!$P$5,V1596)+ROW()/100000,"")</f>
        <v>1.01596</v>
      </c>
      <c r="T1596">
        <f t="shared" si="151"/>
        <v>0</v>
      </c>
      <c r="U1596">
        <f t="shared" si="152"/>
        <v>0</v>
      </c>
      <c r="V1596" t="str">
        <f t="shared" si="149"/>
        <v xml:space="preserve"> </v>
      </c>
    </row>
    <row r="1597" spans="2:26">
      <c r="Q1597">
        <f t="shared" si="150"/>
        <v>0</v>
      </c>
      <c r="R1597">
        <f t="shared" si="147"/>
        <v>1593</v>
      </c>
      <c r="S1597">
        <f>IFERROR(SEARCH(Crewlist!$P$5,V1597)+ROW()/100000,"")</f>
        <v>1.01597</v>
      </c>
      <c r="T1597">
        <f t="shared" si="151"/>
        <v>0</v>
      </c>
      <c r="U1597">
        <f t="shared" si="152"/>
        <v>0</v>
      </c>
      <c r="V1597" t="str">
        <f t="shared" si="149"/>
        <v xml:space="preserve"> </v>
      </c>
    </row>
    <row r="1598" spans="2:26">
      <c r="Q1598">
        <f t="shared" si="150"/>
        <v>0</v>
      </c>
      <c r="R1598">
        <f t="shared" si="147"/>
        <v>1594</v>
      </c>
      <c r="S1598">
        <f>IFERROR(SEARCH(Crewlist!$P$5,V1598)+ROW()/100000,"")</f>
        <v>1.0159800000000001</v>
      </c>
      <c r="T1598">
        <f t="shared" si="151"/>
        <v>0</v>
      </c>
      <c r="U1598">
        <f t="shared" si="152"/>
        <v>0</v>
      </c>
      <c r="V1598" t="str">
        <f t="shared" si="149"/>
        <v xml:space="preserve"> </v>
      </c>
    </row>
    <row r="1599" spans="2:26">
      <c r="Q1599">
        <f t="shared" si="150"/>
        <v>0</v>
      </c>
      <c r="R1599">
        <f t="shared" si="147"/>
        <v>1595</v>
      </c>
      <c r="S1599">
        <f>IFERROR(SEARCH(Crewlist!$P$5,V1599)+ROW()/100000,"")</f>
        <v>1.0159899999999999</v>
      </c>
      <c r="T1599">
        <f t="shared" si="151"/>
        <v>0</v>
      </c>
      <c r="U1599">
        <f t="shared" si="152"/>
        <v>0</v>
      </c>
      <c r="V1599" t="str">
        <f t="shared" si="149"/>
        <v xml:space="preserve"> </v>
      </c>
    </row>
    <row r="1600" spans="2:26">
      <c r="Q1600">
        <f t="shared" si="150"/>
        <v>0</v>
      </c>
      <c r="R1600">
        <f t="shared" si="147"/>
        <v>1596</v>
      </c>
      <c r="S1600">
        <f>IFERROR(SEARCH(Crewlist!$P$5,V1600)+ROW()/100000,"")</f>
        <v>1.016</v>
      </c>
      <c r="T1600">
        <f t="shared" si="151"/>
        <v>0</v>
      </c>
      <c r="U1600">
        <f t="shared" si="152"/>
        <v>0</v>
      </c>
      <c r="V1600" t="str">
        <f t="shared" si="149"/>
        <v xml:space="preserve"> </v>
      </c>
    </row>
    <row r="1601" spans="17:22">
      <c r="Q1601">
        <f t="shared" si="150"/>
        <v>0</v>
      </c>
      <c r="R1601">
        <f t="shared" si="147"/>
        <v>1597</v>
      </c>
      <c r="S1601">
        <f>IFERROR(SEARCH(Crewlist!$P$5,V1601)+ROW()/100000,"")</f>
        <v>1.0160100000000001</v>
      </c>
      <c r="T1601">
        <f t="shared" si="151"/>
        <v>0</v>
      </c>
      <c r="U1601">
        <f t="shared" si="152"/>
        <v>0</v>
      </c>
      <c r="V1601" t="str">
        <f t="shared" si="149"/>
        <v xml:space="preserve"> </v>
      </c>
    </row>
    <row r="1602" spans="17:22">
      <c r="Q1602">
        <f t="shared" si="150"/>
        <v>0</v>
      </c>
      <c r="R1602">
        <f t="shared" ref="R1602:R1665" si="153">IFERROR(RANK(S1602,$S$2:$S$1998,1),"")</f>
        <v>1598</v>
      </c>
      <c r="S1602">
        <f>IFERROR(SEARCH(Crewlist!$P$5,V1602)+ROW()/100000,"")</f>
        <v>1.0160199999999999</v>
      </c>
      <c r="T1602">
        <f t="shared" si="151"/>
        <v>0</v>
      </c>
      <c r="U1602">
        <f t="shared" si="152"/>
        <v>0</v>
      </c>
      <c r="V1602" t="str">
        <f t="shared" si="149"/>
        <v xml:space="preserve"> </v>
      </c>
    </row>
    <row r="1603" spans="17:22">
      <c r="Q1603">
        <f t="shared" si="150"/>
        <v>0</v>
      </c>
      <c r="R1603">
        <f t="shared" si="153"/>
        <v>1599</v>
      </c>
      <c r="S1603">
        <f>IFERROR(SEARCH(Crewlist!$P$5,V1603)+ROW()/100000,"")</f>
        <v>1.01603</v>
      </c>
      <c r="T1603">
        <f t="shared" si="151"/>
        <v>0</v>
      </c>
      <c r="U1603">
        <f t="shared" si="152"/>
        <v>0</v>
      </c>
      <c r="V1603" t="str">
        <f t="shared" ref="V1603:V1666" si="154">CONCATENATE(C1603," ",D1603)</f>
        <v xml:space="preserve"> </v>
      </c>
    </row>
    <row r="1604" spans="17:22">
      <c r="Q1604">
        <f t="shared" si="150"/>
        <v>0</v>
      </c>
      <c r="R1604">
        <f t="shared" si="153"/>
        <v>1600</v>
      </c>
      <c r="S1604">
        <f>IFERROR(SEARCH(Crewlist!$P$5,V1604)+ROW()/100000,"")</f>
        <v>1.0160400000000001</v>
      </c>
      <c r="T1604">
        <f t="shared" si="151"/>
        <v>0</v>
      </c>
      <c r="U1604">
        <f t="shared" si="152"/>
        <v>0</v>
      </c>
      <c r="V1604" t="str">
        <f t="shared" si="154"/>
        <v xml:space="preserve"> </v>
      </c>
    </row>
    <row r="1605" spans="17:22">
      <c r="Q1605">
        <f t="shared" si="150"/>
        <v>0</v>
      </c>
      <c r="R1605">
        <f t="shared" si="153"/>
        <v>1601</v>
      </c>
      <c r="S1605">
        <f>IFERROR(SEARCH(Crewlist!$P$5,V1605)+ROW()/100000,"")</f>
        <v>1.0160499999999999</v>
      </c>
      <c r="T1605">
        <f t="shared" si="151"/>
        <v>0</v>
      </c>
      <c r="U1605">
        <f t="shared" si="152"/>
        <v>0</v>
      </c>
      <c r="V1605" t="str">
        <f t="shared" si="154"/>
        <v xml:space="preserve"> </v>
      </c>
    </row>
    <row r="1606" spans="17:22">
      <c r="Q1606">
        <f t="shared" si="150"/>
        <v>0</v>
      </c>
      <c r="R1606">
        <f t="shared" si="153"/>
        <v>1602</v>
      </c>
      <c r="S1606">
        <f>IFERROR(SEARCH(Crewlist!$P$5,V1606)+ROW()/100000,"")</f>
        <v>1.01606</v>
      </c>
      <c r="T1606">
        <f t="shared" si="151"/>
        <v>0</v>
      </c>
      <c r="U1606">
        <f t="shared" si="152"/>
        <v>0</v>
      </c>
      <c r="V1606" t="str">
        <f t="shared" si="154"/>
        <v xml:space="preserve"> </v>
      </c>
    </row>
    <row r="1607" spans="17:22">
      <c r="Q1607">
        <f t="shared" si="150"/>
        <v>0</v>
      </c>
      <c r="R1607">
        <f t="shared" si="153"/>
        <v>1603</v>
      </c>
      <c r="S1607">
        <f>IFERROR(SEARCH(Crewlist!$P$5,V1607)+ROW()/100000,"")</f>
        <v>1.01607</v>
      </c>
      <c r="T1607">
        <f t="shared" si="151"/>
        <v>0</v>
      </c>
      <c r="U1607">
        <f t="shared" si="152"/>
        <v>0</v>
      </c>
      <c r="V1607" t="str">
        <f t="shared" si="154"/>
        <v xml:space="preserve"> </v>
      </c>
    </row>
    <row r="1608" spans="17:22">
      <c r="Q1608">
        <f t="shared" si="150"/>
        <v>0</v>
      </c>
      <c r="R1608">
        <f t="shared" si="153"/>
        <v>1604</v>
      </c>
      <c r="S1608">
        <f>IFERROR(SEARCH(Crewlist!$P$5,V1608)+ROW()/100000,"")</f>
        <v>1.0160800000000001</v>
      </c>
      <c r="T1608">
        <f t="shared" si="151"/>
        <v>0</v>
      </c>
      <c r="U1608">
        <f t="shared" si="152"/>
        <v>0</v>
      </c>
      <c r="V1608" t="str">
        <f t="shared" si="154"/>
        <v xml:space="preserve"> </v>
      </c>
    </row>
    <row r="1609" spans="17:22">
      <c r="Q1609">
        <f t="shared" ref="Q1609:Q1672" si="155">IF(C1609&lt;&gt; "",B1609,0)</f>
        <v>0</v>
      </c>
      <c r="R1609">
        <f t="shared" si="153"/>
        <v>1605</v>
      </c>
      <c r="S1609">
        <f>IFERROR(SEARCH(Crewlist!$P$5,V1609)+ROW()/100000,"")</f>
        <v>1.0160899999999999</v>
      </c>
      <c r="T1609">
        <f t="shared" ref="T1609:T1672" si="156">B1609</f>
        <v>0</v>
      </c>
      <c r="U1609">
        <f t="shared" ref="U1609:U1672" si="157">C1609</f>
        <v>0</v>
      </c>
      <c r="V1609" t="str">
        <f t="shared" si="154"/>
        <v xml:space="preserve"> </v>
      </c>
    </row>
    <row r="1610" spans="17:22">
      <c r="Q1610">
        <f t="shared" si="155"/>
        <v>0</v>
      </c>
      <c r="R1610">
        <f t="shared" si="153"/>
        <v>1606</v>
      </c>
      <c r="S1610">
        <f>IFERROR(SEARCH(Crewlist!$P$5,V1610)+ROW()/100000,"")</f>
        <v>1.0161</v>
      </c>
      <c r="T1610">
        <f t="shared" si="156"/>
        <v>0</v>
      </c>
      <c r="U1610">
        <f t="shared" si="157"/>
        <v>0</v>
      </c>
      <c r="V1610" t="str">
        <f t="shared" si="154"/>
        <v xml:space="preserve"> </v>
      </c>
    </row>
    <row r="1611" spans="17:22">
      <c r="Q1611">
        <f t="shared" si="155"/>
        <v>0</v>
      </c>
      <c r="R1611">
        <f t="shared" si="153"/>
        <v>1607</v>
      </c>
      <c r="S1611">
        <f>IFERROR(SEARCH(Crewlist!$P$5,V1611)+ROW()/100000,"")</f>
        <v>1.0161100000000001</v>
      </c>
      <c r="T1611">
        <f t="shared" si="156"/>
        <v>0</v>
      </c>
      <c r="U1611">
        <f t="shared" si="157"/>
        <v>0</v>
      </c>
      <c r="V1611" t="str">
        <f t="shared" si="154"/>
        <v xml:space="preserve"> </v>
      </c>
    </row>
    <row r="1612" spans="17:22">
      <c r="Q1612">
        <f t="shared" si="155"/>
        <v>0</v>
      </c>
      <c r="R1612">
        <f t="shared" si="153"/>
        <v>1608</v>
      </c>
      <c r="S1612">
        <f>IFERROR(SEARCH(Crewlist!$P$5,V1612)+ROW()/100000,"")</f>
        <v>1.0161199999999999</v>
      </c>
      <c r="T1612">
        <f t="shared" si="156"/>
        <v>0</v>
      </c>
      <c r="U1612">
        <f t="shared" si="157"/>
        <v>0</v>
      </c>
      <c r="V1612" t="str">
        <f t="shared" si="154"/>
        <v xml:space="preserve"> </v>
      </c>
    </row>
    <row r="1613" spans="17:22">
      <c r="Q1613">
        <f t="shared" si="155"/>
        <v>0</v>
      </c>
      <c r="R1613">
        <f t="shared" si="153"/>
        <v>1609</v>
      </c>
      <c r="S1613">
        <f>IFERROR(SEARCH(Crewlist!$P$5,V1613)+ROW()/100000,"")</f>
        <v>1.01613</v>
      </c>
      <c r="T1613">
        <f t="shared" si="156"/>
        <v>0</v>
      </c>
      <c r="U1613">
        <f t="shared" si="157"/>
        <v>0</v>
      </c>
      <c r="V1613" t="str">
        <f t="shared" si="154"/>
        <v xml:space="preserve"> </v>
      </c>
    </row>
    <row r="1614" spans="17:22">
      <c r="Q1614">
        <f t="shared" si="155"/>
        <v>0</v>
      </c>
      <c r="R1614">
        <f t="shared" si="153"/>
        <v>1610</v>
      </c>
      <c r="S1614">
        <f>IFERROR(SEARCH(Crewlist!$P$5,V1614)+ROW()/100000,"")</f>
        <v>1.01614</v>
      </c>
      <c r="T1614">
        <f t="shared" si="156"/>
        <v>0</v>
      </c>
      <c r="U1614">
        <f t="shared" si="157"/>
        <v>0</v>
      </c>
      <c r="V1614" t="str">
        <f t="shared" si="154"/>
        <v xml:space="preserve"> </v>
      </c>
    </row>
    <row r="1615" spans="17:22">
      <c r="Q1615">
        <f t="shared" si="155"/>
        <v>0</v>
      </c>
      <c r="R1615">
        <f t="shared" si="153"/>
        <v>1611</v>
      </c>
      <c r="S1615">
        <f>IFERROR(SEARCH(Crewlist!$P$5,V1615)+ROW()/100000,"")</f>
        <v>1.0161500000000001</v>
      </c>
      <c r="T1615">
        <f t="shared" si="156"/>
        <v>0</v>
      </c>
      <c r="U1615">
        <f t="shared" si="157"/>
        <v>0</v>
      </c>
      <c r="V1615" t="str">
        <f t="shared" si="154"/>
        <v xml:space="preserve"> </v>
      </c>
    </row>
    <row r="1616" spans="17:22">
      <c r="Q1616">
        <f t="shared" si="155"/>
        <v>0</v>
      </c>
      <c r="R1616">
        <f t="shared" si="153"/>
        <v>1612</v>
      </c>
      <c r="S1616">
        <f>IFERROR(SEARCH(Crewlist!$P$5,V1616)+ROW()/100000,"")</f>
        <v>1.01616</v>
      </c>
      <c r="T1616">
        <f t="shared" si="156"/>
        <v>0</v>
      </c>
      <c r="U1616">
        <f t="shared" si="157"/>
        <v>0</v>
      </c>
      <c r="V1616" t="str">
        <f t="shared" si="154"/>
        <v xml:space="preserve"> </v>
      </c>
    </row>
    <row r="1617" spans="17:22">
      <c r="Q1617">
        <f t="shared" si="155"/>
        <v>0</v>
      </c>
      <c r="R1617">
        <f t="shared" si="153"/>
        <v>1613</v>
      </c>
      <c r="S1617">
        <f>IFERROR(SEARCH(Crewlist!$P$5,V1617)+ROW()/100000,"")</f>
        <v>1.01617</v>
      </c>
      <c r="T1617">
        <f t="shared" si="156"/>
        <v>0</v>
      </c>
      <c r="U1617">
        <f t="shared" si="157"/>
        <v>0</v>
      </c>
      <c r="V1617" t="str">
        <f t="shared" si="154"/>
        <v xml:space="preserve"> </v>
      </c>
    </row>
    <row r="1618" spans="17:22">
      <c r="Q1618">
        <f t="shared" si="155"/>
        <v>0</v>
      </c>
      <c r="R1618">
        <f t="shared" si="153"/>
        <v>1614</v>
      </c>
      <c r="S1618">
        <f>IFERROR(SEARCH(Crewlist!$P$5,V1618)+ROW()/100000,"")</f>
        <v>1.0161800000000001</v>
      </c>
      <c r="T1618">
        <f t="shared" si="156"/>
        <v>0</v>
      </c>
      <c r="U1618">
        <f t="shared" si="157"/>
        <v>0</v>
      </c>
      <c r="V1618" t="str">
        <f t="shared" si="154"/>
        <v xml:space="preserve"> </v>
      </c>
    </row>
    <row r="1619" spans="17:22">
      <c r="Q1619">
        <f t="shared" si="155"/>
        <v>0</v>
      </c>
      <c r="R1619">
        <f t="shared" si="153"/>
        <v>1615</v>
      </c>
      <c r="S1619">
        <f>IFERROR(SEARCH(Crewlist!$P$5,V1619)+ROW()/100000,"")</f>
        <v>1.0161899999999999</v>
      </c>
      <c r="T1619">
        <f t="shared" si="156"/>
        <v>0</v>
      </c>
      <c r="U1619">
        <f t="shared" si="157"/>
        <v>0</v>
      </c>
      <c r="V1619" t="str">
        <f t="shared" si="154"/>
        <v xml:space="preserve"> </v>
      </c>
    </row>
    <row r="1620" spans="17:22">
      <c r="Q1620">
        <f t="shared" si="155"/>
        <v>0</v>
      </c>
      <c r="R1620">
        <f t="shared" si="153"/>
        <v>1616</v>
      </c>
      <c r="S1620">
        <f>IFERROR(SEARCH(Crewlist!$P$5,V1620)+ROW()/100000,"")</f>
        <v>1.0162</v>
      </c>
      <c r="T1620">
        <f t="shared" si="156"/>
        <v>0</v>
      </c>
      <c r="U1620">
        <f t="shared" si="157"/>
        <v>0</v>
      </c>
      <c r="V1620" t="str">
        <f t="shared" si="154"/>
        <v xml:space="preserve"> </v>
      </c>
    </row>
    <row r="1621" spans="17:22">
      <c r="Q1621">
        <f t="shared" si="155"/>
        <v>0</v>
      </c>
      <c r="R1621">
        <f t="shared" si="153"/>
        <v>1617</v>
      </c>
      <c r="S1621">
        <f>IFERROR(SEARCH(Crewlist!$P$5,V1621)+ROW()/100000,"")</f>
        <v>1.0162100000000001</v>
      </c>
      <c r="T1621">
        <f t="shared" si="156"/>
        <v>0</v>
      </c>
      <c r="U1621">
        <f t="shared" si="157"/>
        <v>0</v>
      </c>
      <c r="V1621" t="str">
        <f t="shared" si="154"/>
        <v xml:space="preserve"> </v>
      </c>
    </row>
    <row r="1622" spans="17:22">
      <c r="Q1622">
        <f t="shared" si="155"/>
        <v>0</v>
      </c>
      <c r="R1622">
        <f t="shared" si="153"/>
        <v>1618</v>
      </c>
      <c r="S1622">
        <f>IFERROR(SEARCH(Crewlist!$P$5,V1622)+ROW()/100000,"")</f>
        <v>1.0162199999999999</v>
      </c>
      <c r="T1622">
        <f t="shared" si="156"/>
        <v>0</v>
      </c>
      <c r="U1622">
        <f t="shared" si="157"/>
        <v>0</v>
      </c>
      <c r="V1622" t="str">
        <f t="shared" si="154"/>
        <v xml:space="preserve"> </v>
      </c>
    </row>
    <row r="1623" spans="17:22">
      <c r="Q1623">
        <f t="shared" si="155"/>
        <v>0</v>
      </c>
      <c r="R1623">
        <f t="shared" si="153"/>
        <v>1619</v>
      </c>
      <c r="S1623">
        <f>IFERROR(SEARCH(Crewlist!$P$5,V1623)+ROW()/100000,"")</f>
        <v>1.01623</v>
      </c>
      <c r="T1623">
        <f t="shared" si="156"/>
        <v>0</v>
      </c>
      <c r="U1623">
        <f t="shared" si="157"/>
        <v>0</v>
      </c>
      <c r="V1623" t="str">
        <f t="shared" si="154"/>
        <v xml:space="preserve"> </v>
      </c>
    </row>
    <row r="1624" spans="17:22">
      <c r="Q1624">
        <f t="shared" si="155"/>
        <v>0</v>
      </c>
      <c r="R1624">
        <f t="shared" si="153"/>
        <v>1620</v>
      </c>
      <c r="S1624">
        <f>IFERROR(SEARCH(Crewlist!$P$5,V1624)+ROW()/100000,"")</f>
        <v>1.01624</v>
      </c>
      <c r="T1624">
        <f t="shared" si="156"/>
        <v>0</v>
      </c>
      <c r="U1624">
        <f t="shared" si="157"/>
        <v>0</v>
      </c>
      <c r="V1624" t="str">
        <f t="shared" si="154"/>
        <v xml:space="preserve"> </v>
      </c>
    </row>
    <row r="1625" spans="17:22">
      <c r="Q1625">
        <f t="shared" si="155"/>
        <v>0</v>
      </c>
      <c r="R1625">
        <f t="shared" si="153"/>
        <v>1621</v>
      </c>
      <c r="S1625">
        <f>IFERROR(SEARCH(Crewlist!$P$5,V1625)+ROW()/100000,"")</f>
        <v>1.0162500000000001</v>
      </c>
      <c r="T1625">
        <f t="shared" si="156"/>
        <v>0</v>
      </c>
      <c r="U1625">
        <f t="shared" si="157"/>
        <v>0</v>
      </c>
      <c r="V1625" t="str">
        <f t="shared" si="154"/>
        <v xml:space="preserve"> </v>
      </c>
    </row>
    <row r="1626" spans="17:22">
      <c r="Q1626">
        <f t="shared" si="155"/>
        <v>0</v>
      </c>
      <c r="R1626">
        <f t="shared" si="153"/>
        <v>1622</v>
      </c>
      <c r="S1626">
        <f>IFERROR(SEARCH(Crewlist!$P$5,V1626)+ROW()/100000,"")</f>
        <v>1.0162599999999999</v>
      </c>
      <c r="T1626">
        <f t="shared" si="156"/>
        <v>0</v>
      </c>
      <c r="U1626">
        <f t="shared" si="157"/>
        <v>0</v>
      </c>
      <c r="V1626" t="str">
        <f t="shared" si="154"/>
        <v xml:space="preserve"> </v>
      </c>
    </row>
    <row r="1627" spans="17:22">
      <c r="Q1627">
        <f t="shared" si="155"/>
        <v>0</v>
      </c>
      <c r="R1627">
        <f t="shared" si="153"/>
        <v>1623</v>
      </c>
      <c r="S1627">
        <f>IFERROR(SEARCH(Crewlist!$P$5,V1627)+ROW()/100000,"")</f>
        <v>1.01627</v>
      </c>
      <c r="T1627">
        <f t="shared" si="156"/>
        <v>0</v>
      </c>
      <c r="U1627">
        <f t="shared" si="157"/>
        <v>0</v>
      </c>
      <c r="V1627" t="str">
        <f t="shared" si="154"/>
        <v xml:space="preserve"> </v>
      </c>
    </row>
    <row r="1628" spans="17:22">
      <c r="Q1628">
        <f t="shared" si="155"/>
        <v>0</v>
      </c>
      <c r="R1628">
        <f t="shared" si="153"/>
        <v>1624</v>
      </c>
      <c r="S1628">
        <f>IFERROR(SEARCH(Crewlist!$P$5,V1628)+ROW()/100000,"")</f>
        <v>1.0162800000000001</v>
      </c>
      <c r="T1628">
        <f t="shared" si="156"/>
        <v>0</v>
      </c>
      <c r="U1628">
        <f t="shared" si="157"/>
        <v>0</v>
      </c>
      <c r="V1628" t="str">
        <f t="shared" si="154"/>
        <v xml:space="preserve"> </v>
      </c>
    </row>
    <row r="1629" spans="17:22">
      <c r="Q1629">
        <f t="shared" si="155"/>
        <v>0</v>
      </c>
      <c r="R1629">
        <f t="shared" si="153"/>
        <v>1625</v>
      </c>
      <c r="S1629">
        <f>IFERROR(SEARCH(Crewlist!$P$5,V1629)+ROW()/100000,"")</f>
        <v>1.0162899999999999</v>
      </c>
      <c r="T1629">
        <f t="shared" si="156"/>
        <v>0</v>
      </c>
      <c r="U1629">
        <f t="shared" si="157"/>
        <v>0</v>
      </c>
      <c r="V1629" t="str">
        <f t="shared" si="154"/>
        <v xml:space="preserve"> </v>
      </c>
    </row>
    <row r="1630" spans="17:22">
      <c r="Q1630">
        <f t="shared" si="155"/>
        <v>0</v>
      </c>
      <c r="R1630">
        <f t="shared" si="153"/>
        <v>1626</v>
      </c>
      <c r="S1630">
        <f>IFERROR(SEARCH(Crewlist!$P$5,V1630)+ROW()/100000,"")</f>
        <v>1.0163</v>
      </c>
      <c r="T1630">
        <f t="shared" si="156"/>
        <v>0</v>
      </c>
      <c r="U1630">
        <f t="shared" si="157"/>
        <v>0</v>
      </c>
      <c r="V1630" t="str">
        <f t="shared" si="154"/>
        <v xml:space="preserve"> </v>
      </c>
    </row>
    <row r="1631" spans="17:22">
      <c r="Q1631">
        <f t="shared" si="155"/>
        <v>0</v>
      </c>
      <c r="R1631">
        <f t="shared" si="153"/>
        <v>1627</v>
      </c>
      <c r="S1631">
        <f>IFERROR(SEARCH(Crewlist!$P$5,V1631)+ROW()/100000,"")</f>
        <v>1.01631</v>
      </c>
      <c r="T1631">
        <f t="shared" si="156"/>
        <v>0</v>
      </c>
      <c r="U1631">
        <f t="shared" si="157"/>
        <v>0</v>
      </c>
      <c r="V1631" t="str">
        <f t="shared" si="154"/>
        <v xml:space="preserve"> </v>
      </c>
    </row>
    <row r="1632" spans="17:22">
      <c r="Q1632">
        <f t="shared" si="155"/>
        <v>0</v>
      </c>
      <c r="R1632">
        <f t="shared" si="153"/>
        <v>1628</v>
      </c>
      <c r="S1632">
        <f>IFERROR(SEARCH(Crewlist!$P$5,V1632)+ROW()/100000,"")</f>
        <v>1.0163199999999999</v>
      </c>
      <c r="T1632">
        <f t="shared" si="156"/>
        <v>0</v>
      </c>
      <c r="U1632">
        <f t="shared" si="157"/>
        <v>0</v>
      </c>
      <c r="V1632" t="str">
        <f t="shared" si="154"/>
        <v xml:space="preserve"> </v>
      </c>
    </row>
    <row r="1633" spans="17:22">
      <c r="Q1633">
        <f t="shared" si="155"/>
        <v>0</v>
      </c>
      <c r="R1633">
        <f t="shared" si="153"/>
        <v>1629</v>
      </c>
      <c r="S1633">
        <f>IFERROR(SEARCH(Crewlist!$P$5,V1633)+ROW()/100000,"")</f>
        <v>1.01633</v>
      </c>
      <c r="T1633">
        <f t="shared" si="156"/>
        <v>0</v>
      </c>
      <c r="U1633">
        <f t="shared" si="157"/>
        <v>0</v>
      </c>
      <c r="V1633" t="str">
        <f t="shared" si="154"/>
        <v xml:space="preserve"> </v>
      </c>
    </row>
    <row r="1634" spans="17:22">
      <c r="Q1634">
        <f t="shared" si="155"/>
        <v>0</v>
      </c>
      <c r="R1634">
        <f t="shared" si="153"/>
        <v>1630</v>
      </c>
      <c r="S1634">
        <f>IFERROR(SEARCH(Crewlist!$P$5,V1634)+ROW()/100000,"")</f>
        <v>1.01634</v>
      </c>
      <c r="T1634">
        <f t="shared" si="156"/>
        <v>0</v>
      </c>
      <c r="U1634">
        <f t="shared" si="157"/>
        <v>0</v>
      </c>
      <c r="V1634" t="str">
        <f t="shared" si="154"/>
        <v xml:space="preserve"> </v>
      </c>
    </row>
    <row r="1635" spans="17:22">
      <c r="Q1635">
        <f t="shared" si="155"/>
        <v>0</v>
      </c>
      <c r="R1635">
        <f t="shared" si="153"/>
        <v>1631</v>
      </c>
      <c r="S1635">
        <f>IFERROR(SEARCH(Crewlist!$P$5,V1635)+ROW()/100000,"")</f>
        <v>1.0163500000000001</v>
      </c>
      <c r="T1635">
        <f t="shared" si="156"/>
        <v>0</v>
      </c>
      <c r="U1635">
        <f t="shared" si="157"/>
        <v>0</v>
      </c>
      <c r="V1635" t="str">
        <f t="shared" si="154"/>
        <v xml:space="preserve"> </v>
      </c>
    </row>
    <row r="1636" spans="17:22">
      <c r="Q1636">
        <f t="shared" si="155"/>
        <v>0</v>
      </c>
      <c r="R1636">
        <f t="shared" si="153"/>
        <v>1632</v>
      </c>
      <c r="S1636">
        <f>IFERROR(SEARCH(Crewlist!$P$5,V1636)+ROW()/100000,"")</f>
        <v>1.0163599999999999</v>
      </c>
      <c r="T1636">
        <f t="shared" si="156"/>
        <v>0</v>
      </c>
      <c r="U1636">
        <f t="shared" si="157"/>
        <v>0</v>
      </c>
      <c r="V1636" t="str">
        <f t="shared" si="154"/>
        <v xml:space="preserve"> </v>
      </c>
    </row>
    <row r="1637" spans="17:22">
      <c r="Q1637">
        <f t="shared" si="155"/>
        <v>0</v>
      </c>
      <c r="R1637">
        <f t="shared" si="153"/>
        <v>1633</v>
      </c>
      <c r="S1637">
        <f>IFERROR(SEARCH(Crewlist!$P$5,V1637)+ROW()/100000,"")</f>
        <v>1.01637</v>
      </c>
      <c r="T1637">
        <f t="shared" si="156"/>
        <v>0</v>
      </c>
      <c r="U1637">
        <f t="shared" si="157"/>
        <v>0</v>
      </c>
      <c r="V1637" t="str">
        <f t="shared" si="154"/>
        <v xml:space="preserve"> </v>
      </c>
    </row>
    <row r="1638" spans="17:22">
      <c r="Q1638">
        <f t="shared" si="155"/>
        <v>0</v>
      </c>
      <c r="R1638">
        <f t="shared" si="153"/>
        <v>1634</v>
      </c>
      <c r="S1638">
        <f>IFERROR(SEARCH(Crewlist!$P$5,V1638)+ROW()/100000,"")</f>
        <v>1.0163800000000001</v>
      </c>
      <c r="T1638">
        <f t="shared" si="156"/>
        <v>0</v>
      </c>
      <c r="U1638">
        <f t="shared" si="157"/>
        <v>0</v>
      </c>
      <c r="V1638" t="str">
        <f t="shared" si="154"/>
        <v xml:space="preserve"> </v>
      </c>
    </row>
    <row r="1639" spans="17:22">
      <c r="Q1639">
        <f t="shared" si="155"/>
        <v>0</v>
      </c>
      <c r="R1639">
        <f t="shared" si="153"/>
        <v>1635</v>
      </c>
      <c r="S1639">
        <f>IFERROR(SEARCH(Crewlist!$P$5,V1639)+ROW()/100000,"")</f>
        <v>1.0163899999999999</v>
      </c>
      <c r="T1639">
        <f t="shared" si="156"/>
        <v>0</v>
      </c>
      <c r="U1639">
        <f t="shared" si="157"/>
        <v>0</v>
      </c>
      <c r="V1639" t="str">
        <f t="shared" si="154"/>
        <v xml:space="preserve"> </v>
      </c>
    </row>
    <row r="1640" spans="17:22">
      <c r="Q1640">
        <f t="shared" si="155"/>
        <v>0</v>
      </c>
      <c r="R1640">
        <f t="shared" si="153"/>
        <v>1636</v>
      </c>
      <c r="S1640">
        <f>IFERROR(SEARCH(Crewlist!$P$5,V1640)+ROW()/100000,"")</f>
        <v>1.0164</v>
      </c>
      <c r="T1640">
        <f t="shared" si="156"/>
        <v>0</v>
      </c>
      <c r="U1640">
        <f t="shared" si="157"/>
        <v>0</v>
      </c>
      <c r="V1640" t="str">
        <f t="shared" si="154"/>
        <v xml:space="preserve"> </v>
      </c>
    </row>
    <row r="1641" spans="17:22">
      <c r="Q1641">
        <f t="shared" si="155"/>
        <v>0</v>
      </c>
      <c r="R1641">
        <f t="shared" si="153"/>
        <v>1637</v>
      </c>
      <c r="S1641">
        <f>IFERROR(SEARCH(Crewlist!$P$5,V1641)+ROW()/100000,"")</f>
        <v>1.01641</v>
      </c>
      <c r="T1641">
        <f t="shared" si="156"/>
        <v>0</v>
      </c>
      <c r="U1641">
        <f t="shared" si="157"/>
        <v>0</v>
      </c>
      <c r="V1641" t="str">
        <f t="shared" si="154"/>
        <v xml:space="preserve"> </v>
      </c>
    </row>
    <row r="1642" spans="17:22">
      <c r="Q1642">
        <f t="shared" si="155"/>
        <v>0</v>
      </c>
      <c r="R1642">
        <f t="shared" si="153"/>
        <v>1638</v>
      </c>
      <c r="S1642">
        <f>IFERROR(SEARCH(Crewlist!$P$5,V1642)+ROW()/100000,"")</f>
        <v>1.0164200000000001</v>
      </c>
      <c r="T1642">
        <f t="shared" si="156"/>
        <v>0</v>
      </c>
      <c r="U1642">
        <f t="shared" si="157"/>
        <v>0</v>
      </c>
      <c r="V1642" t="str">
        <f t="shared" si="154"/>
        <v xml:space="preserve"> </v>
      </c>
    </row>
    <row r="1643" spans="17:22">
      <c r="Q1643">
        <f t="shared" si="155"/>
        <v>0</v>
      </c>
      <c r="R1643">
        <f t="shared" si="153"/>
        <v>1639</v>
      </c>
      <c r="S1643">
        <f>IFERROR(SEARCH(Crewlist!$P$5,V1643)+ROW()/100000,"")</f>
        <v>1.0164299999999999</v>
      </c>
      <c r="T1643">
        <f t="shared" si="156"/>
        <v>0</v>
      </c>
      <c r="U1643">
        <f t="shared" si="157"/>
        <v>0</v>
      </c>
      <c r="V1643" t="str">
        <f t="shared" si="154"/>
        <v xml:space="preserve"> </v>
      </c>
    </row>
    <row r="1644" spans="17:22">
      <c r="Q1644">
        <f t="shared" si="155"/>
        <v>0</v>
      </c>
      <c r="R1644">
        <f t="shared" si="153"/>
        <v>1640</v>
      </c>
      <c r="S1644">
        <f>IFERROR(SEARCH(Crewlist!$P$5,V1644)+ROW()/100000,"")</f>
        <v>1.01644</v>
      </c>
      <c r="T1644">
        <f t="shared" si="156"/>
        <v>0</v>
      </c>
      <c r="U1644">
        <f t="shared" si="157"/>
        <v>0</v>
      </c>
      <c r="V1644" t="str">
        <f t="shared" si="154"/>
        <v xml:space="preserve"> </v>
      </c>
    </row>
    <row r="1645" spans="17:22">
      <c r="Q1645">
        <f t="shared" si="155"/>
        <v>0</v>
      </c>
      <c r="R1645">
        <f t="shared" si="153"/>
        <v>1641</v>
      </c>
      <c r="S1645">
        <f>IFERROR(SEARCH(Crewlist!$P$5,V1645)+ROW()/100000,"")</f>
        <v>1.0164500000000001</v>
      </c>
      <c r="T1645">
        <f t="shared" si="156"/>
        <v>0</v>
      </c>
      <c r="U1645">
        <f t="shared" si="157"/>
        <v>0</v>
      </c>
      <c r="V1645" t="str">
        <f t="shared" si="154"/>
        <v xml:space="preserve"> </v>
      </c>
    </row>
    <row r="1646" spans="17:22">
      <c r="Q1646">
        <f t="shared" si="155"/>
        <v>0</v>
      </c>
      <c r="R1646">
        <f t="shared" si="153"/>
        <v>1642</v>
      </c>
      <c r="S1646">
        <f>IFERROR(SEARCH(Crewlist!$P$5,V1646)+ROW()/100000,"")</f>
        <v>1.0164599999999999</v>
      </c>
      <c r="T1646">
        <f t="shared" si="156"/>
        <v>0</v>
      </c>
      <c r="U1646">
        <f t="shared" si="157"/>
        <v>0</v>
      </c>
      <c r="V1646" t="str">
        <f t="shared" si="154"/>
        <v xml:space="preserve"> </v>
      </c>
    </row>
    <row r="1647" spans="17:22">
      <c r="Q1647">
        <f t="shared" si="155"/>
        <v>0</v>
      </c>
      <c r="R1647">
        <f t="shared" si="153"/>
        <v>1643</v>
      </c>
      <c r="S1647">
        <f>IFERROR(SEARCH(Crewlist!$P$5,V1647)+ROW()/100000,"")</f>
        <v>1.01647</v>
      </c>
      <c r="T1647">
        <f t="shared" si="156"/>
        <v>0</v>
      </c>
      <c r="U1647">
        <f t="shared" si="157"/>
        <v>0</v>
      </c>
      <c r="V1647" t="str">
        <f t="shared" si="154"/>
        <v xml:space="preserve"> </v>
      </c>
    </row>
    <row r="1648" spans="17:22">
      <c r="Q1648">
        <f t="shared" si="155"/>
        <v>0</v>
      </c>
      <c r="R1648">
        <f t="shared" si="153"/>
        <v>1644</v>
      </c>
      <c r="S1648">
        <f>IFERROR(SEARCH(Crewlist!$P$5,V1648)+ROW()/100000,"")</f>
        <v>1.0164800000000001</v>
      </c>
      <c r="T1648">
        <f t="shared" si="156"/>
        <v>0</v>
      </c>
      <c r="U1648">
        <f t="shared" si="157"/>
        <v>0</v>
      </c>
      <c r="V1648" t="str">
        <f t="shared" si="154"/>
        <v xml:space="preserve"> </v>
      </c>
    </row>
    <row r="1649" spans="17:22">
      <c r="Q1649">
        <f t="shared" si="155"/>
        <v>0</v>
      </c>
      <c r="R1649">
        <f t="shared" si="153"/>
        <v>1645</v>
      </c>
      <c r="S1649">
        <f>IFERROR(SEARCH(Crewlist!$P$5,V1649)+ROW()/100000,"")</f>
        <v>1.0164899999999999</v>
      </c>
      <c r="T1649">
        <f t="shared" si="156"/>
        <v>0</v>
      </c>
      <c r="U1649">
        <f t="shared" si="157"/>
        <v>0</v>
      </c>
      <c r="V1649" t="str">
        <f t="shared" si="154"/>
        <v xml:space="preserve"> </v>
      </c>
    </row>
    <row r="1650" spans="17:22">
      <c r="Q1650">
        <f t="shared" si="155"/>
        <v>0</v>
      </c>
      <c r="R1650">
        <f t="shared" si="153"/>
        <v>1646</v>
      </c>
      <c r="S1650">
        <f>IFERROR(SEARCH(Crewlist!$P$5,V1650)+ROW()/100000,"")</f>
        <v>1.0165</v>
      </c>
      <c r="T1650">
        <f t="shared" si="156"/>
        <v>0</v>
      </c>
      <c r="U1650">
        <f t="shared" si="157"/>
        <v>0</v>
      </c>
      <c r="V1650" t="str">
        <f t="shared" si="154"/>
        <v xml:space="preserve"> </v>
      </c>
    </row>
    <row r="1651" spans="17:22">
      <c r="Q1651">
        <f t="shared" si="155"/>
        <v>0</v>
      </c>
      <c r="R1651">
        <f t="shared" si="153"/>
        <v>1647</v>
      </c>
      <c r="S1651">
        <f>IFERROR(SEARCH(Crewlist!$P$5,V1651)+ROW()/100000,"")</f>
        <v>1.01651</v>
      </c>
      <c r="T1651">
        <f t="shared" si="156"/>
        <v>0</v>
      </c>
      <c r="U1651">
        <f t="shared" si="157"/>
        <v>0</v>
      </c>
      <c r="V1651" t="str">
        <f t="shared" si="154"/>
        <v xml:space="preserve"> </v>
      </c>
    </row>
    <row r="1652" spans="17:22">
      <c r="Q1652">
        <f t="shared" si="155"/>
        <v>0</v>
      </c>
      <c r="R1652">
        <f t="shared" si="153"/>
        <v>1648</v>
      </c>
      <c r="S1652">
        <f>IFERROR(SEARCH(Crewlist!$P$5,V1652)+ROW()/100000,"")</f>
        <v>1.0165200000000001</v>
      </c>
      <c r="T1652">
        <f t="shared" si="156"/>
        <v>0</v>
      </c>
      <c r="U1652">
        <f t="shared" si="157"/>
        <v>0</v>
      </c>
      <c r="V1652" t="str">
        <f t="shared" si="154"/>
        <v xml:space="preserve"> </v>
      </c>
    </row>
    <row r="1653" spans="17:22">
      <c r="Q1653">
        <f t="shared" si="155"/>
        <v>0</v>
      </c>
      <c r="R1653">
        <f t="shared" si="153"/>
        <v>1649</v>
      </c>
      <c r="S1653">
        <f>IFERROR(SEARCH(Crewlist!$P$5,V1653)+ROW()/100000,"")</f>
        <v>1.0165299999999999</v>
      </c>
      <c r="T1653">
        <f t="shared" si="156"/>
        <v>0</v>
      </c>
      <c r="U1653">
        <f t="shared" si="157"/>
        <v>0</v>
      </c>
      <c r="V1653" t="str">
        <f t="shared" si="154"/>
        <v xml:space="preserve"> </v>
      </c>
    </row>
    <row r="1654" spans="17:22">
      <c r="Q1654">
        <f t="shared" si="155"/>
        <v>0</v>
      </c>
      <c r="R1654">
        <f t="shared" si="153"/>
        <v>1650</v>
      </c>
      <c r="S1654">
        <f>IFERROR(SEARCH(Crewlist!$P$5,V1654)+ROW()/100000,"")</f>
        <v>1.01654</v>
      </c>
      <c r="T1654">
        <f t="shared" si="156"/>
        <v>0</v>
      </c>
      <c r="U1654">
        <f t="shared" si="157"/>
        <v>0</v>
      </c>
      <c r="V1654" t="str">
        <f t="shared" si="154"/>
        <v xml:space="preserve"> </v>
      </c>
    </row>
    <row r="1655" spans="17:22">
      <c r="Q1655">
        <f t="shared" si="155"/>
        <v>0</v>
      </c>
      <c r="R1655">
        <f t="shared" si="153"/>
        <v>1651</v>
      </c>
      <c r="S1655">
        <f>IFERROR(SEARCH(Crewlist!$P$5,V1655)+ROW()/100000,"")</f>
        <v>1.0165500000000001</v>
      </c>
      <c r="T1655">
        <f t="shared" si="156"/>
        <v>0</v>
      </c>
      <c r="U1655">
        <f t="shared" si="157"/>
        <v>0</v>
      </c>
      <c r="V1655" t="str">
        <f t="shared" si="154"/>
        <v xml:space="preserve"> </v>
      </c>
    </row>
    <row r="1656" spans="17:22">
      <c r="Q1656">
        <f t="shared" si="155"/>
        <v>0</v>
      </c>
      <c r="R1656">
        <f t="shared" si="153"/>
        <v>1652</v>
      </c>
      <c r="S1656">
        <f>IFERROR(SEARCH(Crewlist!$P$5,V1656)+ROW()/100000,"")</f>
        <v>1.0165599999999999</v>
      </c>
      <c r="T1656">
        <f t="shared" si="156"/>
        <v>0</v>
      </c>
      <c r="U1656">
        <f t="shared" si="157"/>
        <v>0</v>
      </c>
      <c r="V1656" t="str">
        <f t="shared" si="154"/>
        <v xml:space="preserve"> </v>
      </c>
    </row>
    <row r="1657" spans="17:22">
      <c r="Q1657">
        <f t="shared" si="155"/>
        <v>0</v>
      </c>
      <c r="R1657">
        <f t="shared" si="153"/>
        <v>1653</v>
      </c>
      <c r="S1657">
        <f>IFERROR(SEARCH(Crewlist!$P$5,V1657)+ROW()/100000,"")</f>
        <v>1.01657</v>
      </c>
      <c r="T1657">
        <f t="shared" si="156"/>
        <v>0</v>
      </c>
      <c r="U1657">
        <f t="shared" si="157"/>
        <v>0</v>
      </c>
      <c r="V1657" t="str">
        <f t="shared" si="154"/>
        <v xml:space="preserve"> </v>
      </c>
    </row>
    <row r="1658" spans="17:22">
      <c r="Q1658">
        <f t="shared" si="155"/>
        <v>0</v>
      </c>
      <c r="R1658">
        <f t="shared" si="153"/>
        <v>1654</v>
      </c>
      <c r="S1658">
        <f>IFERROR(SEARCH(Crewlist!$P$5,V1658)+ROW()/100000,"")</f>
        <v>1.01658</v>
      </c>
      <c r="T1658">
        <f t="shared" si="156"/>
        <v>0</v>
      </c>
      <c r="U1658">
        <f t="shared" si="157"/>
        <v>0</v>
      </c>
      <c r="V1658" t="str">
        <f t="shared" si="154"/>
        <v xml:space="preserve"> </v>
      </c>
    </row>
    <row r="1659" spans="17:22">
      <c r="Q1659">
        <f t="shared" si="155"/>
        <v>0</v>
      </c>
      <c r="R1659">
        <f t="shared" si="153"/>
        <v>1655</v>
      </c>
      <c r="S1659">
        <f>IFERROR(SEARCH(Crewlist!$P$5,V1659)+ROW()/100000,"")</f>
        <v>1.0165900000000001</v>
      </c>
      <c r="T1659">
        <f t="shared" si="156"/>
        <v>0</v>
      </c>
      <c r="U1659">
        <f t="shared" si="157"/>
        <v>0</v>
      </c>
      <c r="V1659" t="str">
        <f t="shared" si="154"/>
        <v xml:space="preserve"> </v>
      </c>
    </row>
    <row r="1660" spans="17:22">
      <c r="Q1660">
        <f t="shared" si="155"/>
        <v>0</v>
      </c>
      <c r="R1660">
        <f t="shared" si="153"/>
        <v>1656</v>
      </c>
      <c r="S1660">
        <f>IFERROR(SEARCH(Crewlist!$P$5,V1660)+ROW()/100000,"")</f>
        <v>1.0165999999999999</v>
      </c>
      <c r="T1660">
        <f t="shared" si="156"/>
        <v>0</v>
      </c>
      <c r="U1660">
        <f t="shared" si="157"/>
        <v>0</v>
      </c>
      <c r="V1660" t="str">
        <f t="shared" si="154"/>
        <v xml:space="preserve"> </v>
      </c>
    </row>
    <row r="1661" spans="17:22">
      <c r="Q1661">
        <f t="shared" si="155"/>
        <v>0</v>
      </c>
      <c r="R1661">
        <f t="shared" si="153"/>
        <v>1657</v>
      </c>
      <c r="S1661">
        <f>IFERROR(SEARCH(Crewlist!$P$5,V1661)+ROW()/100000,"")</f>
        <v>1.01661</v>
      </c>
      <c r="T1661">
        <f t="shared" si="156"/>
        <v>0</v>
      </c>
      <c r="U1661">
        <f t="shared" si="157"/>
        <v>0</v>
      </c>
      <c r="V1661" t="str">
        <f t="shared" si="154"/>
        <v xml:space="preserve"> </v>
      </c>
    </row>
    <row r="1662" spans="17:22">
      <c r="Q1662">
        <f t="shared" si="155"/>
        <v>0</v>
      </c>
      <c r="R1662">
        <f t="shared" si="153"/>
        <v>1658</v>
      </c>
      <c r="S1662">
        <f>IFERROR(SEARCH(Crewlist!$P$5,V1662)+ROW()/100000,"")</f>
        <v>1.0166200000000001</v>
      </c>
      <c r="T1662">
        <f t="shared" si="156"/>
        <v>0</v>
      </c>
      <c r="U1662">
        <f t="shared" si="157"/>
        <v>0</v>
      </c>
      <c r="V1662" t="str">
        <f t="shared" si="154"/>
        <v xml:space="preserve"> </v>
      </c>
    </row>
    <row r="1663" spans="17:22">
      <c r="Q1663">
        <f t="shared" si="155"/>
        <v>0</v>
      </c>
      <c r="R1663">
        <f t="shared" si="153"/>
        <v>1659</v>
      </c>
      <c r="S1663">
        <f>IFERROR(SEARCH(Crewlist!$P$5,V1663)+ROW()/100000,"")</f>
        <v>1.0166299999999999</v>
      </c>
      <c r="T1663">
        <f t="shared" si="156"/>
        <v>0</v>
      </c>
      <c r="U1663">
        <f t="shared" si="157"/>
        <v>0</v>
      </c>
      <c r="V1663" t="str">
        <f t="shared" si="154"/>
        <v xml:space="preserve"> </v>
      </c>
    </row>
    <row r="1664" spans="17:22">
      <c r="Q1664">
        <f t="shared" si="155"/>
        <v>0</v>
      </c>
      <c r="R1664">
        <f t="shared" si="153"/>
        <v>1660</v>
      </c>
      <c r="S1664">
        <f>IFERROR(SEARCH(Crewlist!$P$5,V1664)+ROW()/100000,"")</f>
        <v>1.01664</v>
      </c>
      <c r="T1664">
        <f t="shared" si="156"/>
        <v>0</v>
      </c>
      <c r="U1664">
        <f t="shared" si="157"/>
        <v>0</v>
      </c>
      <c r="V1664" t="str">
        <f t="shared" si="154"/>
        <v xml:space="preserve"> </v>
      </c>
    </row>
    <row r="1665" spans="17:22">
      <c r="Q1665">
        <f t="shared" si="155"/>
        <v>0</v>
      </c>
      <c r="R1665">
        <f t="shared" si="153"/>
        <v>1661</v>
      </c>
      <c r="S1665">
        <f>IFERROR(SEARCH(Crewlist!$P$5,V1665)+ROW()/100000,"")</f>
        <v>1.0166500000000001</v>
      </c>
      <c r="T1665">
        <f t="shared" si="156"/>
        <v>0</v>
      </c>
      <c r="U1665">
        <f t="shared" si="157"/>
        <v>0</v>
      </c>
      <c r="V1665" t="str">
        <f t="shared" si="154"/>
        <v xml:space="preserve"> </v>
      </c>
    </row>
    <row r="1666" spans="17:22">
      <c r="Q1666">
        <f t="shared" si="155"/>
        <v>0</v>
      </c>
      <c r="R1666">
        <f t="shared" ref="R1666:R1729" si="158">IFERROR(RANK(S1666,$S$2:$S$1998,1),"")</f>
        <v>1662</v>
      </c>
      <c r="S1666">
        <f>IFERROR(SEARCH(Crewlist!$P$5,V1666)+ROW()/100000,"")</f>
        <v>1.0166599999999999</v>
      </c>
      <c r="T1666">
        <f t="shared" si="156"/>
        <v>0</v>
      </c>
      <c r="U1666">
        <f t="shared" si="157"/>
        <v>0</v>
      </c>
      <c r="V1666" t="str">
        <f t="shared" si="154"/>
        <v xml:space="preserve"> </v>
      </c>
    </row>
    <row r="1667" spans="17:22">
      <c r="Q1667">
        <f t="shared" si="155"/>
        <v>0</v>
      </c>
      <c r="R1667">
        <f t="shared" si="158"/>
        <v>1663</v>
      </c>
      <c r="S1667">
        <f>IFERROR(SEARCH(Crewlist!$P$5,V1667)+ROW()/100000,"")</f>
        <v>1.01667</v>
      </c>
      <c r="T1667">
        <f t="shared" si="156"/>
        <v>0</v>
      </c>
      <c r="U1667">
        <f t="shared" si="157"/>
        <v>0</v>
      </c>
      <c r="V1667" t="str">
        <f t="shared" ref="V1667:V1730" si="159">CONCATENATE(C1667," ",D1667)</f>
        <v xml:space="preserve"> </v>
      </c>
    </row>
    <row r="1668" spans="17:22">
      <c r="Q1668">
        <f t="shared" si="155"/>
        <v>0</v>
      </c>
      <c r="R1668">
        <f t="shared" si="158"/>
        <v>1664</v>
      </c>
      <c r="S1668">
        <f>IFERROR(SEARCH(Crewlist!$P$5,V1668)+ROW()/100000,"")</f>
        <v>1.01668</v>
      </c>
      <c r="T1668">
        <f t="shared" si="156"/>
        <v>0</v>
      </c>
      <c r="U1668">
        <f t="shared" si="157"/>
        <v>0</v>
      </c>
      <c r="V1668" t="str">
        <f t="shared" si="159"/>
        <v xml:space="preserve"> </v>
      </c>
    </row>
    <row r="1669" spans="17:22">
      <c r="Q1669">
        <f t="shared" si="155"/>
        <v>0</v>
      </c>
      <c r="R1669">
        <f t="shared" si="158"/>
        <v>1665</v>
      </c>
      <c r="S1669">
        <f>IFERROR(SEARCH(Crewlist!$P$5,V1669)+ROW()/100000,"")</f>
        <v>1.0166900000000001</v>
      </c>
      <c r="T1669">
        <f t="shared" si="156"/>
        <v>0</v>
      </c>
      <c r="U1669">
        <f t="shared" si="157"/>
        <v>0</v>
      </c>
      <c r="V1669" t="str">
        <f t="shared" si="159"/>
        <v xml:space="preserve"> </v>
      </c>
    </row>
    <row r="1670" spans="17:22">
      <c r="Q1670">
        <f t="shared" si="155"/>
        <v>0</v>
      </c>
      <c r="R1670">
        <f t="shared" si="158"/>
        <v>1666</v>
      </c>
      <c r="S1670">
        <f>IFERROR(SEARCH(Crewlist!$P$5,V1670)+ROW()/100000,"")</f>
        <v>1.0166999999999999</v>
      </c>
      <c r="T1670">
        <f t="shared" si="156"/>
        <v>0</v>
      </c>
      <c r="U1670">
        <f t="shared" si="157"/>
        <v>0</v>
      </c>
      <c r="V1670" t="str">
        <f t="shared" si="159"/>
        <v xml:space="preserve"> </v>
      </c>
    </row>
    <row r="1671" spans="17:22">
      <c r="Q1671">
        <f t="shared" si="155"/>
        <v>0</v>
      </c>
      <c r="R1671">
        <f t="shared" si="158"/>
        <v>1667</v>
      </c>
      <c r="S1671">
        <f>IFERROR(SEARCH(Crewlist!$P$5,V1671)+ROW()/100000,"")</f>
        <v>1.01671</v>
      </c>
      <c r="T1671">
        <f t="shared" si="156"/>
        <v>0</v>
      </c>
      <c r="U1671">
        <f t="shared" si="157"/>
        <v>0</v>
      </c>
      <c r="V1671" t="str">
        <f t="shared" si="159"/>
        <v xml:space="preserve"> </v>
      </c>
    </row>
    <row r="1672" spans="17:22">
      <c r="Q1672">
        <f t="shared" si="155"/>
        <v>0</v>
      </c>
      <c r="R1672">
        <f t="shared" si="158"/>
        <v>1668</v>
      </c>
      <c r="S1672">
        <f>IFERROR(SEARCH(Crewlist!$P$5,V1672)+ROW()/100000,"")</f>
        <v>1.0167200000000001</v>
      </c>
      <c r="T1672">
        <f t="shared" si="156"/>
        <v>0</v>
      </c>
      <c r="U1672">
        <f t="shared" si="157"/>
        <v>0</v>
      </c>
      <c r="V1672" t="str">
        <f t="shared" si="159"/>
        <v xml:space="preserve"> </v>
      </c>
    </row>
    <row r="1673" spans="17:22">
      <c r="Q1673">
        <f t="shared" ref="Q1673:Q1736" si="160">IF(C1673&lt;&gt; "",B1673,0)</f>
        <v>0</v>
      </c>
      <c r="R1673">
        <f t="shared" si="158"/>
        <v>1669</v>
      </c>
      <c r="S1673">
        <f>IFERROR(SEARCH(Crewlist!$P$5,V1673)+ROW()/100000,"")</f>
        <v>1.0167299999999999</v>
      </c>
      <c r="T1673">
        <f t="shared" ref="T1673:T1736" si="161">B1673</f>
        <v>0</v>
      </c>
      <c r="U1673">
        <f t="shared" ref="U1673:U1736" si="162">C1673</f>
        <v>0</v>
      </c>
      <c r="V1673" t="str">
        <f t="shared" si="159"/>
        <v xml:space="preserve"> </v>
      </c>
    </row>
    <row r="1674" spans="17:22">
      <c r="Q1674">
        <f t="shared" si="160"/>
        <v>0</v>
      </c>
      <c r="R1674">
        <f t="shared" si="158"/>
        <v>1670</v>
      </c>
      <c r="S1674">
        <f>IFERROR(SEARCH(Crewlist!$P$5,V1674)+ROW()/100000,"")</f>
        <v>1.01674</v>
      </c>
      <c r="T1674">
        <f t="shared" si="161"/>
        <v>0</v>
      </c>
      <c r="U1674">
        <f t="shared" si="162"/>
        <v>0</v>
      </c>
      <c r="V1674" t="str">
        <f t="shared" si="159"/>
        <v xml:space="preserve"> </v>
      </c>
    </row>
    <row r="1675" spans="17:22">
      <c r="Q1675">
        <f t="shared" si="160"/>
        <v>0</v>
      </c>
      <c r="R1675">
        <f t="shared" si="158"/>
        <v>1671</v>
      </c>
      <c r="S1675">
        <f>IFERROR(SEARCH(Crewlist!$P$5,V1675)+ROW()/100000,"")</f>
        <v>1.01675</v>
      </c>
      <c r="T1675">
        <f t="shared" si="161"/>
        <v>0</v>
      </c>
      <c r="U1675">
        <f t="shared" si="162"/>
        <v>0</v>
      </c>
      <c r="V1675" t="str">
        <f t="shared" si="159"/>
        <v xml:space="preserve"> </v>
      </c>
    </row>
    <row r="1676" spans="17:22">
      <c r="Q1676">
        <f t="shared" si="160"/>
        <v>0</v>
      </c>
      <c r="R1676">
        <f t="shared" si="158"/>
        <v>1672</v>
      </c>
      <c r="S1676">
        <f>IFERROR(SEARCH(Crewlist!$P$5,V1676)+ROW()/100000,"")</f>
        <v>1.0167600000000001</v>
      </c>
      <c r="T1676">
        <f t="shared" si="161"/>
        <v>0</v>
      </c>
      <c r="U1676">
        <f t="shared" si="162"/>
        <v>0</v>
      </c>
      <c r="V1676" t="str">
        <f t="shared" si="159"/>
        <v xml:space="preserve"> </v>
      </c>
    </row>
    <row r="1677" spans="17:22">
      <c r="Q1677">
        <f t="shared" si="160"/>
        <v>0</v>
      </c>
      <c r="R1677">
        <f t="shared" si="158"/>
        <v>1673</v>
      </c>
      <c r="S1677">
        <f>IFERROR(SEARCH(Crewlist!$P$5,V1677)+ROW()/100000,"")</f>
        <v>1.01677</v>
      </c>
      <c r="T1677">
        <f t="shared" si="161"/>
        <v>0</v>
      </c>
      <c r="U1677">
        <f t="shared" si="162"/>
        <v>0</v>
      </c>
      <c r="V1677" t="str">
        <f t="shared" si="159"/>
        <v xml:space="preserve"> </v>
      </c>
    </row>
    <row r="1678" spans="17:22">
      <c r="Q1678">
        <f t="shared" si="160"/>
        <v>0</v>
      </c>
      <c r="R1678">
        <f t="shared" si="158"/>
        <v>1674</v>
      </c>
      <c r="S1678">
        <f>IFERROR(SEARCH(Crewlist!$P$5,V1678)+ROW()/100000,"")</f>
        <v>1.01678</v>
      </c>
      <c r="T1678">
        <f t="shared" si="161"/>
        <v>0</v>
      </c>
      <c r="U1678">
        <f t="shared" si="162"/>
        <v>0</v>
      </c>
      <c r="V1678" t="str">
        <f t="shared" si="159"/>
        <v xml:space="preserve"> </v>
      </c>
    </row>
    <row r="1679" spans="17:22">
      <c r="Q1679">
        <f t="shared" si="160"/>
        <v>0</v>
      </c>
      <c r="R1679">
        <f t="shared" si="158"/>
        <v>1675</v>
      </c>
      <c r="S1679">
        <f>IFERROR(SEARCH(Crewlist!$P$5,V1679)+ROW()/100000,"")</f>
        <v>1.0167900000000001</v>
      </c>
      <c r="T1679">
        <f t="shared" si="161"/>
        <v>0</v>
      </c>
      <c r="U1679">
        <f t="shared" si="162"/>
        <v>0</v>
      </c>
      <c r="V1679" t="str">
        <f t="shared" si="159"/>
        <v xml:space="preserve"> </v>
      </c>
    </row>
    <row r="1680" spans="17:22">
      <c r="Q1680">
        <f t="shared" si="160"/>
        <v>0</v>
      </c>
      <c r="R1680">
        <f t="shared" si="158"/>
        <v>1676</v>
      </c>
      <c r="S1680">
        <f>IFERROR(SEARCH(Crewlist!$P$5,V1680)+ROW()/100000,"")</f>
        <v>1.0167999999999999</v>
      </c>
      <c r="T1680">
        <f t="shared" si="161"/>
        <v>0</v>
      </c>
      <c r="U1680">
        <f t="shared" si="162"/>
        <v>0</v>
      </c>
      <c r="V1680" t="str">
        <f t="shared" si="159"/>
        <v xml:space="preserve"> </v>
      </c>
    </row>
    <row r="1681" spans="17:22">
      <c r="Q1681">
        <f t="shared" si="160"/>
        <v>0</v>
      </c>
      <c r="R1681">
        <f t="shared" si="158"/>
        <v>1677</v>
      </c>
      <c r="S1681">
        <f>IFERROR(SEARCH(Crewlist!$P$5,V1681)+ROW()/100000,"")</f>
        <v>1.01681</v>
      </c>
      <c r="T1681">
        <f t="shared" si="161"/>
        <v>0</v>
      </c>
      <c r="U1681">
        <f t="shared" si="162"/>
        <v>0</v>
      </c>
      <c r="V1681" t="str">
        <f t="shared" si="159"/>
        <v xml:space="preserve"> </v>
      </c>
    </row>
    <row r="1682" spans="17:22">
      <c r="Q1682">
        <f t="shared" si="160"/>
        <v>0</v>
      </c>
      <c r="R1682">
        <f t="shared" si="158"/>
        <v>1678</v>
      </c>
      <c r="S1682">
        <f>IFERROR(SEARCH(Crewlist!$P$5,V1682)+ROW()/100000,"")</f>
        <v>1.0168200000000001</v>
      </c>
      <c r="T1682">
        <f t="shared" si="161"/>
        <v>0</v>
      </c>
      <c r="U1682">
        <f t="shared" si="162"/>
        <v>0</v>
      </c>
      <c r="V1682" t="str">
        <f t="shared" si="159"/>
        <v xml:space="preserve"> </v>
      </c>
    </row>
    <row r="1683" spans="17:22">
      <c r="Q1683">
        <f t="shared" si="160"/>
        <v>0</v>
      </c>
      <c r="R1683">
        <f t="shared" si="158"/>
        <v>1679</v>
      </c>
      <c r="S1683">
        <f>IFERROR(SEARCH(Crewlist!$P$5,V1683)+ROW()/100000,"")</f>
        <v>1.0168299999999999</v>
      </c>
      <c r="T1683">
        <f t="shared" si="161"/>
        <v>0</v>
      </c>
      <c r="U1683">
        <f t="shared" si="162"/>
        <v>0</v>
      </c>
      <c r="V1683" t="str">
        <f t="shared" si="159"/>
        <v xml:space="preserve"> </v>
      </c>
    </row>
    <row r="1684" spans="17:22">
      <c r="Q1684">
        <f t="shared" si="160"/>
        <v>0</v>
      </c>
      <c r="R1684">
        <f t="shared" si="158"/>
        <v>1680</v>
      </c>
      <c r="S1684">
        <f>IFERROR(SEARCH(Crewlist!$P$5,V1684)+ROW()/100000,"")</f>
        <v>1.01684</v>
      </c>
      <c r="T1684">
        <f t="shared" si="161"/>
        <v>0</v>
      </c>
      <c r="U1684">
        <f t="shared" si="162"/>
        <v>0</v>
      </c>
      <c r="V1684" t="str">
        <f t="shared" si="159"/>
        <v xml:space="preserve"> </v>
      </c>
    </row>
    <row r="1685" spans="17:22">
      <c r="Q1685">
        <f t="shared" si="160"/>
        <v>0</v>
      </c>
      <c r="R1685">
        <f t="shared" si="158"/>
        <v>1681</v>
      </c>
      <c r="S1685">
        <f>IFERROR(SEARCH(Crewlist!$P$5,V1685)+ROW()/100000,"")</f>
        <v>1.01685</v>
      </c>
      <c r="T1685">
        <f t="shared" si="161"/>
        <v>0</v>
      </c>
      <c r="U1685">
        <f t="shared" si="162"/>
        <v>0</v>
      </c>
      <c r="V1685" t="str">
        <f t="shared" si="159"/>
        <v xml:space="preserve"> </v>
      </c>
    </row>
    <row r="1686" spans="17:22">
      <c r="Q1686">
        <f t="shared" si="160"/>
        <v>0</v>
      </c>
      <c r="R1686">
        <f t="shared" si="158"/>
        <v>1682</v>
      </c>
      <c r="S1686">
        <f>IFERROR(SEARCH(Crewlist!$P$5,V1686)+ROW()/100000,"")</f>
        <v>1.0168600000000001</v>
      </c>
      <c r="T1686">
        <f t="shared" si="161"/>
        <v>0</v>
      </c>
      <c r="U1686">
        <f t="shared" si="162"/>
        <v>0</v>
      </c>
      <c r="V1686" t="str">
        <f t="shared" si="159"/>
        <v xml:space="preserve"> </v>
      </c>
    </row>
    <row r="1687" spans="17:22">
      <c r="Q1687">
        <f t="shared" si="160"/>
        <v>0</v>
      </c>
      <c r="R1687">
        <f t="shared" si="158"/>
        <v>1683</v>
      </c>
      <c r="S1687">
        <f>IFERROR(SEARCH(Crewlist!$P$5,V1687)+ROW()/100000,"")</f>
        <v>1.0168699999999999</v>
      </c>
      <c r="T1687">
        <f t="shared" si="161"/>
        <v>0</v>
      </c>
      <c r="U1687">
        <f t="shared" si="162"/>
        <v>0</v>
      </c>
      <c r="V1687" t="str">
        <f t="shared" si="159"/>
        <v xml:space="preserve"> </v>
      </c>
    </row>
    <row r="1688" spans="17:22">
      <c r="Q1688">
        <f t="shared" si="160"/>
        <v>0</v>
      </c>
      <c r="R1688">
        <f t="shared" si="158"/>
        <v>1684</v>
      </c>
      <c r="S1688">
        <f>IFERROR(SEARCH(Crewlist!$P$5,V1688)+ROW()/100000,"")</f>
        <v>1.01688</v>
      </c>
      <c r="T1688">
        <f t="shared" si="161"/>
        <v>0</v>
      </c>
      <c r="U1688">
        <f t="shared" si="162"/>
        <v>0</v>
      </c>
      <c r="V1688" t="str">
        <f t="shared" si="159"/>
        <v xml:space="preserve"> </v>
      </c>
    </row>
    <row r="1689" spans="17:22">
      <c r="Q1689">
        <f t="shared" si="160"/>
        <v>0</v>
      </c>
      <c r="R1689">
        <f t="shared" si="158"/>
        <v>1685</v>
      </c>
      <c r="S1689">
        <f>IFERROR(SEARCH(Crewlist!$P$5,V1689)+ROW()/100000,"")</f>
        <v>1.0168900000000001</v>
      </c>
      <c r="T1689">
        <f t="shared" si="161"/>
        <v>0</v>
      </c>
      <c r="U1689">
        <f t="shared" si="162"/>
        <v>0</v>
      </c>
      <c r="V1689" t="str">
        <f t="shared" si="159"/>
        <v xml:space="preserve"> </v>
      </c>
    </row>
    <row r="1690" spans="17:22">
      <c r="Q1690">
        <f t="shared" si="160"/>
        <v>0</v>
      </c>
      <c r="R1690">
        <f t="shared" si="158"/>
        <v>1686</v>
      </c>
      <c r="S1690">
        <f>IFERROR(SEARCH(Crewlist!$P$5,V1690)+ROW()/100000,"")</f>
        <v>1.0168999999999999</v>
      </c>
      <c r="T1690">
        <f t="shared" si="161"/>
        <v>0</v>
      </c>
      <c r="U1690">
        <f t="shared" si="162"/>
        <v>0</v>
      </c>
      <c r="V1690" t="str">
        <f t="shared" si="159"/>
        <v xml:space="preserve"> </v>
      </c>
    </row>
    <row r="1691" spans="17:22">
      <c r="Q1691">
        <f t="shared" si="160"/>
        <v>0</v>
      </c>
      <c r="R1691">
        <f t="shared" si="158"/>
        <v>1687</v>
      </c>
      <c r="S1691">
        <f>IFERROR(SEARCH(Crewlist!$P$5,V1691)+ROW()/100000,"")</f>
        <v>1.01691</v>
      </c>
      <c r="T1691">
        <f t="shared" si="161"/>
        <v>0</v>
      </c>
      <c r="U1691">
        <f t="shared" si="162"/>
        <v>0</v>
      </c>
      <c r="V1691" t="str">
        <f t="shared" si="159"/>
        <v xml:space="preserve"> </v>
      </c>
    </row>
    <row r="1692" spans="17:22">
      <c r="Q1692">
        <f t="shared" si="160"/>
        <v>0</v>
      </c>
      <c r="R1692">
        <f t="shared" si="158"/>
        <v>1688</v>
      </c>
      <c r="S1692">
        <f>IFERROR(SEARCH(Crewlist!$P$5,V1692)+ROW()/100000,"")</f>
        <v>1.01692</v>
      </c>
      <c r="T1692">
        <f t="shared" si="161"/>
        <v>0</v>
      </c>
      <c r="U1692">
        <f t="shared" si="162"/>
        <v>0</v>
      </c>
      <c r="V1692" t="str">
        <f t="shared" si="159"/>
        <v xml:space="preserve"> </v>
      </c>
    </row>
    <row r="1693" spans="17:22">
      <c r="Q1693">
        <f t="shared" si="160"/>
        <v>0</v>
      </c>
      <c r="R1693">
        <f t="shared" si="158"/>
        <v>1689</v>
      </c>
      <c r="S1693">
        <f>IFERROR(SEARCH(Crewlist!$P$5,V1693)+ROW()/100000,"")</f>
        <v>1.0169299999999999</v>
      </c>
      <c r="T1693">
        <f t="shared" si="161"/>
        <v>0</v>
      </c>
      <c r="U1693">
        <f t="shared" si="162"/>
        <v>0</v>
      </c>
      <c r="V1693" t="str">
        <f t="shared" si="159"/>
        <v xml:space="preserve"> </v>
      </c>
    </row>
    <row r="1694" spans="17:22">
      <c r="Q1694">
        <f t="shared" si="160"/>
        <v>0</v>
      </c>
      <c r="R1694">
        <f t="shared" si="158"/>
        <v>1690</v>
      </c>
      <c r="S1694">
        <f>IFERROR(SEARCH(Crewlist!$P$5,V1694)+ROW()/100000,"")</f>
        <v>1.01694</v>
      </c>
      <c r="T1694">
        <f t="shared" si="161"/>
        <v>0</v>
      </c>
      <c r="U1694">
        <f t="shared" si="162"/>
        <v>0</v>
      </c>
      <c r="V1694" t="str">
        <f t="shared" si="159"/>
        <v xml:space="preserve"> </v>
      </c>
    </row>
    <row r="1695" spans="17:22">
      <c r="Q1695">
        <f t="shared" si="160"/>
        <v>0</v>
      </c>
      <c r="R1695">
        <f t="shared" si="158"/>
        <v>1691</v>
      </c>
      <c r="S1695">
        <f>IFERROR(SEARCH(Crewlist!$P$5,V1695)+ROW()/100000,"")</f>
        <v>1.01695</v>
      </c>
      <c r="T1695">
        <f t="shared" si="161"/>
        <v>0</v>
      </c>
      <c r="U1695">
        <f t="shared" si="162"/>
        <v>0</v>
      </c>
      <c r="V1695" t="str">
        <f t="shared" si="159"/>
        <v xml:space="preserve"> </v>
      </c>
    </row>
    <row r="1696" spans="17:22">
      <c r="Q1696">
        <f t="shared" si="160"/>
        <v>0</v>
      </c>
      <c r="R1696">
        <f t="shared" si="158"/>
        <v>1692</v>
      </c>
      <c r="S1696">
        <f>IFERROR(SEARCH(Crewlist!$P$5,V1696)+ROW()/100000,"")</f>
        <v>1.0169600000000001</v>
      </c>
      <c r="T1696">
        <f t="shared" si="161"/>
        <v>0</v>
      </c>
      <c r="U1696">
        <f t="shared" si="162"/>
        <v>0</v>
      </c>
      <c r="V1696" t="str">
        <f t="shared" si="159"/>
        <v xml:space="preserve"> </v>
      </c>
    </row>
    <row r="1697" spans="17:22">
      <c r="Q1697">
        <f t="shared" si="160"/>
        <v>0</v>
      </c>
      <c r="R1697">
        <f t="shared" si="158"/>
        <v>1693</v>
      </c>
      <c r="S1697">
        <f>IFERROR(SEARCH(Crewlist!$P$5,V1697)+ROW()/100000,"")</f>
        <v>1.0169699999999999</v>
      </c>
      <c r="T1697">
        <f t="shared" si="161"/>
        <v>0</v>
      </c>
      <c r="U1697">
        <f t="shared" si="162"/>
        <v>0</v>
      </c>
      <c r="V1697" t="str">
        <f t="shared" si="159"/>
        <v xml:space="preserve"> </v>
      </c>
    </row>
    <row r="1698" spans="17:22">
      <c r="Q1698">
        <f t="shared" si="160"/>
        <v>0</v>
      </c>
      <c r="R1698">
        <f t="shared" si="158"/>
        <v>1694</v>
      </c>
      <c r="S1698">
        <f>IFERROR(SEARCH(Crewlist!$P$5,V1698)+ROW()/100000,"")</f>
        <v>1.01698</v>
      </c>
      <c r="T1698">
        <f t="shared" si="161"/>
        <v>0</v>
      </c>
      <c r="U1698">
        <f t="shared" si="162"/>
        <v>0</v>
      </c>
      <c r="V1698" t="str">
        <f t="shared" si="159"/>
        <v xml:space="preserve"> </v>
      </c>
    </row>
    <row r="1699" spans="17:22">
      <c r="Q1699">
        <f t="shared" si="160"/>
        <v>0</v>
      </c>
      <c r="R1699">
        <f t="shared" si="158"/>
        <v>1695</v>
      </c>
      <c r="S1699">
        <f>IFERROR(SEARCH(Crewlist!$P$5,V1699)+ROW()/100000,"")</f>
        <v>1.0169900000000001</v>
      </c>
      <c r="T1699">
        <f t="shared" si="161"/>
        <v>0</v>
      </c>
      <c r="U1699">
        <f t="shared" si="162"/>
        <v>0</v>
      </c>
      <c r="V1699" t="str">
        <f t="shared" si="159"/>
        <v xml:space="preserve"> </v>
      </c>
    </row>
    <row r="1700" spans="17:22">
      <c r="Q1700">
        <f t="shared" si="160"/>
        <v>0</v>
      </c>
      <c r="R1700">
        <f t="shared" si="158"/>
        <v>1696</v>
      </c>
      <c r="S1700">
        <f>IFERROR(SEARCH(Crewlist!$P$5,V1700)+ROW()/100000,"")</f>
        <v>1.0169999999999999</v>
      </c>
      <c r="T1700">
        <f t="shared" si="161"/>
        <v>0</v>
      </c>
      <c r="U1700">
        <f t="shared" si="162"/>
        <v>0</v>
      </c>
      <c r="V1700" t="str">
        <f t="shared" si="159"/>
        <v xml:space="preserve"> </v>
      </c>
    </row>
    <row r="1701" spans="17:22">
      <c r="Q1701">
        <f t="shared" si="160"/>
        <v>0</v>
      </c>
      <c r="R1701">
        <f t="shared" si="158"/>
        <v>1697</v>
      </c>
      <c r="S1701">
        <f>IFERROR(SEARCH(Crewlist!$P$5,V1701)+ROW()/100000,"")</f>
        <v>1.01701</v>
      </c>
      <c r="T1701">
        <f t="shared" si="161"/>
        <v>0</v>
      </c>
      <c r="U1701">
        <f t="shared" si="162"/>
        <v>0</v>
      </c>
      <c r="V1701" t="str">
        <f t="shared" si="159"/>
        <v xml:space="preserve"> </v>
      </c>
    </row>
    <row r="1702" spans="17:22">
      <c r="Q1702">
        <f t="shared" si="160"/>
        <v>0</v>
      </c>
      <c r="R1702">
        <f t="shared" si="158"/>
        <v>1698</v>
      </c>
      <c r="S1702">
        <f>IFERROR(SEARCH(Crewlist!$P$5,V1702)+ROW()/100000,"")</f>
        <v>1.01702</v>
      </c>
      <c r="T1702">
        <f t="shared" si="161"/>
        <v>0</v>
      </c>
      <c r="U1702">
        <f t="shared" si="162"/>
        <v>0</v>
      </c>
      <c r="V1702" t="str">
        <f t="shared" si="159"/>
        <v xml:space="preserve"> </v>
      </c>
    </row>
    <row r="1703" spans="17:22">
      <c r="Q1703">
        <f t="shared" si="160"/>
        <v>0</v>
      </c>
      <c r="R1703">
        <f t="shared" si="158"/>
        <v>1699</v>
      </c>
      <c r="S1703">
        <f>IFERROR(SEARCH(Crewlist!$P$5,V1703)+ROW()/100000,"")</f>
        <v>1.0170300000000001</v>
      </c>
      <c r="T1703">
        <f t="shared" si="161"/>
        <v>0</v>
      </c>
      <c r="U1703">
        <f t="shared" si="162"/>
        <v>0</v>
      </c>
      <c r="V1703" t="str">
        <f t="shared" si="159"/>
        <v xml:space="preserve"> </v>
      </c>
    </row>
    <row r="1704" spans="17:22">
      <c r="Q1704">
        <f t="shared" si="160"/>
        <v>0</v>
      </c>
      <c r="R1704">
        <f t="shared" si="158"/>
        <v>1700</v>
      </c>
      <c r="S1704">
        <f>IFERROR(SEARCH(Crewlist!$P$5,V1704)+ROW()/100000,"")</f>
        <v>1.0170399999999999</v>
      </c>
      <c r="T1704">
        <f t="shared" si="161"/>
        <v>0</v>
      </c>
      <c r="U1704">
        <f t="shared" si="162"/>
        <v>0</v>
      </c>
      <c r="V1704" t="str">
        <f t="shared" si="159"/>
        <v xml:space="preserve"> </v>
      </c>
    </row>
    <row r="1705" spans="17:22">
      <c r="Q1705">
        <f t="shared" si="160"/>
        <v>0</v>
      </c>
      <c r="R1705">
        <f t="shared" si="158"/>
        <v>1701</v>
      </c>
      <c r="S1705">
        <f>IFERROR(SEARCH(Crewlist!$P$5,V1705)+ROW()/100000,"")</f>
        <v>1.01705</v>
      </c>
      <c r="T1705">
        <f t="shared" si="161"/>
        <v>0</v>
      </c>
      <c r="U1705">
        <f t="shared" si="162"/>
        <v>0</v>
      </c>
      <c r="V1705" t="str">
        <f t="shared" si="159"/>
        <v xml:space="preserve"> </v>
      </c>
    </row>
    <row r="1706" spans="17:22">
      <c r="Q1706">
        <f t="shared" si="160"/>
        <v>0</v>
      </c>
      <c r="R1706">
        <f t="shared" si="158"/>
        <v>1702</v>
      </c>
      <c r="S1706">
        <f>IFERROR(SEARCH(Crewlist!$P$5,V1706)+ROW()/100000,"")</f>
        <v>1.0170600000000001</v>
      </c>
      <c r="T1706">
        <f t="shared" si="161"/>
        <v>0</v>
      </c>
      <c r="U1706">
        <f t="shared" si="162"/>
        <v>0</v>
      </c>
      <c r="V1706" t="str">
        <f t="shared" si="159"/>
        <v xml:space="preserve"> </v>
      </c>
    </row>
    <row r="1707" spans="17:22">
      <c r="Q1707">
        <f t="shared" si="160"/>
        <v>0</v>
      </c>
      <c r="R1707">
        <f t="shared" si="158"/>
        <v>1703</v>
      </c>
      <c r="S1707">
        <f>IFERROR(SEARCH(Crewlist!$P$5,V1707)+ROW()/100000,"")</f>
        <v>1.0170699999999999</v>
      </c>
      <c r="T1707">
        <f t="shared" si="161"/>
        <v>0</v>
      </c>
      <c r="U1707">
        <f t="shared" si="162"/>
        <v>0</v>
      </c>
      <c r="V1707" t="str">
        <f t="shared" si="159"/>
        <v xml:space="preserve"> </v>
      </c>
    </row>
    <row r="1708" spans="17:22">
      <c r="Q1708">
        <f t="shared" si="160"/>
        <v>0</v>
      </c>
      <c r="R1708">
        <f t="shared" si="158"/>
        <v>1704</v>
      </c>
      <c r="S1708">
        <f>IFERROR(SEARCH(Crewlist!$P$5,V1708)+ROW()/100000,"")</f>
        <v>1.01708</v>
      </c>
      <c r="T1708">
        <f t="shared" si="161"/>
        <v>0</v>
      </c>
      <c r="U1708">
        <f t="shared" si="162"/>
        <v>0</v>
      </c>
      <c r="V1708" t="str">
        <f t="shared" si="159"/>
        <v xml:space="preserve"> </v>
      </c>
    </row>
    <row r="1709" spans="17:22">
      <c r="Q1709">
        <f t="shared" si="160"/>
        <v>0</v>
      </c>
      <c r="R1709">
        <f t="shared" si="158"/>
        <v>1705</v>
      </c>
      <c r="S1709">
        <f>IFERROR(SEARCH(Crewlist!$P$5,V1709)+ROW()/100000,"")</f>
        <v>1.01709</v>
      </c>
      <c r="T1709">
        <f t="shared" si="161"/>
        <v>0</v>
      </c>
      <c r="U1709">
        <f t="shared" si="162"/>
        <v>0</v>
      </c>
      <c r="V1709" t="str">
        <f t="shared" si="159"/>
        <v xml:space="preserve"> </v>
      </c>
    </row>
    <row r="1710" spans="17:22">
      <c r="Q1710">
        <f t="shared" si="160"/>
        <v>0</v>
      </c>
      <c r="R1710">
        <f t="shared" si="158"/>
        <v>1706</v>
      </c>
      <c r="S1710">
        <f>IFERROR(SEARCH(Crewlist!$P$5,V1710)+ROW()/100000,"")</f>
        <v>1.0170999999999999</v>
      </c>
      <c r="T1710">
        <f t="shared" si="161"/>
        <v>0</v>
      </c>
      <c r="U1710">
        <f t="shared" si="162"/>
        <v>0</v>
      </c>
      <c r="V1710" t="str">
        <f t="shared" si="159"/>
        <v xml:space="preserve"> </v>
      </c>
    </row>
    <row r="1711" spans="17:22">
      <c r="Q1711">
        <f t="shared" si="160"/>
        <v>0</v>
      </c>
      <c r="R1711">
        <f t="shared" si="158"/>
        <v>1707</v>
      </c>
      <c r="S1711">
        <f>IFERROR(SEARCH(Crewlist!$P$5,V1711)+ROW()/100000,"")</f>
        <v>1.01711</v>
      </c>
      <c r="T1711">
        <f t="shared" si="161"/>
        <v>0</v>
      </c>
      <c r="U1711">
        <f t="shared" si="162"/>
        <v>0</v>
      </c>
      <c r="V1711" t="str">
        <f t="shared" si="159"/>
        <v xml:space="preserve"> </v>
      </c>
    </row>
    <row r="1712" spans="17:22">
      <c r="Q1712">
        <f t="shared" si="160"/>
        <v>0</v>
      </c>
      <c r="R1712">
        <f t="shared" si="158"/>
        <v>1708</v>
      </c>
      <c r="S1712">
        <f>IFERROR(SEARCH(Crewlist!$P$5,V1712)+ROW()/100000,"")</f>
        <v>1.01712</v>
      </c>
      <c r="T1712">
        <f t="shared" si="161"/>
        <v>0</v>
      </c>
      <c r="U1712">
        <f t="shared" si="162"/>
        <v>0</v>
      </c>
      <c r="V1712" t="str">
        <f t="shared" si="159"/>
        <v xml:space="preserve"> </v>
      </c>
    </row>
    <row r="1713" spans="17:22">
      <c r="Q1713">
        <f t="shared" si="160"/>
        <v>0</v>
      </c>
      <c r="R1713">
        <f t="shared" si="158"/>
        <v>1709</v>
      </c>
      <c r="S1713">
        <f>IFERROR(SEARCH(Crewlist!$P$5,V1713)+ROW()/100000,"")</f>
        <v>1.0171300000000001</v>
      </c>
      <c r="T1713">
        <f t="shared" si="161"/>
        <v>0</v>
      </c>
      <c r="U1713">
        <f t="shared" si="162"/>
        <v>0</v>
      </c>
      <c r="V1713" t="str">
        <f t="shared" si="159"/>
        <v xml:space="preserve"> </v>
      </c>
    </row>
    <row r="1714" spans="17:22">
      <c r="Q1714">
        <f t="shared" si="160"/>
        <v>0</v>
      </c>
      <c r="R1714">
        <f t="shared" si="158"/>
        <v>1710</v>
      </c>
      <c r="S1714">
        <f>IFERROR(SEARCH(Crewlist!$P$5,V1714)+ROW()/100000,"")</f>
        <v>1.0171399999999999</v>
      </c>
      <c r="T1714">
        <f t="shared" si="161"/>
        <v>0</v>
      </c>
      <c r="U1714">
        <f t="shared" si="162"/>
        <v>0</v>
      </c>
      <c r="V1714" t="str">
        <f t="shared" si="159"/>
        <v xml:space="preserve"> </v>
      </c>
    </row>
    <row r="1715" spans="17:22">
      <c r="Q1715">
        <f t="shared" si="160"/>
        <v>0</v>
      </c>
      <c r="R1715">
        <f t="shared" si="158"/>
        <v>1711</v>
      </c>
      <c r="S1715">
        <f>IFERROR(SEARCH(Crewlist!$P$5,V1715)+ROW()/100000,"")</f>
        <v>1.01715</v>
      </c>
      <c r="T1715">
        <f t="shared" si="161"/>
        <v>0</v>
      </c>
      <c r="U1715">
        <f t="shared" si="162"/>
        <v>0</v>
      </c>
      <c r="V1715" t="str">
        <f t="shared" si="159"/>
        <v xml:space="preserve"> </v>
      </c>
    </row>
    <row r="1716" spans="17:22">
      <c r="Q1716">
        <f t="shared" si="160"/>
        <v>0</v>
      </c>
      <c r="R1716">
        <f t="shared" si="158"/>
        <v>1712</v>
      </c>
      <c r="S1716">
        <f>IFERROR(SEARCH(Crewlist!$P$5,V1716)+ROW()/100000,"")</f>
        <v>1.0171600000000001</v>
      </c>
      <c r="T1716">
        <f t="shared" si="161"/>
        <v>0</v>
      </c>
      <c r="U1716">
        <f t="shared" si="162"/>
        <v>0</v>
      </c>
      <c r="V1716" t="str">
        <f t="shared" si="159"/>
        <v xml:space="preserve"> </v>
      </c>
    </row>
    <row r="1717" spans="17:22">
      <c r="Q1717">
        <f t="shared" si="160"/>
        <v>0</v>
      </c>
      <c r="R1717">
        <f t="shared" si="158"/>
        <v>1713</v>
      </c>
      <c r="S1717">
        <f>IFERROR(SEARCH(Crewlist!$P$5,V1717)+ROW()/100000,"")</f>
        <v>1.0171699999999999</v>
      </c>
      <c r="T1717">
        <f t="shared" si="161"/>
        <v>0</v>
      </c>
      <c r="U1717">
        <f t="shared" si="162"/>
        <v>0</v>
      </c>
      <c r="V1717" t="str">
        <f t="shared" si="159"/>
        <v xml:space="preserve"> </v>
      </c>
    </row>
    <row r="1718" spans="17:22">
      <c r="Q1718">
        <f t="shared" si="160"/>
        <v>0</v>
      </c>
      <c r="R1718">
        <f t="shared" si="158"/>
        <v>1714</v>
      </c>
      <c r="S1718">
        <f>IFERROR(SEARCH(Crewlist!$P$5,V1718)+ROW()/100000,"")</f>
        <v>1.01718</v>
      </c>
      <c r="T1718">
        <f t="shared" si="161"/>
        <v>0</v>
      </c>
      <c r="U1718">
        <f t="shared" si="162"/>
        <v>0</v>
      </c>
      <c r="V1718" t="str">
        <f t="shared" si="159"/>
        <v xml:space="preserve"> </v>
      </c>
    </row>
    <row r="1719" spans="17:22">
      <c r="Q1719">
        <f t="shared" si="160"/>
        <v>0</v>
      </c>
      <c r="R1719">
        <f t="shared" si="158"/>
        <v>1715</v>
      </c>
      <c r="S1719">
        <f>IFERROR(SEARCH(Crewlist!$P$5,V1719)+ROW()/100000,"")</f>
        <v>1.01719</v>
      </c>
      <c r="T1719">
        <f t="shared" si="161"/>
        <v>0</v>
      </c>
      <c r="U1719">
        <f t="shared" si="162"/>
        <v>0</v>
      </c>
      <c r="V1719" t="str">
        <f t="shared" si="159"/>
        <v xml:space="preserve"> </v>
      </c>
    </row>
    <row r="1720" spans="17:22">
      <c r="Q1720">
        <f t="shared" si="160"/>
        <v>0</v>
      </c>
      <c r="R1720">
        <f t="shared" si="158"/>
        <v>1716</v>
      </c>
      <c r="S1720">
        <f>IFERROR(SEARCH(Crewlist!$P$5,V1720)+ROW()/100000,"")</f>
        <v>1.0172000000000001</v>
      </c>
      <c r="T1720">
        <f t="shared" si="161"/>
        <v>0</v>
      </c>
      <c r="U1720">
        <f t="shared" si="162"/>
        <v>0</v>
      </c>
      <c r="V1720" t="str">
        <f t="shared" si="159"/>
        <v xml:space="preserve"> </v>
      </c>
    </row>
    <row r="1721" spans="17:22">
      <c r="Q1721">
        <f t="shared" si="160"/>
        <v>0</v>
      </c>
      <c r="R1721">
        <f t="shared" si="158"/>
        <v>1717</v>
      </c>
      <c r="S1721">
        <f>IFERROR(SEARCH(Crewlist!$P$5,V1721)+ROW()/100000,"")</f>
        <v>1.0172099999999999</v>
      </c>
      <c r="T1721">
        <f t="shared" si="161"/>
        <v>0</v>
      </c>
      <c r="U1721">
        <f t="shared" si="162"/>
        <v>0</v>
      </c>
      <c r="V1721" t="str">
        <f t="shared" si="159"/>
        <v xml:space="preserve"> </v>
      </c>
    </row>
    <row r="1722" spans="17:22">
      <c r="Q1722">
        <f t="shared" si="160"/>
        <v>0</v>
      </c>
      <c r="R1722">
        <f t="shared" si="158"/>
        <v>1718</v>
      </c>
      <c r="S1722">
        <f>IFERROR(SEARCH(Crewlist!$P$5,V1722)+ROW()/100000,"")</f>
        <v>1.01722</v>
      </c>
      <c r="T1722">
        <f t="shared" si="161"/>
        <v>0</v>
      </c>
      <c r="U1722">
        <f t="shared" si="162"/>
        <v>0</v>
      </c>
      <c r="V1722" t="str">
        <f t="shared" si="159"/>
        <v xml:space="preserve"> </v>
      </c>
    </row>
    <row r="1723" spans="17:22">
      <c r="Q1723">
        <f t="shared" si="160"/>
        <v>0</v>
      </c>
      <c r="R1723">
        <f t="shared" si="158"/>
        <v>1719</v>
      </c>
      <c r="S1723">
        <f>IFERROR(SEARCH(Crewlist!$P$5,V1723)+ROW()/100000,"")</f>
        <v>1.0172300000000001</v>
      </c>
      <c r="T1723">
        <f t="shared" si="161"/>
        <v>0</v>
      </c>
      <c r="U1723">
        <f t="shared" si="162"/>
        <v>0</v>
      </c>
      <c r="V1723" t="str">
        <f t="shared" si="159"/>
        <v xml:space="preserve"> </v>
      </c>
    </row>
    <row r="1724" spans="17:22">
      <c r="Q1724">
        <f t="shared" si="160"/>
        <v>0</v>
      </c>
      <c r="R1724">
        <f t="shared" si="158"/>
        <v>1720</v>
      </c>
      <c r="S1724">
        <f>IFERROR(SEARCH(Crewlist!$P$5,V1724)+ROW()/100000,"")</f>
        <v>1.0172399999999999</v>
      </c>
      <c r="T1724">
        <f t="shared" si="161"/>
        <v>0</v>
      </c>
      <c r="U1724">
        <f t="shared" si="162"/>
        <v>0</v>
      </c>
      <c r="V1724" t="str">
        <f t="shared" si="159"/>
        <v xml:space="preserve"> </v>
      </c>
    </row>
    <row r="1725" spans="17:22">
      <c r="Q1725">
        <f t="shared" si="160"/>
        <v>0</v>
      </c>
      <c r="R1725">
        <f t="shared" si="158"/>
        <v>1721</v>
      </c>
      <c r="S1725">
        <f>IFERROR(SEARCH(Crewlist!$P$5,V1725)+ROW()/100000,"")</f>
        <v>1.01725</v>
      </c>
      <c r="T1725">
        <f t="shared" si="161"/>
        <v>0</v>
      </c>
      <c r="U1725">
        <f t="shared" si="162"/>
        <v>0</v>
      </c>
      <c r="V1725" t="str">
        <f t="shared" si="159"/>
        <v xml:space="preserve"> </v>
      </c>
    </row>
    <row r="1726" spans="17:22">
      <c r="Q1726">
        <f t="shared" si="160"/>
        <v>0</v>
      </c>
      <c r="R1726">
        <f t="shared" si="158"/>
        <v>1722</v>
      </c>
      <c r="S1726">
        <f>IFERROR(SEARCH(Crewlist!$P$5,V1726)+ROW()/100000,"")</f>
        <v>1.0172600000000001</v>
      </c>
      <c r="T1726">
        <f t="shared" si="161"/>
        <v>0</v>
      </c>
      <c r="U1726">
        <f t="shared" si="162"/>
        <v>0</v>
      </c>
      <c r="V1726" t="str">
        <f t="shared" si="159"/>
        <v xml:space="preserve"> </v>
      </c>
    </row>
    <row r="1727" spans="17:22">
      <c r="Q1727">
        <f t="shared" si="160"/>
        <v>0</v>
      </c>
      <c r="R1727">
        <f t="shared" si="158"/>
        <v>1723</v>
      </c>
      <c r="S1727">
        <f>IFERROR(SEARCH(Crewlist!$P$5,V1727)+ROW()/100000,"")</f>
        <v>1.0172699999999999</v>
      </c>
      <c r="T1727">
        <f t="shared" si="161"/>
        <v>0</v>
      </c>
      <c r="U1727">
        <f t="shared" si="162"/>
        <v>0</v>
      </c>
      <c r="V1727" t="str">
        <f t="shared" si="159"/>
        <v xml:space="preserve"> </v>
      </c>
    </row>
    <row r="1728" spans="17:22">
      <c r="Q1728">
        <f t="shared" si="160"/>
        <v>0</v>
      </c>
      <c r="R1728">
        <f t="shared" si="158"/>
        <v>1724</v>
      </c>
      <c r="S1728">
        <f>IFERROR(SEARCH(Crewlist!$P$5,V1728)+ROW()/100000,"")</f>
        <v>1.01728</v>
      </c>
      <c r="T1728">
        <f t="shared" si="161"/>
        <v>0</v>
      </c>
      <c r="U1728">
        <f t="shared" si="162"/>
        <v>0</v>
      </c>
      <c r="V1728" t="str">
        <f t="shared" si="159"/>
        <v xml:space="preserve"> </v>
      </c>
    </row>
    <row r="1729" spans="17:22">
      <c r="Q1729">
        <f t="shared" si="160"/>
        <v>0</v>
      </c>
      <c r="R1729">
        <f t="shared" si="158"/>
        <v>1725</v>
      </c>
      <c r="S1729">
        <f>IFERROR(SEARCH(Crewlist!$P$5,V1729)+ROW()/100000,"")</f>
        <v>1.01729</v>
      </c>
      <c r="T1729">
        <f t="shared" si="161"/>
        <v>0</v>
      </c>
      <c r="U1729">
        <f t="shared" si="162"/>
        <v>0</v>
      </c>
      <c r="V1729" t="str">
        <f t="shared" si="159"/>
        <v xml:space="preserve"> </v>
      </c>
    </row>
    <row r="1730" spans="17:22">
      <c r="Q1730">
        <f t="shared" si="160"/>
        <v>0</v>
      </c>
      <c r="R1730">
        <f t="shared" ref="R1730:R1793" si="163">IFERROR(RANK(S1730,$S$2:$S$1998,1),"")</f>
        <v>1726</v>
      </c>
      <c r="S1730">
        <f>IFERROR(SEARCH(Crewlist!$P$5,V1730)+ROW()/100000,"")</f>
        <v>1.0173000000000001</v>
      </c>
      <c r="T1730">
        <f t="shared" si="161"/>
        <v>0</v>
      </c>
      <c r="U1730">
        <f t="shared" si="162"/>
        <v>0</v>
      </c>
      <c r="V1730" t="str">
        <f t="shared" si="159"/>
        <v xml:space="preserve"> </v>
      </c>
    </row>
    <row r="1731" spans="17:22">
      <c r="Q1731">
        <f t="shared" si="160"/>
        <v>0</v>
      </c>
      <c r="R1731">
        <f t="shared" si="163"/>
        <v>1727</v>
      </c>
      <c r="S1731">
        <f>IFERROR(SEARCH(Crewlist!$P$5,V1731)+ROW()/100000,"")</f>
        <v>1.0173099999999999</v>
      </c>
      <c r="T1731">
        <f t="shared" si="161"/>
        <v>0</v>
      </c>
      <c r="U1731">
        <f t="shared" si="162"/>
        <v>0</v>
      </c>
      <c r="V1731" t="str">
        <f t="shared" ref="V1731:V1794" si="164">CONCATENATE(C1731," ",D1731)</f>
        <v xml:space="preserve"> </v>
      </c>
    </row>
    <row r="1732" spans="17:22">
      <c r="Q1732">
        <f t="shared" si="160"/>
        <v>0</v>
      </c>
      <c r="R1732">
        <f t="shared" si="163"/>
        <v>1728</v>
      </c>
      <c r="S1732">
        <f>IFERROR(SEARCH(Crewlist!$P$5,V1732)+ROW()/100000,"")</f>
        <v>1.01732</v>
      </c>
      <c r="T1732">
        <f t="shared" si="161"/>
        <v>0</v>
      </c>
      <c r="U1732">
        <f t="shared" si="162"/>
        <v>0</v>
      </c>
      <c r="V1732" t="str">
        <f t="shared" si="164"/>
        <v xml:space="preserve"> </v>
      </c>
    </row>
    <row r="1733" spans="17:22">
      <c r="Q1733">
        <f t="shared" si="160"/>
        <v>0</v>
      </c>
      <c r="R1733">
        <f t="shared" si="163"/>
        <v>1729</v>
      </c>
      <c r="S1733">
        <f>IFERROR(SEARCH(Crewlist!$P$5,V1733)+ROW()/100000,"")</f>
        <v>1.0173300000000001</v>
      </c>
      <c r="T1733">
        <f t="shared" si="161"/>
        <v>0</v>
      </c>
      <c r="U1733">
        <f t="shared" si="162"/>
        <v>0</v>
      </c>
      <c r="V1733" t="str">
        <f t="shared" si="164"/>
        <v xml:space="preserve"> </v>
      </c>
    </row>
    <row r="1734" spans="17:22">
      <c r="Q1734">
        <f t="shared" si="160"/>
        <v>0</v>
      </c>
      <c r="R1734">
        <f t="shared" si="163"/>
        <v>1730</v>
      </c>
      <c r="S1734">
        <f>IFERROR(SEARCH(Crewlist!$P$5,V1734)+ROW()/100000,"")</f>
        <v>1.0173399999999999</v>
      </c>
      <c r="T1734">
        <f t="shared" si="161"/>
        <v>0</v>
      </c>
      <c r="U1734">
        <f t="shared" si="162"/>
        <v>0</v>
      </c>
      <c r="V1734" t="str">
        <f t="shared" si="164"/>
        <v xml:space="preserve"> </v>
      </c>
    </row>
    <row r="1735" spans="17:22">
      <c r="Q1735">
        <f t="shared" si="160"/>
        <v>0</v>
      </c>
      <c r="R1735">
        <f t="shared" si="163"/>
        <v>1731</v>
      </c>
      <c r="S1735">
        <f>IFERROR(SEARCH(Crewlist!$P$5,V1735)+ROW()/100000,"")</f>
        <v>1.01735</v>
      </c>
      <c r="T1735">
        <f t="shared" si="161"/>
        <v>0</v>
      </c>
      <c r="U1735">
        <f t="shared" si="162"/>
        <v>0</v>
      </c>
      <c r="V1735" t="str">
        <f t="shared" si="164"/>
        <v xml:space="preserve"> </v>
      </c>
    </row>
    <row r="1736" spans="17:22">
      <c r="Q1736">
        <f t="shared" si="160"/>
        <v>0</v>
      </c>
      <c r="R1736">
        <f t="shared" si="163"/>
        <v>1732</v>
      </c>
      <c r="S1736">
        <f>IFERROR(SEARCH(Crewlist!$P$5,V1736)+ROW()/100000,"")</f>
        <v>1.01736</v>
      </c>
      <c r="T1736">
        <f t="shared" si="161"/>
        <v>0</v>
      </c>
      <c r="U1736">
        <f t="shared" si="162"/>
        <v>0</v>
      </c>
      <c r="V1736" t="str">
        <f t="shared" si="164"/>
        <v xml:space="preserve"> </v>
      </c>
    </row>
    <row r="1737" spans="17:22">
      <c r="Q1737">
        <f t="shared" ref="Q1737:Q1800" si="165">IF(C1737&lt;&gt; "",B1737,0)</f>
        <v>0</v>
      </c>
      <c r="R1737">
        <f t="shared" si="163"/>
        <v>1733</v>
      </c>
      <c r="S1737">
        <f>IFERROR(SEARCH(Crewlist!$P$5,V1737)+ROW()/100000,"")</f>
        <v>1.0173700000000001</v>
      </c>
      <c r="T1737">
        <f t="shared" ref="T1737:T1800" si="166">B1737</f>
        <v>0</v>
      </c>
      <c r="U1737">
        <f t="shared" ref="U1737:U1800" si="167">C1737</f>
        <v>0</v>
      </c>
      <c r="V1737" t="str">
        <f t="shared" si="164"/>
        <v xml:space="preserve"> </v>
      </c>
    </row>
    <row r="1738" spans="17:22">
      <c r="Q1738">
        <f t="shared" si="165"/>
        <v>0</v>
      </c>
      <c r="R1738">
        <f t="shared" si="163"/>
        <v>1734</v>
      </c>
      <c r="S1738">
        <f>IFERROR(SEARCH(Crewlist!$P$5,V1738)+ROW()/100000,"")</f>
        <v>1.01738</v>
      </c>
      <c r="T1738">
        <f t="shared" si="166"/>
        <v>0</v>
      </c>
      <c r="U1738">
        <f t="shared" si="167"/>
        <v>0</v>
      </c>
      <c r="V1738" t="str">
        <f t="shared" si="164"/>
        <v xml:space="preserve"> </v>
      </c>
    </row>
    <row r="1739" spans="17:22">
      <c r="Q1739">
        <f t="shared" si="165"/>
        <v>0</v>
      </c>
      <c r="R1739">
        <f t="shared" si="163"/>
        <v>1735</v>
      </c>
      <c r="S1739">
        <f>IFERROR(SEARCH(Crewlist!$P$5,V1739)+ROW()/100000,"")</f>
        <v>1.01739</v>
      </c>
      <c r="T1739">
        <f t="shared" si="166"/>
        <v>0</v>
      </c>
      <c r="U1739">
        <f t="shared" si="167"/>
        <v>0</v>
      </c>
      <c r="V1739" t="str">
        <f t="shared" si="164"/>
        <v xml:space="preserve"> </v>
      </c>
    </row>
    <row r="1740" spans="17:22">
      <c r="Q1740">
        <f t="shared" si="165"/>
        <v>0</v>
      </c>
      <c r="R1740">
        <f t="shared" si="163"/>
        <v>1736</v>
      </c>
      <c r="S1740">
        <f>IFERROR(SEARCH(Crewlist!$P$5,V1740)+ROW()/100000,"")</f>
        <v>1.0174000000000001</v>
      </c>
      <c r="T1740">
        <f t="shared" si="166"/>
        <v>0</v>
      </c>
      <c r="U1740">
        <f t="shared" si="167"/>
        <v>0</v>
      </c>
      <c r="V1740" t="str">
        <f t="shared" si="164"/>
        <v xml:space="preserve"> </v>
      </c>
    </row>
    <row r="1741" spans="17:22">
      <c r="Q1741">
        <f t="shared" si="165"/>
        <v>0</v>
      </c>
      <c r="R1741">
        <f t="shared" si="163"/>
        <v>1737</v>
      </c>
      <c r="S1741">
        <f>IFERROR(SEARCH(Crewlist!$P$5,V1741)+ROW()/100000,"")</f>
        <v>1.0174099999999999</v>
      </c>
      <c r="T1741">
        <f t="shared" si="166"/>
        <v>0</v>
      </c>
      <c r="U1741">
        <f t="shared" si="167"/>
        <v>0</v>
      </c>
      <c r="V1741" t="str">
        <f t="shared" si="164"/>
        <v xml:space="preserve"> </v>
      </c>
    </row>
    <row r="1742" spans="17:22">
      <c r="Q1742">
        <f t="shared" si="165"/>
        <v>0</v>
      </c>
      <c r="R1742">
        <f t="shared" si="163"/>
        <v>1738</v>
      </c>
      <c r="S1742">
        <f>IFERROR(SEARCH(Crewlist!$P$5,V1742)+ROW()/100000,"")</f>
        <v>1.01742</v>
      </c>
      <c r="T1742">
        <f t="shared" si="166"/>
        <v>0</v>
      </c>
      <c r="U1742">
        <f t="shared" si="167"/>
        <v>0</v>
      </c>
      <c r="V1742" t="str">
        <f t="shared" si="164"/>
        <v xml:space="preserve"> </v>
      </c>
    </row>
    <row r="1743" spans="17:22">
      <c r="Q1743">
        <f t="shared" si="165"/>
        <v>0</v>
      </c>
      <c r="R1743">
        <f t="shared" si="163"/>
        <v>1739</v>
      </c>
      <c r="S1743">
        <f>IFERROR(SEARCH(Crewlist!$P$5,V1743)+ROW()/100000,"")</f>
        <v>1.0174300000000001</v>
      </c>
      <c r="T1743">
        <f t="shared" si="166"/>
        <v>0</v>
      </c>
      <c r="U1743">
        <f t="shared" si="167"/>
        <v>0</v>
      </c>
      <c r="V1743" t="str">
        <f t="shared" si="164"/>
        <v xml:space="preserve"> </v>
      </c>
    </row>
    <row r="1744" spans="17:22">
      <c r="Q1744">
        <f t="shared" si="165"/>
        <v>0</v>
      </c>
      <c r="R1744">
        <f t="shared" si="163"/>
        <v>1740</v>
      </c>
      <c r="S1744">
        <f>IFERROR(SEARCH(Crewlist!$P$5,V1744)+ROW()/100000,"")</f>
        <v>1.0174399999999999</v>
      </c>
      <c r="T1744">
        <f t="shared" si="166"/>
        <v>0</v>
      </c>
      <c r="U1744">
        <f t="shared" si="167"/>
        <v>0</v>
      </c>
      <c r="V1744" t="str">
        <f t="shared" si="164"/>
        <v xml:space="preserve"> </v>
      </c>
    </row>
    <row r="1745" spans="17:22">
      <c r="Q1745">
        <f t="shared" si="165"/>
        <v>0</v>
      </c>
      <c r="R1745">
        <f t="shared" si="163"/>
        <v>1741</v>
      </c>
      <c r="S1745">
        <f>IFERROR(SEARCH(Crewlist!$P$5,V1745)+ROW()/100000,"")</f>
        <v>1.01745</v>
      </c>
      <c r="T1745">
        <f t="shared" si="166"/>
        <v>0</v>
      </c>
      <c r="U1745">
        <f t="shared" si="167"/>
        <v>0</v>
      </c>
      <c r="V1745" t="str">
        <f t="shared" si="164"/>
        <v xml:space="preserve"> </v>
      </c>
    </row>
    <row r="1746" spans="17:22">
      <c r="Q1746">
        <f t="shared" si="165"/>
        <v>0</v>
      </c>
      <c r="R1746">
        <f t="shared" si="163"/>
        <v>1742</v>
      </c>
      <c r="S1746">
        <f>IFERROR(SEARCH(Crewlist!$P$5,V1746)+ROW()/100000,"")</f>
        <v>1.01746</v>
      </c>
      <c r="T1746">
        <f t="shared" si="166"/>
        <v>0</v>
      </c>
      <c r="U1746">
        <f t="shared" si="167"/>
        <v>0</v>
      </c>
      <c r="V1746" t="str">
        <f t="shared" si="164"/>
        <v xml:space="preserve"> </v>
      </c>
    </row>
    <row r="1747" spans="17:22">
      <c r="Q1747">
        <f t="shared" si="165"/>
        <v>0</v>
      </c>
      <c r="R1747">
        <f t="shared" si="163"/>
        <v>1743</v>
      </c>
      <c r="S1747">
        <f>IFERROR(SEARCH(Crewlist!$P$5,V1747)+ROW()/100000,"")</f>
        <v>1.0174700000000001</v>
      </c>
      <c r="T1747">
        <f t="shared" si="166"/>
        <v>0</v>
      </c>
      <c r="U1747">
        <f t="shared" si="167"/>
        <v>0</v>
      </c>
      <c r="V1747" t="str">
        <f t="shared" si="164"/>
        <v xml:space="preserve"> </v>
      </c>
    </row>
    <row r="1748" spans="17:22">
      <c r="Q1748">
        <f t="shared" si="165"/>
        <v>0</v>
      </c>
      <c r="R1748">
        <f t="shared" si="163"/>
        <v>1744</v>
      </c>
      <c r="S1748">
        <f>IFERROR(SEARCH(Crewlist!$P$5,V1748)+ROW()/100000,"")</f>
        <v>1.0174799999999999</v>
      </c>
      <c r="T1748">
        <f t="shared" si="166"/>
        <v>0</v>
      </c>
      <c r="U1748">
        <f t="shared" si="167"/>
        <v>0</v>
      </c>
      <c r="V1748" t="str">
        <f t="shared" si="164"/>
        <v xml:space="preserve"> </v>
      </c>
    </row>
    <row r="1749" spans="17:22">
      <c r="Q1749">
        <f t="shared" si="165"/>
        <v>0</v>
      </c>
      <c r="R1749">
        <f t="shared" si="163"/>
        <v>1745</v>
      </c>
      <c r="S1749">
        <f>IFERROR(SEARCH(Crewlist!$P$5,V1749)+ROW()/100000,"")</f>
        <v>1.01749</v>
      </c>
      <c r="T1749">
        <f t="shared" si="166"/>
        <v>0</v>
      </c>
      <c r="U1749">
        <f t="shared" si="167"/>
        <v>0</v>
      </c>
      <c r="V1749" t="str">
        <f t="shared" si="164"/>
        <v xml:space="preserve"> </v>
      </c>
    </row>
    <row r="1750" spans="17:22">
      <c r="Q1750">
        <f t="shared" si="165"/>
        <v>0</v>
      </c>
      <c r="R1750">
        <f t="shared" si="163"/>
        <v>1746</v>
      </c>
      <c r="S1750">
        <f>IFERROR(SEARCH(Crewlist!$P$5,V1750)+ROW()/100000,"")</f>
        <v>1.0175000000000001</v>
      </c>
      <c r="T1750">
        <f t="shared" si="166"/>
        <v>0</v>
      </c>
      <c r="U1750">
        <f t="shared" si="167"/>
        <v>0</v>
      </c>
      <c r="V1750" t="str">
        <f t="shared" si="164"/>
        <v xml:space="preserve"> </v>
      </c>
    </row>
    <row r="1751" spans="17:22">
      <c r="Q1751">
        <f t="shared" si="165"/>
        <v>0</v>
      </c>
      <c r="R1751">
        <f t="shared" si="163"/>
        <v>1747</v>
      </c>
      <c r="S1751">
        <f>IFERROR(SEARCH(Crewlist!$P$5,V1751)+ROW()/100000,"")</f>
        <v>1.0175099999999999</v>
      </c>
      <c r="T1751">
        <f t="shared" si="166"/>
        <v>0</v>
      </c>
      <c r="U1751">
        <f t="shared" si="167"/>
        <v>0</v>
      </c>
      <c r="V1751" t="str">
        <f t="shared" si="164"/>
        <v xml:space="preserve"> </v>
      </c>
    </row>
    <row r="1752" spans="17:22">
      <c r="Q1752">
        <f t="shared" si="165"/>
        <v>0</v>
      </c>
      <c r="R1752">
        <f t="shared" si="163"/>
        <v>1748</v>
      </c>
      <c r="S1752">
        <f>IFERROR(SEARCH(Crewlist!$P$5,V1752)+ROW()/100000,"")</f>
        <v>1.01752</v>
      </c>
      <c r="T1752">
        <f t="shared" si="166"/>
        <v>0</v>
      </c>
      <c r="U1752">
        <f t="shared" si="167"/>
        <v>0</v>
      </c>
      <c r="V1752" t="str">
        <f t="shared" si="164"/>
        <v xml:space="preserve"> </v>
      </c>
    </row>
    <row r="1753" spans="17:22">
      <c r="Q1753">
        <f t="shared" si="165"/>
        <v>0</v>
      </c>
      <c r="R1753">
        <f t="shared" si="163"/>
        <v>1749</v>
      </c>
      <c r="S1753">
        <f>IFERROR(SEARCH(Crewlist!$P$5,V1753)+ROW()/100000,"")</f>
        <v>1.01753</v>
      </c>
      <c r="T1753">
        <f t="shared" si="166"/>
        <v>0</v>
      </c>
      <c r="U1753">
        <f t="shared" si="167"/>
        <v>0</v>
      </c>
      <c r="V1753" t="str">
        <f t="shared" si="164"/>
        <v xml:space="preserve"> </v>
      </c>
    </row>
    <row r="1754" spans="17:22">
      <c r="Q1754">
        <f t="shared" si="165"/>
        <v>0</v>
      </c>
      <c r="R1754">
        <f t="shared" si="163"/>
        <v>1750</v>
      </c>
      <c r="S1754">
        <f>IFERROR(SEARCH(Crewlist!$P$5,V1754)+ROW()/100000,"")</f>
        <v>1.0175399999999999</v>
      </c>
      <c r="T1754">
        <f t="shared" si="166"/>
        <v>0</v>
      </c>
      <c r="U1754">
        <f t="shared" si="167"/>
        <v>0</v>
      </c>
      <c r="V1754" t="str">
        <f t="shared" si="164"/>
        <v xml:space="preserve"> </v>
      </c>
    </row>
    <row r="1755" spans="17:22">
      <c r="Q1755">
        <f t="shared" si="165"/>
        <v>0</v>
      </c>
      <c r="R1755">
        <f t="shared" si="163"/>
        <v>1751</v>
      </c>
      <c r="S1755">
        <f>IFERROR(SEARCH(Crewlist!$P$5,V1755)+ROW()/100000,"")</f>
        <v>1.01755</v>
      </c>
      <c r="T1755">
        <f t="shared" si="166"/>
        <v>0</v>
      </c>
      <c r="U1755">
        <f t="shared" si="167"/>
        <v>0</v>
      </c>
      <c r="V1755" t="str">
        <f t="shared" si="164"/>
        <v xml:space="preserve"> </v>
      </c>
    </row>
    <row r="1756" spans="17:22">
      <c r="Q1756">
        <f t="shared" si="165"/>
        <v>0</v>
      </c>
      <c r="R1756">
        <f t="shared" si="163"/>
        <v>1752</v>
      </c>
      <c r="S1756">
        <f>IFERROR(SEARCH(Crewlist!$P$5,V1756)+ROW()/100000,"")</f>
        <v>1.01756</v>
      </c>
      <c r="T1756">
        <f t="shared" si="166"/>
        <v>0</v>
      </c>
      <c r="U1756">
        <f t="shared" si="167"/>
        <v>0</v>
      </c>
      <c r="V1756" t="str">
        <f t="shared" si="164"/>
        <v xml:space="preserve"> </v>
      </c>
    </row>
    <row r="1757" spans="17:22">
      <c r="Q1757">
        <f t="shared" si="165"/>
        <v>0</v>
      </c>
      <c r="R1757">
        <f t="shared" si="163"/>
        <v>1753</v>
      </c>
      <c r="S1757">
        <f>IFERROR(SEARCH(Crewlist!$P$5,V1757)+ROW()/100000,"")</f>
        <v>1.0175700000000001</v>
      </c>
      <c r="T1757">
        <f t="shared" si="166"/>
        <v>0</v>
      </c>
      <c r="U1757">
        <f t="shared" si="167"/>
        <v>0</v>
      </c>
      <c r="V1757" t="str">
        <f t="shared" si="164"/>
        <v xml:space="preserve"> </v>
      </c>
    </row>
    <row r="1758" spans="17:22">
      <c r="Q1758">
        <f t="shared" si="165"/>
        <v>0</v>
      </c>
      <c r="R1758">
        <f t="shared" si="163"/>
        <v>1754</v>
      </c>
      <c r="S1758">
        <f>IFERROR(SEARCH(Crewlist!$P$5,V1758)+ROW()/100000,"")</f>
        <v>1.0175799999999999</v>
      </c>
      <c r="T1758">
        <f t="shared" si="166"/>
        <v>0</v>
      </c>
      <c r="U1758">
        <f t="shared" si="167"/>
        <v>0</v>
      </c>
      <c r="V1758" t="str">
        <f t="shared" si="164"/>
        <v xml:space="preserve"> </v>
      </c>
    </row>
    <row r="1759" spans="17:22">
      <c r="Q1759">
        <f t="shared" si="165"/>
        <v>0</v>
      </c>
      <c r="R1759">
        <f t="shared" si="163"/>
        <v>1755</v>
      </c>
      <c r="S1759">
        <f>IFERROR(SEARCH(Crewlist!$P$5,V1759)+ROW()/100000,"")</f>
        <v>1.01759</v>
      </c>
      <c r="T1759">
        <f t="shared" si="166"/>
        <v>0</v>
      </c>
      <c r="U1759">
        <f t="shared" si="167"/>
        <v>0</v>
      </c>
      <c r="V1759" t="str">
        <f t="shared" si="164"/>
        <v xml:space="preserve"> </v>
      </c>
    </row>
    <row r="1760" spans="17:22">
      <c r="Q1760">
        <f t="shared" si="165"/>
        <v>0</v>
      </c>
      <c r="R1760">
        <f t="shared" si="163"/>
        <v>1756</v>
      </c>
      <c r="S1760">
        <f>IFERROR(SEARCH(Crewlist!$P$5,V1760)+ROW()/100000,"")</f>
        <v>1.0176000000000001</v>
      </c>
      <c r="T1760">
        <f t="shared" si="166"/>
        <v>0</v>
      </c>
      <c r="U1760">
        <f t="shared" si="167"/>
        <v>0</v>
      </c>
      <c r="V1760" t="str">
        <f t="shared" si="164"/>
        <v xml:space="preserve"> </v>
      </c>
    </row>
    <row r="1761" spans="17:22">
      <c r="Q1761">
        <f t="shared" si="165"/>
        <v>0</v>
      </c>
      <c r="R1761">
        <f t="shared" si="163"/>
        <v>1757</v>
      </c>
      <c r="S1761">
        <f>IFERROR(SEARCH(Crewlist!$P$5,V1761)+ROW()/100000,"")</f>
        <v>1.0176099999999999</v>
      </c>
      <c r="T1761">
        <f t="shared" si="166"/>
        <v>0</v>
      </c>
      <c r="U1761">
        <f t="shared" si="167"/>
        <v>0</v>
      </c>
      <c r="V1761" t="str">
        <f t="shared" si="164"/>
        <v xml:space="preserve"> </v>
      </c>
    </row>
    <row r="1762" spans="17:22">
      <c r="Q1762">
        <f t="shared" si="165"/>
        <v>0</v>
      </c>
      <c r="R1762">
        <f t="shared" si="163"/>
        <v>1758</v>
      </c>
      <c r="S1762">
        <f>IFERROR(SEARCH(Crewlist!$P$5,V1762)+ROW()/100000,"")</f>
        <v>1.01762</v>
      </c>
      <c r="T1762">
        <f t="shared" si="166"/>
        <v>0</v>
      </c>
      <c r="U1762">
        <f t="shared" si="167"/>
        <v>0</v>
      </c>
      <c r="V1762" t="str">
        <f t="shared" si="164"/>
        <v xml:space="preserve"> </v>
      </c>
    </row>
    <row r="1763" spans="17:22">
      <c r="Q1763">
        <f t="shared" si="165"/>
        <v>0</v>
      </c>
      <c r="R1763">
        <f t="shared" si="163"/>
        <v>1759</v>
      </c>
      <c r="S1763">
        <f>IFERROR(SEARCH(Crewlist!$P$5,V1763)+ROW()/100000,"")</f>
        <v>1.01763</v>
      </c>
      <c r="T1763">
        <f t="shared" si="166"/>
        <v>0</v>
      </c>
      <c r="U1763">
        <f t="shared" si="167"/>
        <v>0</v>
      </c>
      <c r="V1763" t="str">
        <f t="shared" si="164"/>
        <v xml:space="preserve"> </v>
      </c>
    </row>
    <row r="1764" spans="17:22">
      <c r="Q1764">
        <f t="shared" si="165"/>
        <v>0</v>
      </c>
      <c r="R1764">
        <f t="shared" si="163"/>
        <v>1760</v>
      </c>
      <c r="S1764">
        <f>IFERROR(SEARCH(Crewlist!$P$5,V1764)+ROW()/100000,"")</f>
        <v>1.0176400000000001</v>
      </c>
      <c r="T1764">
        <f t="shared" si="166"/>
        <v>0</v>
      </c>
      <c r="U1764">
        <f t="shared" si="167"/>
        <v>0</v>
      </c>
      <c r="V1764" t="str">
        <f t="shared" si="164"/>
        <v xml:space="preserve"> </v>
      </c>
    </row>
    <row r="1765" spans="17:22">
      <c r="Q1765">
        <f t="shared" si="165"/>
        <v>0</v>
      </c>
      <c r="R1765">
        <f t="shared" si="163"/>
        <v>1761</v>
      </c>
      <c r="S1765">
        <f>IFERROR(SEARCH(Crewlist!$P$5,V1765)+ROW()/100000,"")</f>
        <v>1.0176499999999999</v>
      </c>
      <c r="T1765">
        <f t="shared" si="166"/>
        <v>0</v>
      </c>
      <c r="U1765">
        <f t="shared" si="167"/>
        <v>0</v>
      </c>
      <c r="V1765" t="str">
        <f t="shared" si="164"/>
        <v xml:space="preserve"> </v>
      </c>
    </row>
    <row r="1766" spans="17:22">
      <c r="Q1766">
        <f t="shared" si="165"/>
        <v>0</v>
      </c>
      <c r="R1766">
        <f t="shared" si="163"/>
        <v>1762</v>
      </c>
      <c r="S1766">
        <f>IFERROR(SEARCH(Crewlist!$P$5,V1766)+ROW()/100000,"")</f>
        <v>1.01766</v>
      </c>
      <c r="T1766">
        <f t="shared" si="166"/>
        <v>0</v>
      </c>
      <c r="U1766">
        <f t="shared" si="167"/>
        <v>0</v>
      </c>
      <c r="V1766" t="str">
        <f t="shared" si="164"/>
        <v xml:space="preserve"> </v>
      </c>
    </row>
    <row r="1767" spans="17:22">
      <c r="Q1767">
        <f t="shared" si="165"/>
        <v>0</v>
      </c>
      <c r="R1767">
        <f t="shared" si="163"/>
        <v>1763</v>
      </c>
      <c r="S1767">
        <f>IFERROR(SEARCH(Crewlist!$P$5,V1767)+ROW()/100000,"")</f>
        <v>1.0176700000000001</v>
      </c>
      <c r="T1767">
        <f t="shared" si="166"/>
        <v>0</v>
      </c>
      <c r="U1767">
        <f t="shared" si="167"/>
        <v>0</v>
      </c>
      <c r="V1767" t="str">
        <f t="shared" si="164"/>
        <v xml:space="preserve"> </v>
      </c>
    </row>
    <row r="1768" spans="17:22">
      <c r="Q1768">
        <f t="shared" si="165"/>
        <v>0</v>
      </c>
      <c r="R1768">
        <f t="shared" si="163"/>
        <v>1764</v>
      </c>
      <c r="S1768">
        <f>IFERROR(SEARCH(Crewlist!$P$5,V1768)+ROW()/100000,"")</f>
        <v>1.0176799999999999</v>
      </c>
      <c r="T1768">
        <f t="shared" si="166"/>
        <v>0</v>
      </c>
      <c r="U1768">
        <f t="shared" si="167"/>
        <v>0</v>
      </c>
      <c r="V1768" t="str">
        <f t="shared" si="164"/>
        <v xml:space="preserve"> </v>
      </c>
    </row>
    <row r="1769" spans="17:22">
      <c r="Q1769">
        <f t="shared" si="165"/>
        <v>0</v>
      </c>
      <c r="R1769">
        <f t="shared" si="163"/>
        <v>1765</v>
      </c>
      <c r="S1769">
        <f>IFERROR(SEARCH(Crewlist!$P$5,V1769)+ROW()/100000,"")</f>
        <v>1.01769</v>
      </c>
      <c r="T1769">
        <f t="shared" si="166"/>
        <v>0</v>
      </c>
      <c r="U1769">
        <f t="shared" si="167"/>
        <v>0</v>
      </c>
      <c r="V1769" t="str">
        <f t="shared" si="164"/>
        <v xml:space="preserve"> </v>
      </c>
    </row>
    <row r="1770" spans="17:22">
      <c r="Q1770">
        <f t="shared" si="165"/>
        <v>0</v>
      </c>
      <c r="R1770">
        <f t="shared" si="163"/>
        <v>1766</v>
      </c>
      <c r="S1770">
        <f>IFERROR(SEARCH(Crewlist!$P$5,V1770)+ROW()/100000,"")</f>
        <v>1.0177</v>
      </c>
      <c r="T1770">
        <f t="shared" si="166"/>
        <v>0</v>
      </c>
      <c r="U1770">
        <f t="shared" si="167"/>
        <v>0</v>
      </c>
      <c r="V1770" t="str">
        <f t="shared" si="164"/>
        <v xml:space="preserve"> </v>
      </c>
    </row>
    <row r="1771" spans="17:22">
      <c r="Q1771">
        <f t="shared" si="165"/>
        <v>0</v>
      </c>
      <c r="R1771">
        <f t="shared" si="163"/>
        <v>1767</v>
      </c>
      <c r="S1771">
        <f>IFERROR(SEARCH(Crewlist!$P$5,V1771)+ROW()/100000,"")</f>
        <v>1.0177099999999999</v>
      </c>
      <c r="T1771">
        <f t="shared" si="166"/>
        <v>0</v>
      </c>
      <c r="U1771">
        <f t="shared" si="167"/>
        <v>0</v>
      </c>
      <c r="V1771" t="str">
        <f t="shared" si="164"/>
        <v xml:space="preserve"> </v>
      </c>
    </row>
    <row r="1772" spans="17:22">
      <c r="Q1772">
        <f t="shared" si="165"/>
        <v>0</v>
      </c>
      <c r="R1772">
        <f t="shared" si="163"/>
        <v>1768</v>
      </c>
      <c r="S1772">
        <f>IFERROR(SEARCH(Crewlist!$P$5,V1772)+ROW()/100000,"")</f>
        <v>1.01772</v>
      </c>
      <c r="T1772">
        <f t="shared" si="166"/>
        <v>0</v>
      </c>
      <c r="U1772">
        <f t="shared" si="167"/>
        <v>0</v>
      </c>
      <c r="V1772" t="str">
        <f t="shared" si="164"/>
        <v xml:space="preserve"> </v>
      </c>
    </row>
    <row r="1773" spans="17:22">
      <c r="Q1773">
        <f t="shared" si="165"/>
        <v>0</v>
      </c>
      <c r="R1773">
        <f t="shared" si="163"/>
        <v>1769</v>
      </c>
      <c r="S1773">
        <f>IFERROR(SEARCH(Crewlist!$P$5,V1773)+ROW()/100000,"")</f>
        <v>1.01773</v>
      </c>
      <c r="T1773">
        <f t="shared" si="166"/>
        <v>0</v>
      </c>
      <c r="U1773">
        <f t="shared" si="167"/>
        <v>0</v>
      </c>
      <c r="V1773" t="str">
        <f t="shared" si="164"/>
        <v xml:space="preserve"> </v>
      </c>
    </row>
    <row r="1774" spans="17:22">
      <c r="Q1774">
        <f t="shared" si="165"/>
        <v>0</v>
      </c>
      <c r="R1774">
        <f t="shared" si="163"/>
        <v>1770</v>
      </c>
      <c r="S1774">
        <f>IFERROR(SEARCH(Crewlist!$P$5,V1774)+ROW()/100000,"")</f>
        <v>1.0177400000000001</v>
      </c>
      <c r="T1774">
        <f t="shared" si="166"/>
        <v>0</v>
      </c>
      <c r="U1774">
        <f t="shared" si="167"/>
        <v>0</v>
      </c>
      <c r="V1774" t="str">
        <f t="shared" si="164"/>
        <v xml:space="preserve"> </v>
      </c>
    </row>
    <row r="1775" spans="17:22">
      <c r="Q1775">
        <f t="shared" si="165"/>
        <v>0</v>
      </c>
      <c r="R1775">
        <f t="shared" si="163"/>
        <v>1771</v>
      </c>
      <c r="S1775">
        <f>IFERROR(SEARCH(Crewlist!$P$5,V1775)+ROW()/100000,"")</f>
        <v>1.0177499999999999</v>
      </c>
      <c r="T1775">
        <f t="shared" si="166"/>
        <v>0</v>
      </c>
      <c r="U1775">
        <f t="shared" si="167"/>
        <v>0</v>
      </c>
      <c r="V1775" t="str">
        <f t="shared" si="164"/>
        <v xml:space="preserve"> </v>
      </c>
    </row>
    <row r="1776" spans="17:22">
      <c r="Q1776">
        <f t="shared" si="165"/>
        <v>0</v>
      </c>
      <c r="R1776">
        <f t="shared" si="163"/>
        <v>1772</v>
      </c>
      <c r="S1776">
        <f>IFERROR(SEARCH(Crewlist!$P$5,V1776)+ROW()/100000,"")</f>
        <v>1.01776</v>
      </c>
      <c r="T1776">
        <f t="shared" si="166"/>
        <v>0</v>
      </c>
      <c r="U1776">
        <f t="shared" si="167"/>
        <v>0</v>
      </c>
      <c r="V1776" t="str">
        <f t="shared" si="164"/>
        <v xml:space="preserve"> </v>
      </c>
    </row>
    <row r="1777" spans="17:22">
      <c r="Q1777">
        <f t="shared" si="165"/>
        <v>0</v>
      </c>
      <c r="R1777">
        <f t="shared" si="163"/>
        <v>1773</v>
      </c>
      <c r="S1777">
        <f>IFERROR(SEARCH(Crewlist!$P$5,V1777)+ROW()/100000,"")</f>
        <v>1.0177700000000001</v>
      </c>
      <c r="T1777">
        <f t="shared" si="166"/>
        <v>0</v>
      </c>
      <c r="U1777">
        <f t="shared" si="167"/>
        <v>0</v>
      </c>
      <c r="V1777" t="str">
        <f t="shared" si="164"/>
        <v xml:space="preserve"> </v>
      </c>
    </row>
    <row r="1778" spans="17:22">
      <c r="Q1778">
        <f t="shared" si="165"/>
        <v>0</v>
      </c>
      <c r="R1778">
        <f t="shared" si="163"/>
        <v>1774</v>
      </c>
      <c r="S1778">
        <f>IFERROR(SEARCH(Crewlist!$P$5,V1778)+ROW()/100000,"")</f>
        <v>1.0177799999999999</v>
      </c>
      <c r="T1778">
        <f t="shared" si="166"/>
        <v>0</v>
      </c>
      <c r="U1778">
        <f t="shared" si="167"/>
        <v>0</v>
      </c>
      <c r="V1778" t="str">
        <f t="shared" si="164"/>
        <v xml:space="preserve"> </v>
      </c>
    </row>
    <row r="1779" spans="17:22">
      <c r="Q1779">
        <f t="shared" si="165"/>
        <v>0</v>
      </c>
      <c r="R1779">
        <f t="shared" si="163"/>
        <v>1775</v>
      </c>
      <c r="S1779">
        <f>IFERROR(SEARCH(Crewlist!$P$5,V1779)+ROW()/100000,"")</f>
        <v>1.01779</v>
      </c>
      <c r="T1779">
        <f t="shared" si="166"/>
        <v>0</v>
      </c>
      <c r="U1779">
        <f t="shared" si="167"/>
        <v>0</v>
      </c>
      <c r="V1779" t="str">
        <f t="shared" si="164"/>
        <v xml:space="preserve"> </v>
      </c>
    </row>
    <row r="1780" spans="17:22">
      <c r="Q1780">
        <f t="shared" si="165"/>
        <v>0</v>
      </c>
      <c r="R1780">
        <f t="shared" si="163"/>
        <v>1776</v>
      </c>
      <c r="S1780">
        <f>IFERROR(SEARCH(Crewlist!$P$5,V1780)+ROW()/100000,"")</f>
        <v>1.0178</v>
      </c>
      <c r="T1780">
        <f t="shared" si="166"/>
        <v>0</v>
      </c>
      <c r="U1780">
        <f t="shared" si="167"/>
        <v>0</v>
      </c>
      <c r="V1780" t="str">
        <f t="shared" si="164"/>
        <v xml:space="preserve"> </v>
      </c>
    </row>
    <row r="1781" spans="17:22">
      <c r="Q1781">
        <f t="shared" si="165"/>
        <v>0</v>
      </c>
      <c r="R1781">
        <f t="shared" si="163"/>
        <v>1777</v>
      </c>
      <c r="S1781">
        <f>IFERROR(SEARCH(Crewlist!$P$5,V1781)+ROW()/100000,"")</f>
        <v>1.0178100000000001</v>
      </c>
      <c r="T1781">
        <f t="shared" si="166"/>
        <v>0</v>
      </c>
      <c r="U1781">
        <f t="shared" si="167"/>
        <v>0</v>
      </c>
      <c r="V1781" t="str">
        <f t="shared" si="164"/>
        <v xml:space="preserve"> </v>
      </c>
    </row>
    <row r="1782" spans="17:22">
      <c r="Q1782">
        <f t="shared" si="165"/>
        <v>0</v>
      </c>
      <c r="R1782">
        <f t="shared" si="163"/>
        <v>1778</v>
      </c>
      <c r="S1782">
        <f>IFERROR(SEARCH(Crewlist!$P$5,V1782)+ROW()/100000,"")</f>
        <v>1.0178199999999999</v>
      </c>
      <c r="T1782">
        <f t="shared" si="166"/>
        <v>0</v>
      </c>
      <c r="U1782">
        <f t="shared" si="167"/>
        <v>0</v>
      </c>
      <c r="V1782" t="str">
        <f t="shared" si="164"/>
        <v xml:space="preserve"> </v>
      </c>
    </row>
    <row r="1783" spans="17:22">
      <c r="Q1783">
        <f t="shared" si="165"/>
        <v>0</v>
      </c>
      <c r="R1783">
        <f t="shared" si="163"/>
        <v>1779</v>
      </c>
      <c r="S1783">
        <f>IFERROR(SEARCH(Crewlist!$P$5,V1783)+ROW()/100000,"")</f>
        <v>1.01783</v>
      </c>
      <c r="T1783">
        <f t="shared" si="166"/>
        <v>0</v>
      </c>
      <c r="U1783">
        <f t="shared" si="167"/>
        <v>0</v>
      </c>
      <c r="V1783" t="str">
        <f t="shared" si="164"/>
        <v xml:space="preserve"> </v>
      </c>
    </row>
    <row r="1784" spans="17:22">
      <c r="Q1784">
        <f t="shared" si="165"/>
        <v>0</v>
      </c>
      <c r="R1784">
        <f t="shared" si="163"/>
        <v>1780</v>
      </c>
      <c r="S1784">
        <f>IFERROR(SEARCH(Crewlist!$P$5,V1784)+ROW()/100000,"")</f>
        <v>1.0178400000000001</v>
      </c>
      <c r="T1784">
        <f t="shared" si="166"/>
        <v>0</v>
      </c>
      <c r="U1784">
        <f t="shared" si="167"/>
        <v>0</v>
      </c>
      <c r="V1784" t="str">
        <f t="shared" si="164"/>
        <v xml:space="preserve"> </v>
      </c>
    </row>
    <row r="1785" spans="17:22">
      <c r="Q1785">
        <f t="shared" si="165"/>
        <v>0</v>
      </c>
      <c r="R1785">
        <f t="shared" si="163"/>
        <v>1781</v>
      </c>
      <c r="S1785">
        <f>IFERROR(SEARCH(Crewlist!$P$5,V1785)+ROW()/100000,"")</f>
        <v>1.0178499999999999</v>
      </c>
      <c r="T1785">
        <f t="shared" si="166"/>
        <v>0</v>
      </c>
      <c r="U1785">
        <f t="shared" si="167"/>
        <v>0</v>
      </c>
      <c r="V1785" t="str">
        <f t="shared" si="164"/>
        <v xml:space="preserve"> </v>
      </c>
    </row>
    <row r="1786" spans="17:22">
      <c r="Q1786">
        <f t="shared" si="165"/>
        <v>0</v>
      </c>
      <c r="R1786">
        <f t="shared" si="163"/>
        <v>1782</v>
      </c>
      <c r="S1786">
        <f>IFERROR(SEARCH(Crewlist!$P$5,V1786)+ROW()/100000,"")</f>
        <v>1.01786</v>
      </c>
      <c r="T1786">
        <f t="shared" si="166"/>
        <v>0</v>
      </c>
      <c r="U1786">
        <f t="shared" si="167"/>
        <v>0</v>
      </c>
      <c r="V1786" t="str">
        <f t="shared" si="164"/>
        <v xml:space="preserve"> </v>
      </c>
    </row>
    <row r="1787" spans="17:22">
      <c r="Q1787">
        <f t="shared" si="165"/>
        <v>0</v>
      </c>
      <c r="R1787">
        <f t="shared" si="163"/>
        <v>1783</v>
      </c>
      <c r="S1787">
        <f>IFERROR(SEARCH(Crewlist!$P$5,V1787)+ROW()/100000,"")</f>
        <v>1.0178700000000001</v>
      </c>
      <c r="T1787">
        <f t="shared" si="166"/>
        <v>0</v>
      </c>
      <c r="U1787">
        <f t="shared" si="167"/>
        <v>0</v>
      </c>
      <c r="V1787" t="str">
        <f t="shared" si="164"/>
        <v xml:space="preserve"> </v>
      </c>
    </row>
    <row r="1788" spans="17:22">
      <c r="Q1788">
        <f t="shared" si="165"/>
        <v>0</v>
      </c>
      <c r="R1788">
        <f t="shared" si="163"/>
        <v>1784</v>
      </c>
      <c r="S1788">
        <f>IFERROR(SEARCH(Crewlist!$P$5,V1788)+ROW()/100000,"")</f>
        <v>1.0178799999999999</v>
      </c>
      <c r="T1788">
        <f t="shared" si="166"/>
        <v>0</v>
      </c>
      <c r="U1788">
        <f t="shared" si="167"/>
        <v>0</v>
      </c>
      <c r="V1788" t="str">
        <f t="shared" si="164"/>
        <v xml:space="preserve"> </v>
      </c>
    </row>
    <row r="1789" spans="17:22">
      <c r="Q1789">
        <f t="shared" si="165"/>
        <v>0</v>
      </c>
      <c r="R1789">
        <f t="shared" si="163"/>
        <v>1785</v>
      </c>
      <c r="S1789">
        <f>IFERROR(SEARCH(Crewlist!$P$5,V1789)+ROW()/100000,"")</f>
        <v>1.01789</v>
      </c>
      <c r="T1789">
        <f t="shared" si="166"/>
        <v>0</v>
      </c>
      <c r="U1789">
        <f t="shared" si="167"/>
        <v>0</v>
      </c>
      <c r="V1789" t="str">
        <f t="shared" si="164"/>
        <v xml:space="preserve"> </v>
      </c>
    </row>
    <row r="1790" spans="17:22">
      <c r="Q1790">
        <f t="shared" si="165"/>
        <v>0</v>
      </c>
      <c r="R1790">
        <f t="shared" si="163"/>
        <v>1786</v>
      </c>
      <c r="S1790">
        <f>IFERROR(SEARCH(Crewlist!$P$5,V1790)+ROW()/100000,"")</f>
        <v>1.0179</v>
      </c>
      <c r="T1790">
        <f t="shared" si="166"/>
        <v>0</v>
      </c>
      <c r="U1790">
        <f t="shared" si="167"/>
        <v>0</v>
      </c>
      <c r="V1790" t="str">
        <f t="shared" si="164"/>
        <v xml:space="preserve"> </v>
      </c>
    </row>
    <row r="1791" spans="17:22">
      <c r="Q1791">
        <f t="shared" si="165"/>
        <v>0</v>
      </c>
      <c r="R1791">
        <f t="shared" si="163"/>
        <v>1787</v>
      </c>
      <c r="S1791">
        <f>IFERROR(SEARCH(Crewlist!$P$5,V1791)+ROW()/100000,"")</f>
        <v>1.0179100000000001</v>
      </c>
      <c r="T1791">
        <f t="shared" si="166"/>
        <v>0</v>
      </c>
      <c r="U1791">
        <f t="shared" si="167"/>
        <v>0</v>
      </c>
      <c r="V1791" t="str">
        <f t="shared" si="164"/>
        <v xml:space="preserve"> </v>
      </c>
    </row>
    <row r="1792" spans="17:22">
      <c r="Q1792">
        <f t="shared" si="165"/>
        <v>0</v>
      </c>
      <c r="R1792">
        <f t="shared" si="163"/>
        <v>1788</v>
      </c>
      <c r="S1792">
        <f>IFERROR(SEARCH(Crewlist!$P$5,V1792)+ROW()/100000,"")</f>
        <v>1.0179199999999999</v>
      </c>
      <c r="T1792">
        <f t="shared" si="166"/>
        <v>0</v>
      </c>
      <c r="U1792">
        <f t="shared" si="167"/>
        <v>0</v>
      </c>
      <c r="V1792" t="str">
        <f t="shared" si="164"/>
        <v xml:space="preserve"> </v>
      </c>
    </row>
    <row r="1793" spans="17:22">
      <c r="Q1793">
        <f t="shared" si="165"/>
        <v>0</v>
      </c>
      <c r="R1793">
        <f t="shared" si="163"/>
        <v>1789</v>
      </c>
      <c r="S1793">
        <f>IFERROR(SEARCH(Crewlist!$P$5,V1793)+ROW()/100000,"")</f>
        <v>1.01793</v>
      </c>
      <c r="T1793">
        <f t="shared" si="166"/>
        <v>0</v>
      </c>
      <c r="U1793">
        <f t="shared" si="167"/>
        <v>0</v>
      </c>
      <c r="V1793" t="str">
        <f t="shared" si="164"/>
        <v xml:space="preserve"> </v>
      </c>
    </row>
    <row r="1794" spans="17:22">
      <c r="Q1794">
        <f t="shared" si="165"/>
        <v>0</v>
      </c>
      <c r="R1794">
        <f t="shared" ref="R1794:R1857" si="168">IFERROR(RANK(S1794,$S$2:$S$1998,1),"")</f>
        <v>1790</v>
      </c>
      <c r="S1794">
        <f>IFERROR(SEARCH(Crewlist!$P$5,V1794)+ROW()/100000,"")</f>
        <v>1.0179400000000001</v>
      </c>
      <c r="T1794">
        <f t="shared" si="166"/>
        <v>0</v>
      </c>
      <c r="U1794">
        <f t="shared" si="167"/>
        <v>0</v>
      </c>
      <c r="V1794" t="str">
        <f t="shared" si="164"/>
        <v xml:space="preserve"> </v>
      </c>
    </row>
    <row r="1795" spans="17:22">
      <c r="Q1795">
        <f t="shared" si="165"/>
        <v>0</v>
      </c>
      <c r="R1795">
        <f t="shared" si="168"/>
        <v>1791</v>
      </c>
      <c r="S1795">
        <f>IFERROR(SEARCH(Crewlist!$P$5,V1795)+ROW()/100000,"")</f>
        <v>1.0179499999999999</v>
      </c>
      <c r="T1795">
        <f t="shared" si="166"/>
        <v>0</v>
      </c>
      <c r="U1795">
        <f t="shared" si="167"/>
        <v>0</v>
      </c>
      <c r="V1795" t="str">
        <f t="shared" ref="V1795:V1858" si="169">CONCATENATE(C1795," ",D1795)</f>
        <v xml:space="preserve"> </v>
      </c>
    </row>
    <row r="1796" spans="17:22">
      <c r="Q1796">
        <f t="shared" si="165"/>
        <v>0</v>
      </c>
      <c r="R1796">
        <f t="shared" si="168"/>
        <v>1792</v>
      </c>
      <c r="S1796">
        <f>IFERROR(SEARCH(Crewlist!$P$5,V1796)+ROW()/100000,"")</f>
        <v>1.01796</v>
      </c>
      <c r="T1796">
        <f t="shared" si="166"/>
        <v>0</v>
      </c>
      <c r="U1796">
        <f t="shared" si="167"/>
        <v>0</v>
      </c>
      <c r="V1796" t="str">
        <f t="shared" si="169"/>
        <v xml:space="preserve"> </v>
      </c>
    </row>
    <row r="1797" spans="17:22">
      <c r="Q1797">
        <f t="shared" si="165"/>
        <v>0</v>
      </c>
      <c r="R1797">
        <f t="shared" si="168"/>
        <v>1793</v>
      </c>
      <c r="S1797">
        <f>IFERROR(SEARCH(Crewlist!$P$5,V1797)+ROW()/100000,"")</f>
        <v>1.01797</v>
      </c>
      <c r="T1797">
        <f t="shared" si="166"/>
        <v>0</v>
      </c>
      <c r="U1797">
        <f t="shared" si="167"/>
        <v>0</v>
      </c>
      <c r="V1797" t="str">
        <f t="shared" si="169"/>
        <v xml:space="preserve"> </v>
      </c>
    </row>
    <row r="1798" spans="17:22">
      <c r="Q1798">
        <f t="shared" si="165"/>
        <v>0</v>
      </c>
      <c r="R1798">
        <f t="shared" si="168"/>
        <v>1794</v>
      </c>
      <c r="S1798">
        <f>IFERROR(SEARCH(Crewlist!$P$5,V1798)+ROW()/100000,"")</f>
        <v>1.0179800000000001</v>
      </c>
      <c r="T1798">
        <f t="shared" si="166"/>
        <v>0</v>
      </c>
      <c r="U1798">
        <f t="shared" si="167"/>
        <v>0</v>
      </c>
      <c r="V1798" t="str">
        <f t="shared" si="169"/>
        <v xml:space="preserve"> </v>
      </c>
    </row>
    <row r="1799" spans="17:22">
      <c r="Q1799">
        <f t="shared" si="165"/>
        <v>0</v>
      </c>
      <c r="R1799">
        <f t="shared" si="168"/>
        <v>1795</v>
      </c>
      <c r="S1799">
        <f>IFERROR(SEARCH(Crewlist!$P$5,V1799)+ROW()/100000,"")</f>
        <v>1.01799</v>
      </c>
      <c r="T1799">
        <f t="shared" si="166"/>
        <v>0</v>
      </c>
      <c r="U1799">
        <f t="shared" si="167"/>
        <v>0</v>
      </c>
      <c r="V1799" t="str">
        <f t="shared" si="169"/>
        <v xml:space="preserve"> </v>
      </c>
    </row>
    <row r="1800" spans="17:22">
      <c r="Q1800">
        <f t="shared" si="165"/>
        <v>0</v>
      </c>
      <c r="R1800">
        <f t="shared" si="168"/>
        <v>1796</v>
      </c>
      <c r="S1800">
        <f>IFERROR(SEARCH(Crewlist!$P$5,V1800)+ROW()/100000,"")</f>
        <v>1.018</v>
      </c>
      <c r="T1800">
        <f t="shared" si="166"/>
        <v>0</v>
      </c>
      <c r="U1800">
        <f t="shared" si="167"/>
        <v>0</v>
      </c>
      <c r="V1800" t="str">
        <f t="shared" si="169"/>
        <v xml:space="preserve"> </v>
      </c>
    </row>
    <row r="1801" spans="17:22">
      <c r="Q1801">
        <f t="shared" ref="Q1801:Q1864" si="170">IF(C1801&lt;&gt; "",B1801,0)</f>
        <v>0</v>
      </c>
      <c r="R1801">
        <f t="shared" si="168"/>
        <v>1797</v>
      </c>
      <c r="S1801">
        <f>IFERROR(SEARCH(Crewlist!$P$5,V1801)+ROW()/100000,"")</f>
        <v>1.0180100000000001</v>
      </c>
      <c r="T1801">
        <f t="shared" ref="T1801:T1864" si="171">B1801</f>
        <v>0</v>
      </c>
      <c r="U1801">
        <f t="shared" ref="U1801:U1864" si="172">C1801</f>
        <v>0</v>
      </c>
      <c r="V1801" t="str">
        <f t="shared" si="169"/>
        <v xml:space="preserve"> </v>
      </c>
    </row>
    <row r="1802" spans="17:22">
      <c r="Q1802">
        <f t="shared" si="170"/>
        <v>0</v>
      </c>
      <c r="R1802">
        <f t="shared" si="168"/>
        <v>1798</v>
      </c>
      <c r="S1802">
        <f>IFERROR(SEARCH(Crewlist!$P$5,V1802)+ROW()/100000,"")</f>
        <v>1.0180199999999999</v>
      </c>
      <c r="T1802">
        <f t="shared" si="171"/>
        <v>0</v>
      </c>
      <c r="U1802">
        <f t="shared" si="172"/>
        <v>0</v>
      </c>
      <c r="V1802" t="str">
        <f t="shared" si="169"/>
        <v xml:space="preserve"> </v>
      </c>
    </row>
    <row r="1803" spans="17:22">
      <c r="Q1803">
        <f t="shared" si="170"/>
        <v>0</v>
      </c>
      <c r="R1803">
        <f t="shared" si="168"/>
        <v>1799</v>
      </c>
      <c r="S1803">
        <f>IFERROR(SEARCH(Crewlist!$P$5,V1803)+ROW()/100000,"")</f>
        <v>1.01803</v>
      </c>
      <c r="T1803">
        <f t="shared" si="171"/>
        <v>0</v>
      </c>
      <c r="U1803">
        <f t="shared" si="172"/>
        <v>0</v>
      </c>
      <c r="V1803" t="str">
        <f t="shared" si="169"/>
        <v xml:space="preserve"> </v>
      </c>
    </row>
    <row r="1804" spans="17:22">
      <c r="Q1804">
        <f t="shared" si="170"/>
        <v>0</v>
      </c>
      <c r="R1804">
        <f t="shared" si="168"/>
        <v>1800</v>
      </c>
      <c r="S1804">
        <f>IFERROR(SEARCH(Crewlist!$P$5,V1804)+ROW()/100000,"")</f>
        <v>1.0180400000000001</v>
      </c>
      <c r="T1804">
        <f t="shared" si="171"/>
        <v>0</v>
      </c>
      <c r="U1804">
        <f t="shared" si="172"/>
        <v>0</v>
      </c>
      <c r="V1804" t="str">
        <f t="shared" si="169"/>
        <v xml:space="preserve"> </v>
      </c>
    </row>
    <row r="1805" spans="17:22">
      <c r="Q1805">
        <f t="shared" si="170"/>
        <v>0</v>
      </c>
      <c r="R1805">
        <f t="shared" si="168"/>
        <v>1801</v>
      </c>
      <c r="S1805">
        <f>IFERROR(SEARCH(Crewlist!$P$5,V1805)+ROW()/100000,"")</f>
        <v>1.0180499999999999</v>
      </c>
      <c r="T1805">
        <f t="shared" si="171"/>
        <v>0</v>
      </c>
      <c r="U1805">
        <f t="shared" si="172"/>
        <v>0</v>
      </c>
      <c r="V1805" t="str">
        <f t="shared" si="169"/>
        <v xml:space="preserve"> </v>
      </c>
    </row>
    <row r="1806" spans="17:22">
      <c r="Q1806">
        <f t="shared" si="170"/>
        <v>0</v>
      </c>
      <c r="R1806">
        <f t="shared" si="168"/>
        <v>1802</v>
      </c>
      <c r="S1806">
        <f>IFERROR(SEARCH(Crewlist!$P$5,V1806)+ROW()/100000,"")</f>
        <v>1.01806</v>
      </c>
      <c r="T1806">
        <f t="shared" si="171"/>
        <v>0</v>
      </c>
      <c r="U1806">
        <f t="shared" si="172"/>
        <v>0</v>
      </c>
      <c r="V1806" t="str">
        <f t="shared" si="169"/>
        <v xml:space="preserve"> </v>
      </c>
    </row>
    <row r="1807" spans="17:22">
      <c r="Q1807">
        <f t="shared" si="170"/>
        <v>0</v>
      </c>
      <c r="R1807">
        <f t="shared" si="168"/>
        <v>1803</v>
      </c>
      <c r="S1807">
        <f>IFERROR(SEARCH(Crewlist!$P$5,V1807)+ROW()/100000,"")</f>
        <v>1.01807</v>
      </c>
      <c r="T1807">
        <f t="shared" si="171"/>
        <v>0</v>
      </c>
      <c r="U1807">
        <f t="shared" si="172"/>
        <v>0</v>
      </c>
      <c r="V1807" t="str">
        <f t="shared" si="169"/>
        <v xml:space="preserve"> </v>
      </c>
    </row>
    <row r="1808" spans="17:22">
      <c r="Q1808">
        <f t="shared" si="170"/>
        <v>0</v>
      </c>
      <c r="R1808">
        <f t="shared" si="168"/>
        <v>1804</v>
      </c>
      <c r="S1808">
        <f>IFERROR(SEARCH(Crewlist!$P$5,V1808)+ROW()/100000,"")</f>
        <v>1.0180800000000001</v>
      </c>
      <c r="T1808">
        <f t="shared" si="171"/>
        <v>0</v>
      </c>
      <c r="U1808">
        <f t="shared" si="172"/>
        <v>0</v>
      </c>
      <c r="V1808" t="str">
        <f t="shared" si="169"/>
        <v xml:space="preserve"> </v>
      </c>
    </row>
    <row r="1809" spans="17:22">
      <c r="Q1809">
        <f t="shared" si="170"/>
        <v>0</v>
      </c>
      <c r="R1809">
        <f t="shared" si="168"/>
        <v>1805</v>
      </c>
      <c r="S1809">
        <f>IFERROR(SEARCH(Crewlist!$P$5,V1809)+ROW()/100000,"")</f>
        <v>1.0180899999999999</v>
      </c>
      <c r="T1809">
        <f t="shared" si="171"/>
        <v>0</v>
      </c>
      <c r="U1809">
        <f t="shared" si="172"/>
        <v>0</v>
      </c>
      <c r="V1809" t="str">
        <f t="shared" si="169"/>
        <v xml:space="preserve"> </v>
      </c>
    </row>
    <row r="1810" spans="17:22">
      <c r="Q1810">
        <f t="shared" si="170"/>
        <v>0</v>
      </c>
      <c r="R1810">
        <f t="shared" si="168"/>
        <v>1806</v>
      </c>
      <c r="S1810">
        <f>IFERROR(SEARCH(Crewlist!$P$5,V1810)+ROW()/100000,"")</f>
        <v>1.0181</v>
      </c>
      <c r="T1810">
        <f t="shared" si="171"/>
        <v>0</v>
      </c>
      <c r="U1810">
        <f t="shared" si="172"/>
        <v>0</v>
      </c>
      <c r="V1810" t="str">
        <f t="shared" si="169"/>
        <v xml:space="preserve"> </v>
      </c>
    </row>
    <row r="1811" spans="17:22">
      <c r="Q1811">
        <f t="shared" si="170"/>
        <v>0</v>
      </c>
      <c r="R1811">
        <f t="shared" si="168"/>
        <v>1807</v>
      </c>
      <c r="S1811">
        <f>IFERROR(SEARCH(Crewlist!$P$5,V1811)+ROW()/100000,"")</f>
        <v>1.0181100000000001</v>
      </c>
      <c r="T1811">
        <f t="shared" si="171"/>
        <v>0</v>
      </c>
      <c r="U1811">
        <f t="shared" si="172"/>
        <v>0</v>
      </c>
      <c r="V1811" t="str">
        <f t="shared" si="169"/>
        <v xml:space="preserve"> </v>
      </c>
    </row>
    <row r="1812" spans="17:22">
      <c r="Q1812">
        <f t="shared" si="170"/>
        <v>0</v>
      </c>
      <c r="R1812">
        <f t="shared" si="168"/>
        <v>1808</v>
      </c>
      <c r="S1812">
        <f>IFERROR(SEARCH(Crewlist!$P$5,V1812)+ROW()/100000,"")</f>
        <v>1.0181199999999999</v>
      </c>
      <c r="T1812">
        <f t="shared" si="171"/>
        <v>0</v>
      </c>
      <c r="U1812">
        <f t="shared" si="172"/>
        <v>0</v>
      </c>
      <c r="V1812" t="str">
        <f t="shared" si="169"/>
        <v xml:space="preserve"> </v>
      </c>
    </row>
    <row r="1813" spans="17:22">
      <c r="Q1813">
        <f t="shared" si="170"/>
        <v>0</v>
      </c>
      <c r="R1813">
        <f t="shared" si="168"/>
        <v>1809</v>
      </c>
      <c r="S1813">
        <f>IFERROR(SEARCH(Crewlist!$P$5,V1813)+ROW()/100000,"")</f>
        <v>1.01813</v>
      </c>
      <c r="T1813">
        <f t="shared" si="171"/>
        <v>0</v>
      </c>
      <c r="U1813">
        <f t="shared" si="172"/>
        <v>0</v>
      </c>
      <c r="V1813" t="str">
        <f t="shared" si="169"/>
        <v xml:space="preserve"> </v>
      </c>
    </row>
    <row r="1814" spans="17:22">
      <c r="Q1814">
        <f t="shared" si="170"/>
        <v>0</v>
      </c>
      <c r="R1814">
        <f t="shared" si="168"/>
        <v>1810</v>
      </c>
      <c r="S1814">
        <f>IFERROR(SEARCH(Crewlist!$P$5,V1814)+ROW()/100000,"")</f>
        <v>1.01814</v>
      </c>
      <c r="T1814">
        <f t="shared" si="171"/>
        <v>0</v>
      </c>
      <c r="U1814">
        <f t="shared" si="172"/>
        <v>0</v>
      </c>
      <c r="V1814" t="str">
        <f t="shared" si="169"/>
        <v xml:space="preserve"> </v>
      </c>
    </row>
    <row r="1815" spans="17:22">
      <c r="Q1815">
        <f t="shared" si="170"/>
        <v>0</v>
      </c>
      <c r="R1815">
        <f t="shared" si="168"/>
        <v>1811</v>
      </c>
      <c r="S1815">
        <f>IFERROR(SEARCH(Crewlist!$P$5,V1815)+ROW()/100000,"")</f>
        <v>1.0181499999999999</v>
      </c>
      <c r="T1815">
        <f t="shared" si="171"/>
        <v>0</v>
      </c>
      <c r="U1815">
        <f t="shared" si="172"/>
        <v>0</v>
      </c>
      <c r="V1815" t="str">
        <f t="shared" si="169"/>
        <v xml:space="preserve"> </v>
      </c>
    </row>
    <row r="1816" spans="17:22">
      <c r="Q1816">
        <f t="shared" si="170"/>
        <v>0</v>
      </c>
      <c r="R1816">
        <f t="shared" si="168"/>
        <v>1812</v>
      </c>
      <c r="S1816">
        <f>IFERROR(SEARCH(Crewlist!$P$5,V1816)+ROW()/100000,"")</f>
        <v>1.01816</v>
      </c>
      <c r="T1816">
        <f t="shared" si="171"/>
        <v>0</v>
      </c>
      <c r="U1816">
        <f t="shared" si="172"/>
        <v>0</v>
      </c>
      <c r="V1816" t="str">
        <f t="shared" si="169"/>
        <v xml:space="preserve"> </v>
      </c>
    </row>
    <row r="1817" spans="17:22">
      <c r="Q1817">
        <f t="shared" si="170"/>
        <v>0</v>
      </c>
      <c r="R1817">
        <f t="shared" si="168"/>
        <v>1813</v>
      </c>
      <c r="S1817">
        <f>IFERROR(SEARCH(Crewlist!$P$5,V1817)+ROW()/100000,"")</f>
        <v>1.01817</v>
      </c>
      <c r="T1817">
        <f t="shared" si="171"/>
        <v>0</v>
      </c>
      <c r="U1817">
        <f t="shared" si="172"/>
        <v>0</v>
      </c>
      <c r="V1817" t="str">
        <f t="shared" si="169"/>
        <v xml:space="preserve"> </v>
      </c>
    </row>
    <row r="1818" spans="17:22">
      <c r="Q1818">
        <f t="shared" si="170"/>
        <v>0</v>
      </c>
      <c r="R1818">
        <f t="shared" si="168"/>
        <v>1814</v>
      </c>
      <c r="S1818">
        <f>IFERROR(SEARCH(Crewlist!$P$5,V1818)+ROW()/100000,"")</f>
        <v>1.0181800000000001</v>
      </c>
      <c r="T1818">
        <f t="shared" si="171"/>
        <v>0</v>
      </c>
      <c r="U1818">
        <f t="shared" si="172"/>
        <v>0</v>
      </c>
      <c r="V1818" t="str">
        <f t="shared" si="169"/>
        <v xml:space="preserve"> </v>
      </c>
    </row>
    <row r="1819" spans="17:22">
      <c r="Q1819">
        <f t="shared" si="170"/>
        <v>0</v>
      </c>
      <c r="R1819">
        <f t="shared" si="168"/>
        <v>1815</v>
      </c>
      <c r="S1819">
        <f>IFERROR(SEARCH(Crewlist!$P$5,V1819)+ROW()/100000,"")</f>
        <v>1.0181899999999999</v>
      </c>
      <c r="T1819">
        <f t="shared" si="171"/>
        <v>0</v>
      </c>
      <c r="U1819">
        <f t="shared" si="172"/>
        <v>0</v>
      </c>
      <c r="V1819" t="str">
        <f t="shared" si="169"/>
        <v xml:space="preserve"> </v>
      </c>
    </row>
    <row r="1820" spans="17:22">
      <c r="Q1820">
        <f t="shared" si="170"/>
        <v>0</v>
      </c>
      <c r="R1820">
        <f t="shared" si="168"/>
        <v>1816</v>
      </c>
      <c r="S1820">
        <f>IFERROR(SEARCH(Crewlist!$P$5,V1820)+ROW()/100000,"")</f>
        <v>1.0182</v>
      </c>
      <c r="T1820">
        <f t="shared" si="171"/>
        <v>0</v>
      </c>
      <c r="U1820">
        <f t="shared" si="172"/>
        <v>0</v>
      </c>
      <c r="V1820" t="str">
        <f t="shared" si="169"/>
        <v xml:space="preserve"> </v>
      </c>
    </row>
    <row r="1821" spans="17:22">
      <c r="Q1821">
        <f t="shared" si="170"/>
        <v>0</v>
      </c>
      <c r="R1821">
        <f t="shared" si="168"/>
        <v>1817</v>
      </c>
      <c r="S1821">
        <f>IFERROR(SEARCH(Crewlist!$P$5,V1821)+ROW()/100000,"")</f>
        <v>1.0182100000000001</v>
      </c>
      <c r="T1821">
        <f t="shared" si="171"/>
        <v>0</v>
      </c>
      <c r="U1821">
        <f t="shared" si="172"/>
        <v>0</v>
      </c>
      <c r="V1821" t="str">
        <f t="shared" si="169"/>
        <v xml:space="preserve"> </v>
      </c>
    </row>
    <row r="1822" spans="17:22">
      <c r="Q1822">
        <f t="shared" si="170"/>
        <v>0</v>
      </c>
      <c r="R1822">
        <f t="shared" si="168"/>
        <v>1818</v>
      </c>
      <c r="S1822">
        <f>IFERROR(SEARCH(Crewlist!$P$5,V1822)+ROW()/100000,"")</f>
        <v>1.0182199999999999</v>
      </c>
      <c r="T1822">
        <f t="shared" si="171"/>
        <v>0</v>
      </c>
      <c r="U1822">
        <f t="shared" si="172"/>
        <v>0</v>
      </c>
      <c r="V1822" t="str">
        <f t="shared" si="169"/>
        <v xml:space="preserve"> </v>
      </c>
    </row>
    <row r="1823" spans="17:22">
      <c r="Q1823">
        <f t="shared" si="170"/>
        <v>0</v>
      </c>
      <c r="R1823">
        <f t="shared" si="168"/>
        <v>1819</v>
      </c>
      <c r="S1823">
        <f>IFERROR(SEARCH(Crewlist!$P$5,V1823)+ROW()/100000,"")</f>
        <v>1.01823</v>
      </c>
      <c r="T1823">
        <f t="shared" si="171"/>
        <v>0</v>
      </c>
      <c r="U1823">
        <f t="shared" si="172"/>
        <v>0</v>
      </c>
      <c r="V1823" t="str">
        <f t="shared" si="169"/>
        <v xml:space="preserve"> </v>
      </c>
    </row>
    <row r="1824" spans="17:22">
      <c r="Q1824">
        <f t="shared" si="170"/>
        <v>0</v>
      </c>
      <c r="R1824">
        <f t="shared" si="168"/>
        <v>1820</v>
      </c>
      <c r="S1824">
        <f>IFERROR(SEARCH(Crewlist!$P$5,V1824)+ROW()/100000,"")</f>
        <v>1.01824</v>
      </c>
      <c r="T1824">
        <f t="shared" si="171"/>
        <v>0</v>
      </c>
      <c r="U1824">
        <f t="shared" si="172"/>
        <v>0</v>
      </c>
      <c r="V1824" t="str">
        <f t="shared" si="169"/>
        <v xml:space="preserve"> </v>
      </c>
    </row>
    <row r="1825" spans="17:22">
      <c r="Q1825">
        <f t="shared" si="170"/>
        <v>0</v>
      </c>
      <c r="R1825">
        <f t="shared" si="168"/>
        <v>1821</v>
      </c>
      <c r="S1825">
        <f>IFERROR(SEARCH(Crewlist!$P$5,V1825)+ROW()/100000,"")</f>
        <v>1.0182500000000001</v>
      </c>
      <c r="T1825">
        <f t="shared" si="171"/>
        <v>0</v>
      </c>
      <c r="U1825">
        <f t="shared" si="172"/>
        <v>0</v>
      </c>
      <c r="V1825" t="str">
        <f t="shared" si="169"/>
        <v xml:space="preserve"> </v>
      </c>
    </row>
    <row r="1826" spans="17:22">
      <c r="Q1826">
        <f t="shared" si="170"/>
        <v>0</v>
      </c>
      <c r="R1826">
        <f t="shared" si="168"/>
        <v>1822</v>
      </c>
      <c r="S1826">
        <f>IFERROR(SEARCH(Crewlist!$P$5,V1826)+ROW()/100000,"")</f>
        <v>1.0182599999999999</v>
      </c>
      <c r="T1826">
        <f t="shared" si="171"/>
        <v>0</v>
      </c>
      <c r="U1826">
        <f t="shared" si="172"/>
        <v>0</v>
      </c>
      <c r="V1826" t="str">
        <f t="shared" si="169"/>
        <v xml:space="preserve"> </v>
      </c>
    </row>
    <row r="1827" spans="17:22">
      <c r="Q1827">
        <f t="shared" si="170"/>
        <v>0</v>
      </c>
      <c r="R1827">
        <f t="shared" si="168"/>
        <v>1823</v>
      </c>
      <c r="S1827">
        <f>IFERROR(SEARCH(Crewlist!$P$5,V1827)+ROW()/100000,"")</f>
        <v>1.01827</v>
      </c>
      <c r="T1827">
        <f t="shared" si="171"/>
        <v>0</v>
      </c>
      <c r="U1827">
        <f t="shared" si="172"/>
        <v>0</v>
      </c>
      <c r="V1827" t="str">
        <f t="shared" si="169"/>
        <v xml:space="preserve"> </v>
      </c>
    </row>
    <row r="1828" spans="17:22">
      <c r="Q1828">
        <f t="shared" si="170"/>
        <v>0</v>
      </c>
      <c r="R1828">
        <f t="shared" si="168"/>
        <v>1824</v>
      </c>
      <c r="S1828">
        <f>IFERROR(SEARCH(Crewlist!$P$5,V1828)+ROW()/100000,"")</f>
        <v>1.0182800000000001</v>
      </c>
      <c r="T1828">
        <f t="shared" si="171"/>
        <v>0</v>
      </c>
      <c r="U1828">
        <f t="shared" si="172"/>
        <v>0</v>
      </c>
      <c r="V1828" t="str">
        <f t="shared" si="169"/>
        <v xml:space="preserve"> </v>
      </c>
    </row>
    <row r="1829" spans="17:22">
      <c r="Q1829">
        <f t="shared" si="170"/>
        <v>0</v>
      </c>
      <c r="R1829">
        <f t="shared" si="168"/>
        <v>1825</v>
      </c>
      <c r="S1829">
        <f>IFERROR(SEARCH(Crewlist!$P$5,V1829)+ROW()/100000,"")</f>
        <v>1.0182899999999999</v>
      </c>
      <c r="T1829">
        <f t="shared" si="171"/>
        <v>0</v>
      </c>
      <c r="U1829">
        <f t="shared" si="172"/>
        <v>0</v>
      </c>
      <c r="V1829" t="str">
        <f t="shared" si="169"/>
        <v xml:space="preserve"> </v>
      </c>
    </row>
    <row r="1830" spans="17:22">
      <c r="Q1830">
        <f t="shared" si="170"/>
        <v>0</v>
      </c>
      <c r="R1830">
        <f t="shared" si="168"/>
        <v>1826</v>
      </c>
      <c r="S1830">
        <f>IFERROR(SEARCH(Crewlist!$P$5,V1830)+ROW()/100000,"")</f>
        <v>1.0183</v>
      </c>
      <c r="T1830">
        <f t="shared" si="171"/>
        <v>0</v>
      </c>
      <c r="U1830">
        <f t="shared" si="172"/>
        <v>0</v>
      </c>
      <c r="V1830" t="str">
        <f t="shared" si="169"/>
        <v xml:space="preserve"> </v>
      </c>
    </row>
    <row r="1831" spans="17:22">
      <c r="Q1831">
        <f t="shared" si="170"/>
        <v>0</v>
      </c>
      <c r="R1831">
        <f t="shared" si="168"/>
        <v>1827</v>
      </c>
      <c r="S1831">
        <f>IFERROR(SEARCH(Crewlist!$P$5,V1831)+ROW()/100000,"")</f>
        <v>1.01831</v>
      </c>
      <c r="T1831">
        <f t="shared" si="171"/>
        <v>0</v>
      </c>
      <c r="U1831">
        <f t="shared" si="172"/>
        <v>0</v>
      </c>
      <c r="V1831" t="str">
        <f t="shared" si="169"/>
        <v xml:space="preserve"> </v>
      </c>
    </row>
    <row r="1832" spans="17:22">
      <c r="Q1832">
        <f t="shared" si="170"/>
        <v>0</v>
      </c>
      <c r="R1832">
        <f t="shared" si="168"/>
        <v>1828</v>
      </c>
      <c r="S1832">
        <f>IFERROR(SEARCH(Crewlist!$P$5,V1832)+ROW()/100000,"")</f>
        <v>1.0183199999999999</v>
      </c>
      <c r="T1832">
        <f t="shared" si="171"/>
        <v>0</v>
      </c>
      <c r="U1832">
        <f t="shared" si="172"/>
        <v>0</v>
      </c>
      <c r="V1832" t="str">
        <f t="shared" si="169"/>
        <v xml:space="preserve"> </v>
      </c>
    </row>
    <row r="1833" spans="17:22">
      <c r="Q1833">
        <f t="shared" si="170"/>
        <v>0</v>
      </c>
      <c r="R1833">
        <f t="shared" si="168"/>
        <v>1829</v>
      </c>
      <c r="S1833">
        <f>IFERROR(SEARCH(Crewlist!$P$5,V1833)+ROW()/100000,"")</f>
        <v>1.01833</v>
      </c>
      <c r="T1833">
        <f t="shared" si="171"/>
        <v>0</v>
      </c>
      <c r="U1833">
        <f t="shared" si="172"/>
        <v>0</v>
      </c>
      <c r="V1833" t="str">
        <f t="shared" si="169"/>
        <v xml:space="preserve"> </v>
      </c>
    </row>
    <row r="1834" spans="17:22">
      <c r="Q1834">
        <f t="shared" si="170"/>
        <v>0</v>
      </c>
      <c r="R1834">
        <f t="shared" si="168"/>
        <v>1830</v>
      </c>
      <c r="S1834">
        <f>IFERROR(SEARCH(Crewlist!$P$5,V1834)+ROW()/100000,"")</f>
        <v>1.01834</v>
      </c>
      <c r="T1834">
        <f t="shared" si="171"/>
        <v>0</v>
      </c>
      <c r="U1834">
        <f t="shared" si="172"/>
        <v>0</v>
      </c>
      <c r="V1834" t="str">
        <f t="shared" si="169"/>
        <v xml:space="preserve"> </v>
      </c>
    </row>
    <row r="1835" spans="17:22">
      <c r="Q1835">
        <f t="shared" si="170"/>
        <v>0</v>
      </c>
      <c r="R1835">
        <f t="shared" si="168"/>
        <v>1831</v>
      </c>
      <c r="S1835">
        <f>IFERROR(SEARCH(Crewlist!$P$5,V1835)+ROW()/100000,"")</f>
        <v>1.0183500000000001</v>
      </c>
      <c r="T1835">
        <f t="shared" si="171"/>
        <v>0</v>
      </c>
      <c r="U1835">
        <f t="shared" si="172"/>
        <v>0</v>
      </c>
      <c r="V1835" t="str">
        <f t="shared" si="169"/>
        <v xml:space="preserve"> </v>
      </c>
    </row>
    <row r="1836" spans="17:22">
      <c r="Q1836">
        <f t="shared" si="170"/>
        <v>0</v>
      </c>
      <c r="R1836">
        <f t="shared" si="168"/>
        <v>1832</v>
      </c>
      <c r="S1836">
        <f>IFERROR(SEARCH(Crewlist!$P$5,V1836)+ROW()/100000,"")</f>
        <v>1.0183599999999999</v>
      </c>
      <c r="T1836">
        <f t="shared" si="171"/>
        <v>0</v>
      </c>
      <c r="U1836">
        <f t="shared" si="172"/>
        <v>0</v>
      </c>
      <c r="V1836" t="str">
        <f t="shared" si="169"/>
        <v xml:space="preserve"> </v>
      </c>
    </row>
    <row r="1837" spans="17:22">
      <c r="Q1837">
        <f t="shared" si="170"/>
        <v>0</v>
      </c>
      <c r="R1837">
        <f t="shared" si="168"/>
        <v>1833</v>
      </c>
      <c r="S1837">
        <f>IFERROR(SEARCH(Crewlist!$P$5,V1837)+ROW()/100000,"")</f>
        <v>1.01837</v>
      </c>
      <c r="T1837">
        <f t="shared" si="171"/>
        <v>0</v>
      </c>
      <c r="U1837">
        <f t="shared" si="172"/>
        <v>0</v>
      </c>
      <c r="V1837" t="str">
        <f t="shared" si="169"/>
        <v xml:space="preserve"> </v>
      </c>
    </row>
    <row r="1838" spans="17:22">
      <c r="Q1838">
        <f t="shared" si="170"/>
        <v>0</v>
      </c>
      <c r="R1838">
        <f t="shared" si="168"/>
        <v>1834</v>
      </c>
      <c r="S1838">
        <f>IFERROR(SEARCH(Crewlist!$P$5,V1838)+ROW()/100000,"")</f>
        <v>1.0183800000000001</v>
      </c>
      <c r="T1838">
        <f t="shared" si="171"/>
        <v>0</v>
      </c>
      <c r="U1838">
        <f t="shared" si="172"/>
        <v>0</v>
      </c>
      <c r="V1838" t="str">
        <f t="shared" si="169"/>
        <v xml:space="preserve"> </v>
      </c>
    </row>
    <row r="1839" spans="17:22">
      <c r="Q1839">
        <f t="shared" si="170"/>
        <v>0</v>
      </c>
      <c r="R1839">
        <f t="shared" si="168"/>
        <v>1835</v>
      </c>
      <c r="S1839">
        <f>IFERROR(SEARCH(Crewlist!$P$5,V1839)+ROW()/100000,"")</f>
        <v>1.0183899999999999</v>
      </c>
      <c r="T1839">
        <f t="shared" si="171"/>
        <v>0</v>
      </c>
      <c r="U1839">
        <f t="shared" si="172"/>
        <v>0</v>
      </c>
      <c r="V1839" t="str">
        <f t="shared" si="169"/>
        <v xml:space="preserve"> </v>
      </c>
    </row>
    <row r="1840" spans="17:22">
      <c r="Q1840">
        <f t="shared" si="170"/>
        <v>0</v>
      </c>
      <c r="R1840">
        <f t="shared" si="168"/>
        <v>1836</v>
      </c>
      <c r="S1840">
        <f>IFERROR(SEARCH(Crewlist!$P$5,V1840)+ROW()/100000,"")</f>
        <v>1.0184</v>
      </c>
      <c r="T1840">
        <f t="shared" si="171"/>
        <v>0</v>
      </c>
      <c r="U1840">
        <f t="shared" si="172"/>
        <v>0</v>
      </c>
      <c r="V1840" t="str">
        <f t="shared" si="169"/>
        <v xml:space="preserve"> </v>
      </c>
    </row>
    <row r="1841" spans="17:22">
      <c r="Q1841">
        <f t="shared" si="170"/>
        <v>0</v>
      </c>
      <c r="R1841">
        <f t="shared" si="168"/>
        <v>1837</v>
      </c>
      <c r="S1841">
        <f>IFERROR(SEARCH(Crewlist!$P$5,V1841)+ROW()/100000,"")</f>
        <v>1.01841</v>
      </c>
      <c r="T1841">
        <f t="shared" si="171"/>
        <v>0</v>
      </c>
      <c r="U1841">
        <f t="shared" si="172"/>
        <v>0</v>
      </c>
      <c r="V1841" t="str">
        <f t="shared" si="169"/>
        <v xml:space="preserve"> </v>
      </c>
    </row>
    <row r="1842" spans="17:22">
      <c r="Q1842">
        <f t="shared" si="170"/>
        <v>0</v>
      </c>
      <c r="R1842">
        <f t="shared" si="168"/>
        <v>1838</v>
      </c>
      <c r="S1842">
        <f>IFERROR(SEARCH(Crewlist!$P$5,V1842)+ROW()/100000,"")</f>
        <v>1.0184200000000001</v>
      </c>
      <c r="T1842">
        <f t="shared" si="171"/>
        <v>0</v>
      </c>
      <c r="U1842">
        <f t="shared" si="172"/>
        <v>0</v>
      </c>
      <c r="V1842" t="str">
        <f t="shared" si="169"/>
        <v xml:space="preserve"> </v>
      </c>
    </row>
    <row r="1843" spans="17:22">
      <c r="Q1843">
        <f t="shared" si="170"/>
        <v>0</v>
      </c>
      <c r="R1843">
        <f t="shared" si="168"/>
        <v>1839</v>
      </c>
      <c r="S1843">
        <f>IFERROR(SEARCH(Crewlist!$P$5,V1843)+ROW()/100000,"")</f>
        <v>1.0184299999999999</v>
      </c>
      <c r="T1843">
        <f t="shared" si="171"/>
        <v>0</v>
      </c>
      <c r="U1843">
        <f t="shared" si="172"/>
        <v>0</v>
      </c>
      <c r="V1843" t="str">
        <f t="shared" si="169"/>
        <v xml:space="preserve"> </v>
      </c>
    </row>
    <row r="1844" spans="17:22">
      <c r="Q1844">
        <f t="shared" si="170"/>
        <v>0</v>
      </c>
      <c r="R1844">
        <f t="shared" si="168"/>
        <v>1840</v>
      </c>
      <c r="S1844">
        <f>IFERROR(SEARCH(Crewlist!$P$5,V1844)+ROW()/100000,"")</f>
        <v>1.01844</v>
      </c>
      <c r="T1844">
        <f t="shared" si="171"/>
        <v>0</v>
      </c>
      <c r="U1844">
        <f t="shared" si="172"/>
        <v>0</v>
      </c>
      <c r="V1844" t="str">
        <f t="shared" si="169"/>
        <v xml:space="preserve"> </v>
      </c>
    </row>
    <row r="1845" spans="17:22">
      <c r="Q1845">
        <f t="shared" si="170"/>
        <v>0</v>
      </c>
      <c r="R1845">
        <f t="shared" si="168"/>
        <v>1841</v>
      </c>
      <c r="S1845">
        <f>IFERROR(SEARCH(Crewlist!$P$5,V1845)+ROW()/100000,"")</f>
        <v>1.0184500000000001</v>
      </c>
      <c r="T1845">
        <f t="shared" si="171"/>
        <v>0</v>
      </c>
      <c r="U1845">
        <f t="shared" si="172"/>
        <v>0</v>
      </c>
      <c r="V1845" t="str">
        <f t="shared" si="169"/>
        <v xml:space="preserve"> </v>
      </c>
    </row>
    <row r="1846" spans="17:22">
      <c r="Q1846">
        <f t="shared" si="170"/>
        <v>0</v>
      </c>
      <c r="R1846">
        <f t="shared" si="168"/>
        <v>1842</v>
      </c>
      <c r="S1846">
        <f>IFERROR(SEARCH(Crewlist!$P$5,V1846)+ROW()/100000,"")</f>
        <v>1.0184599999999999</v>
      </c>
      <c r="T1846">
        <f t="shared" si="171"/>
        <v>0</v>
      </c>
      <c r="U1846">
        <f t="shared" si="172"/>
        <v>0</v>
      </c>
      <c r="V1846" t="str">
        <f t="shared" si="169"/>
        <v xml:space="preserve"> </v>
      </c>
    </row>
    <row r="1847" spans="17:22">
      <c r="Q1847">
        <f t="shared" si="170"/>
        <v>0</v>
      </c>
      <c r="R1847">
        <f t="shared" si="168"/>
        <v>1843</v>
      </c>
      <c r="S1847">
        <f>IFERROR(SEARCH(Crewlist!$P$5,V1847)+ROW()/100000,"")</f>
        <v>1.01847</v>
      </c>
      <c r="T1847">
        <f t="shared" si="171"/>
        <v>0</v>
      </c>
      <c r="U1847">
        <f t="shared" si="172"/>
        <v>0</v>
      </c>
      <c r="V1847" t="str">
        <f t="shared" si="169"/>
        <v xml:space="preserve"> </v>
      </c>
    </row>
    <row r="1848" spans="17:22">
      <c r="Q1848">
        <f t="shared" si="170"/>
        <v>0</v>
      </c>
      <c r="R1848">
        <f t="shared" si="168"/>
        <v>1844</v>
      </c>
      <c r="S1848">
        <f>IFERROR(SEARCH(Crewlist!$P$5,V1848)+ROW()/100000,"")</f>
        <v>1.0184800000000001</v>
      </c>
      <c r="T1848">
        <f t="shared" si="171"/>
        <v>0</v>
      </c>
      <c r="U1848">
        <f t="shared" si="172"/>
        <v>0</v>
      </c>
      <c r="V1848" t="str">
        <f t="shared" si="169"/>
        <v xml:space="preserve"> </v>
      </c>
    </row>
    <row r="1849" spans="17:22">
      <c r="Q1849">
        <f t="shared" si="170"/>
        <v>0</v>
      </c>
      <c r="R1849">
        <f t="shared" si="168"/>
        <v>1845</v>
      </c>
      <c r="S1849">
        <f>IFERROR(SEARCH(Crewlist!$P$5,V1849)+ROW()/100000,"")</f>
        <v>1.0184899999999999</v>
      </c>
      <c r="T1849">
        <f t="shared" si="171"/>
        <v>0</v>
      </c>
      <c r="U1849">
        <f t="shared" si="172"/>
        <v>0</v>
      </c>
      <c r="V1849" t="str">
        <f t="shared" si="169"/>
        <v xml:space="preserve"> </v>
      </c>
    </row>
    <row r="1850" spans="17:22">
      <c r="Q1850">
        <f t="shared" si="170"/>
        <v>0</v>
      </c>
      <c r="R1850">
        <f t="shared" si="168"/>
        <v>1846</v>
      </c>
      <c r="S1850">
        <f>IFERROR(SEARCH(Crewlist!$P$5,V1850)+ROW()/100000,"")</f>
        <v>1.0185</v>
      </c>
      <c r="T1850">
        <f t="shared" si="171"/>
        <v>0</v>
      </c>
      <c r="U1850">
        <f t="shared" si="172"/>
        <v>0</v>
      </c>
      <c r="V1850" t="str">
        <f t="shared" si="169"/>
        <v xml:space="preserve"> </v>
      </c>
    </row>
    <row r="1851" spans="17:22">
      <c r="Q1851">
        <f t="shared" si="170"/>
        <v>0</v>
      </c>
      <c r="R1851">
        <f t="shared" si="168"/>
        <v>1847</v>
      </c>
      <c r="S1851">
        <f>IFERROR(SEARCH(Crewlist!$P$5,V1851)+ROW()/100000,"")</f>
        <v>1.01851</v>
      </c>
      <c r="T1851">
        <f t="shared" si="171"/>
        <v>0</v>
      </c>
      <c r="U1851">
        <f t="shared" si="172"/>
        <v>0</v>
      </c>
      <c r="V1851" t="str">
        <f t="shared" si="169"/>
        <v xml:space="preserve"> </v>
      </c>
    </row>
    <row r="1852" spans="17:22">
      <c r="Q1852">
        <f t="shared" si="170"/>
        <v>0</v>
      </c>
      <c r="R1852">
        <f t="shared" si="168"/>
        <v>1848</v>
      </c>
      <c r="S1852">
        <f>IFERROR(SEARCH(Crewlist!$P$5,V1852)+ROW()/100000,"")</f>
        <v>1.0185200000000001</v>
      </c>
      <c r="T1852">
        <f t="shared" si="171"/>
        <v>0</v>
      </c>
      <c r="U1852">
        <f t="shared" si="172"/>
        <v>0</v>
      </c>
      <c r="V1852" t="str">
        <f t="shared" si="169"/>
        <v xml:space="preserve"> </v>
      </c>
    </row>
    <row r="1853" spans="17:22">
      <c r="Q1853">
        <f t="shared" si="170"/>
        <v>0</v>
      </c>
      <c r="R1853">
        <f t="shared" si="168"/>
        <v>1849</v>
      </c>
      <c r="S1853">
        <f>IFERROR(SEARCH(Crewlist!$P$5,V1853)+ROW()/100000,"")</f>
        <v>1.0185299999999999</v>
      </c>
      <c r="T1853">
        <f t="shared" si="171"/>
        <v>0</v>
      </c>
      <c r="U1853">
        <f t="shared" si="172"/>
        <v>0</v>
      </c>
      <c r="V1853" t="str">
        <f t="shared" si="169"/>
        <v xml:space="preserve"> </v>
      </c>
    </row>
    <row r="1854" spans="17:22">
      <c r="Q1854">
        <f t="shared" si="170"/>
        <v>0</v>
      </c>
      <c r="R1854">
        <f t="shared" si="168"/>
        <v>1850</v>
      </c>
      <c r="S1854">
        <f>IFERROR(SEARCH(Crewlist!$P$5,V1854)+ROW()/100000,"")</f>
        <v>1.01854</v>
      </c>
      <c r="T1854">
        <f t="shared" si="171"/>
        <v>0</v>
      </c>
      <c r="U1854">
        <f t="shared" si="172"/>
        <v>0</v>
      </c>
      <c r="V1854" t="str">
        <f t="shared" si="169"/>
        <v xml:space="preserve"> </v>
      </c>
    </row>
    <row r="1855" spans="17:22">
      <c r="Q1855">
        <f t="shared" si="170"/>
        <v>0</v>
      </c>
      <c r="R1855">
        <f t="shared" si="168"/>
        <v>1851</v>
      </c>
      <c r="S1855">
        <f>IFERROR(SEARCH(Crewlist!$P$5,V1855)+ROW()/100000,"")</f>
        <v>1.0185500000000001</v>
      </c>
      <c r="T1855">
        <f t="shared" si="171"/>
        <v>0</v>
      </c>
      <c r="U1855">
        <f t="shared" si="172"/>
        <v>0</v>
      </c>
      <c r="V1855" t="str">
        <f t="shared" si="169"/>
        <v xml:space="preserve"> </v>
      </c>
    </row>
    <row r="1856" spans="17:22">
      <c r="Q1856">
        <f t="shared" si="170"/>
        <v>0</v>
      </c>
      <c r="R1856">
        <f t="shared" si="168"/>
        <v>1852</v>
      </c>
      <c r="S1856">
        <f>IFERROR(SEARCH(Crewlist!$P$5,V1856)+ROW()/100000,"")</f>
        <v>1.0185599999999999</v>
      </c>
      <c r="T1856">
        <f t="shared" si="171"/>
        <v>0</v>
      </c>
      <c r="U1856">
        <f t="shared" si="172"/>
        <v>0</v>
      </c>
      <c r="V1856" t="str">
        <f t="shared" si="169"/>
        <v xml:space="preserve"> </v>
      </c>
    </row>
    <row r="1857" spans="17:22">
      <c r="Q1857">
        <f t="shared" si="170"/>
        <v>0</v>
      </c>
      <c r="R1857">
        <f t="shared" si="168"/>
        <v>1853</v>
      </c>
      <c r="S1857">
        <f>IFERROR(SEARCH(Crewlist!$P$5,V1857)+ROW()/100000,"")</f>
        <v>1.01857</v>
      </c>
      <c r="T1857">
        <f t="shared" si="171"/>
        <v>0</v>
      </c>
      <c r="U1857">
        <f t="shared" si="172"/>
        <v>0</v>
      </c>
      <c r="V1857" t="str">
        <f t="shared" si="169"/>
        <v xml:space="preserve"> </v>
      </c>
    </row>
    <row r="1858" spans="17:22">
      <c r="Q1858">
        <f t="shared" si="170"/>
        <v>0</v>
      </c>
      <c r="R1858">
        <f t="shared" ref="R1858:R1921" si="173">IFERROR(RANK(S1858,$S$2:$S$1998,1),"")</f>
        <v>1854</v>
      </c>
      <c r="S1858">
        <f>IFERROR(SEARCH(Crewlist!$P$5,V1858)+ROW()/100000,"")</f>
        <v>1.01858</v>
      </c>
      <c r="T1858">
        <f t="shared" si="171"/>
        <v>0</v>
      </c>
      <c r="U1858">
        <f t="shared" si="172"/>
        <v>0</v>
      </c>
      <c r="V1858" t="str">
        <f t="shared" si="169"/>
        <v xml:space="preserve"> </v>
      </c>
    </row>
    <row r="1859" spans="17:22">
      <c r="Q1859">
        <f t="shared" si="170"/>
        <v>0</v>
      </c>
      <c r="R1859">
        <f t="shared" si="173"/>
        <v>1855</v>
      </c>
      <c r="S1859">
        <f>IFERROR(SEARCH(Crewlist!$P$5,V1859)+ROW()/100000,"")</f>
        <v>1.0185900000000001</v>
      </c>
      <c r="T1859">
        <f t="shared" si="171"/>
        <v>0</v>
      </c>
      <c r="U1859">
        <f t="shared" si="172"/>
        <v>0</v>
      </c>
      <c r="V1859" t="str">
        <f t="shared" ref="V1859:V1922" si="174">CONCATENATE(C1859," ",D1859)</f>
        <v xml:space="preserve"> </v>
      </c>
    </row>
    <row r="1860" spans="17:22">
      <c r="Q1860">
        <f t="shared" si="170"/>
        <v>0</v>
      </c>
      <c r="R1860">
        <f t="shared" si="173"/>
        <v>1856</v>
      </c>
      <c r="S1860">
        <f>IFERROR(SEARCH(Crewlist!$P$5,V1860)+ROW()/100000,"")</f>
        <v>1.0185999999999999</v>
      </c>
      <c r="T1860">
        <f t="shared" si="171"/>
        <v>0</v>
      </c>
      <c r="U1860">
        <f t="shared" si="172"/>
        <v>0</v>
      </c>
      <c r="V1860" t="str">
        <f t="shared" si="174"/>
        <v xml:space="preserve"> </v>
      </c>
    </row>
    <row r="1861" spans="17:22">
      <c r="Q1861">
        <f t="shared" si="170"/>
        <v>0</v>
      </c>
      <c r="R1861">
        <f t="shared" si="173"/>
        <v>1857</v>
      </c>
      <c r="S1861">
        <f>IFERROR(SEARCH(Crewlist!$P$5,V1861)+ROW()/100000,"")</f>
        <v>1.01861</v>
      </c>
      <c r="T1861">
        <f t="shared" si="171"/>
        <v>0</v>
      </c>
      <c r="U1861">
        <f t="shared" si="172"/>
        <v>0</v>
      </c>
      <c r="V1861" t="str">
        <f t="shared" si="174"/>
        <v xml:space="preserve"> </v>
      </c>
    </row>
    <row r="1862" spans="17:22">
      <c r="Q1862">
        <f t="shared" si="170"/>
        <v>0</v>
      </c>
      <c r="R1862">
        <f t="shared" si="173"/>
        <v>1858</v>
      </c>
      <c r="S1862">
        <f>IFERROR(SEARCH(Crewlist!$P$5,V1862)+ROW()/100000,"")</f>
        <v>1.0186200000000001</v>
      </c>
      <c r="T1862">
        <f t="shared" si="171"/>
        <v>0</v>
      </c>
      <c r="U1862">
        <f t="shared" si="172"/>
        <v>0</v>
      </c>
      <c r="V1862" t="str">
        <f t="shared" si="174"/>
        <v xml:space="preserve"> </v>
      </c>
    </row>
    <row r="1863" spans="17:22">
      <c r="Q1863">
        <f t="shared" si="170"/>
        <v>0</v>
      </c>
      <c r="R1863">
        <f t="shared" si="173"/>
        <v>1859</v>
      </c>
      <c r="S1863">
        <f>IFERROR(SEARCH(Crewlist!$P$5,V1863)+ROW()/100000,"")</f>
        <v>1.0186299999999999</v>
      </c>
      <c r="T1863">
        <f t="shared" si="171"/>
        <v>0</v>
      </c>
      <c r="U1863">
        <f t="shared" si="172"/>
        <v>0</v>
      </c>
      <c r="V1863" t="str">
        <f t="shared" si="174"/>
        <v xml:space="preserve"> </v>
      </c>
    </row>
    <row r="1864" spans="17:22">
      <c r="Q1864">
        <f t="shared" si="170"/>
        <v>0</v>
      </c>
      <c r="R1864">
        <f t="shared" si="173"/>
        <v>1860</v>
      </c>
      <c r="S1864">
        <f>IFERROR(SEARCH(Crewlist!$P$5,V1864)+ROW()/100000,"")</f>
        <v>1.01864</v>
      </c>
      <c r="T1864">
        <f t="shared" si="171"/>
        <v>0</v>
      </c>
      <c r="U1864">
        <f t="shared" si="172"/>
        <v>0</v>
      </c>
      <c r="V1864" t="str">
        <f t="shared" si="174"/>
        <v xml:space="preserve"> </v>
      </c>
    </row>
    <row r="1865" spans="17:22">
      <c r="Q1865">
        <f t="shared" ref="Q1865:Q1928" si="175">IF(C1865&lt;&gt; "",B1865,0)</f>
        <v>0</v>
      </c>
      <c r="R1865">
        <f t="shared" si="173"/>
        <v>1861</v>
      </c>
      <c r="S1865">
        <f>IFERROR(SEARCH(Crewlist!$P$5,V1865)+ROW()/100000,"")</f>
        <v>1.0186500000000001</v>
      </c>
      <c r="T1865">
        <f t="shared" ref="T1865:T1928" si="176">B1865</f>
        <v>0</v>
      </c>
      <c r="U1865">
        <f t="shared" ref="U1865:U1928" si="177">C1865</f>
        <v>0</v>
      </c>
      <c r="V1865" t="str">
        <f t="shared" si="174"/>
        <v xml:space="preserve"> </v>
      </c>
    </row>
    <row r="1866" spans="17:22">
      <c r="Q1866">
        <f t="shared" si="175"/>
        <v>0</v>
      </c>
      <c r="R1866">
        <f t="shared" si="173"/>
        <v>1862</v>
      </c>
      <c r="S1866">
        <f>IFERROR(SEARCH(Crewlist!$P$5,V1866)+ROW()/100000,"")</f>
        <v>1.0186599999999999</v>
      </c>
      <c r="T1866">
        <f t="shared" si="176"/>
        <v>0</v>
      </c>
      <c r="U1866">
        <f t="shared" si="177"/>
        <v>0</v>
      </c>
      <c r="V1866" t="str">
        <f t="shared" si="174"/>
        <v xml:space="preserve"> </v>
      </c>
    </row>
    <row r="1867" spans="17:22">
      <c r="Q1867">
        <f t="shared" si="175"/>
        <v>0</v>
      </c>
      <c r="R1867">
        <f t="shared" si="173"/>
        <v>1863</v>
      </c>
      <c r="S1867">
        <f>IFERROR(SEARCH(Crewlist!$P$5,V1867)+ROW()/100000,"")</f>
        <v>1.01867</v>
      </c>
      <c r="T1867">
        <f t="shared" si="176"/>
        <v>0</v>
      </c>
      <c r="U1867">
        <f t="shared" si="177"/>
        <v>0</v>
      </c>
      <c r="V1867" t="str">
        <f t="shared" si="174"/>
        <v xml:space="preserve"> </v>
      </c>
    </row>
    <row r="1868" spans="17:22">
      <c r="Q1868">
        <f t="shared" si="175"/>
        <v>0</v>
      </c>
      <c r="R1868">
        <f t="shared" si="173"/>
        <v>1864</v>
      </c>
      <c r="S1868">
        <f>IFERROR(SEARCH(Crewlist!$P$5,V1868)+ROW()/100000,"")</f>
        <v>1.01868</v>
      </c>
      <c r="T1868">
        <f t="shared" si="176"/>
        <v>0</v>
      </c>
      <c r="U1868">
        <f t="shared" si="177"/>
        <v>0</v>
      </c>
      <c r="V1868" t="str">
        <f t="shared" si="174"/>
        <v xml:space="preserve"> </v>
      </c>
    </row>
    <row r="1869" spans="17:22">
      <c r="Q1869">
        <f t="shared" si="175"/>
        <v>0</v>
      </c>
      <c r="R1869">
        <f t="shared" si="173"/>
        <v>1865</v>
      </c>
      <c r="S1869">
        <f>IFERROR(SEARCH(Crewlist!$P$5,V1869)+ROW()/100000,"")</f>
        <v>1.0186900000000001</v>
      </c>
      <c r="T1869">
        <f t="shared" si="176"/>
        <v>0</v>
      </c>
      <c r="U1869">
        <f t="shared" si="177"/>
        <v>0</v>
      </c>
      <c r="V1869" t="str">
        <f t="shared" si="174"/>
        <v xml:space="preserve"> </v>
      </c>
    </row>
    <row r="1870" spans="17:22">
      <c r="Q1870">
        <f t="shared" si="175"/>
        <v>0</v>
      </c>
      <c r="R1870">
        <f t="shared" si="173"/>
        <v>1866</v>
      </c>
      <c r="S1870">
        <f>IFERROR(SEARCH(Crewlist!$P$5,V1870)+ROW()/100000,"")</f>
        <v>1.0186999999999999</v>
      </c>
      <c r="T1870">
        <f t="shared" si="176"/>
        <v>0</v>
      </c>
      <c r="U1870">
        <f t="shared" si="177"/>
        <v>0</v>
      </c>
      <c r="V1870" t="str">
        <f t="shared" si="174"/>
        <v xml:space="preserve"> </v>
      </c>
    </row>
    <row r="1871" spans="17:22">
      <c r="Q1871">
        <f t="shared" si="175"/>
        <v>0</v>
      </c>
      <c r="R1871">
        <f t="shared" si="173"/>
        <v>1867</v>
      </c>
      <c r="S1871">
        <f>IFERROR(SEARCH(Crewlist!$P$5,V1871)+ROW()/100000,"")</f>
        <v>1.01871</v>
      </c>
      <c r="T1871">
        <f t="shared" si="176"/>
        <v>0</v>
      </c>
      <c r="U1871">
        <f t="shared" si="177"/>
        <v>0</v>
      </c>
      <c r="V1871" t="str">
        <f t="shared" si="174"/>
        <v xml:space="preserve"> </v>
      </c>
    </row>
    <row r="1872" spans="17:22">
      <c r="Q1872">
        <f t="shared" si="175"/>
        <v>0</v>
      </c>
      <c r="R1872">
        <f t="shared" si="173"/>
        <v>1868</v>
      </c>
      <c r="S1872">
        <f>IFERROR(SEARCH(Crewlist!$P$5,V1872)+ROW()/100000,"")</f>
        <v>1.0187200000000001</v>
      </c>
      <c r="T1872">
        <f t="shared" si="176"/>
        <v>0</v>
      </c>
      <c r="U1872">
        <f t="shared" si="177"/>
        <v>0</v>
      </c>
      <c r="V1872" t="str">
        <f t="shared" si="174"/>
        <v xml:space="preserve"> </v>
      </c>
    </row>
    <row r="1873" spans="17:22">
      <c r="Q1873">
        <f t="shared" si="175"/>
        <v>0</v>
      </c>
      <c r="R1873">
        <f t="shared" si="173"/>
        <v>1869</v>
      </c>
      <c r="S1873">
        <f>IFERROR(SEARCH(Crewlist!$P$5,V1873)+ROW()/100000,"")</f>
        <v>1.0187299999999999</v>
      </c>
      <c r="T1873">
        <f t="shared" si="176"/>
        <v>0</v>
      </c>
      <c r="U1873">
        <f t="shared" si="177"/>
        <v>0</v>
      </c>
      <c r="V1873" t="str">
        <f t="shared" si="174"/>
        <v xml:space="preserve"> </v>
      </c>
    </row>
    <row r="1874" spans="17:22">
      <c r="Q1874">
        <f t="shared" si="175"/>
        <v>0</v>
      </c>
      <c r="R1874">
        <f t="shared" si="173"/>
        <v>1870</v>
      </c>
      <c r="S1874">
        <f>IFERROR(SEARCH(Crewlist!$P$5,V1874)+ROW()/100000,"")</f>
        <v>1.01874</v>
      </c>
      <c r="T1874">
        <f t="shared" si="176"/>
        <v>0</v>
      </c>
      <c r="U1874">
        <f t="shared" si="177"/>
        <v>0</v>
      </c>
      <c r="V1874" t="str">
        <f t="shared" si="174"/>
        <v xml:space="preserve"> </v>
      </c>
    </row>
    <row r="1875" spans="17:22">
      <c r="Q1875">
        <f t="shared" si="175"/>
        <v>0</v>
      </c>
      <c r="R1875">
        <f t="shared" si="173"/>
        <v>1871</v>
      </c>
      <c r="S1875">
        <f>IFERROR(SEARCH(Crewlist!$P$5,V1875)+ROW()/100000,"")</f>
        <v>1.01875</v>
      </c>
      <c r="T1875">
        <f t="shared" si="176"/>
        <v>0</v>
      </c>
      <c r="U1875">
        <f t="shared" si="177"/>
        <v>0</v>
      </c>
      <c r="V1875" t="str">
        <f t="shared" si="174"/>
        <v xml:space="preserve"> </v>
      </c>
    </row>
    <row r="1876" spans="17:22">
      <c r="Q1876">
        <f t="shared" si="175"/>
        <v>0</v>
      </c>
      <c r="R1876">
        <f t="shared" si="173"/>
        <v>1872</v>
      </c>
      <c r="S1876">
        <f>IFERROR(SEARCH(Crewlist!$P$5,V1876)+ROW()/100000,"")</f>
        <v>1.0187599999999999</v>
      </c>
      <c r="T1876">
        <f t="shared" si="176"/>
        <v>0</v>
      </c>
      <c r="U1876">
        <f t="shared" si="177"/>
        <v>0</v>
      </c>
      <c r="V1876" t="str">
        <f t="shared" si="174"/>
        <v xml:space="preserve"> </v>
      </c>
    </row>
    <row r="1877" spans="17:22">
      <c r="Q1877">
        <f t="shared" si="175"/>
        <v>0</v>
      </c>
      <c r="R1877">
        <f t="shared" si="173"/>
        <v>1873</v>
      </c>
      <c r="S1877">
        <f>IFERROR(SEARCH(Crewlist!$P$5,V1877)+ROW()/100000,"")</f>
        <v>1.01877</v>
      </c>
      <c r="T1877">
        <f t="shared" si="176"/>
        <v>0</v>
      </c>
      <c r="U1877">
        <f t="shared" si="177"/>
        <v>0</v>
      </c>
      <c r="V1877" t="str">
        <f t="shared" si="174"/>
        <v xml:space="preserve"> </v>
      </c>
    </row>
    <row r="1878" spans="17:22">
      <c r="Q1878">
        <f t="shared" si="175"/>
        <v>0</v>
      </c>
      <c r="R1878">
        <f t="shared" si="173"/>
        <v>1874</v>
      </c>
      <c r="S1878">
        <f>IFERROR(SEARCH(Crewlist!$P$5,V1878)+ROW()/100000,"")</f>
        <v>1.01878</v>
      </c>
      <c r="T1878">
        <f t="shared" si="176"/>
        <v>0</v>
      </c>
      <c r="U1878">
        <f t="shared" si="177"/>
        <v>0</v>
      </c>
      <c r="V1878" t="str">
        <f t="shared" si="174"/>
        <v xml:space="preserve"> </v>
      </c>
    </row>
    <row r="1879" spans="17:22">
      <c r="Q1879">
        <f t="shared" si="175"/>
        <v>0</v>
      </c>
      <c r="R1879">
        <f t="shared" si="173"/>
        <v>1875</v>
      </c>
      <c r="S1879">
        <f>IFERROR(SEARCH(Crewlist!$P$5,V1879)+ROW()/100000,"")</f>
        <v>1.0187900000000001</v>
      </c>
      <c r="T1879">
        <f t="shared" si="176"/>
        <v>0</v>
      </c>
      <c r="U1879">
        <f t="shared" si="177"/>
        <v>0</v>
      </c>
      <c r="V1879" t="str">
        <f t="shared" si="174"/>
        <v xml:space="preserve"> </v>
      </c>
    </row>
    <row r="1880" spans="17:22">
      <c r="Q1880">
        <f t="shared" si="175"/>
        <v>0</v>
      </c>
      <c r="R1880">
        <f t="shared" si="173"/>
        <v>1876</v>
      </c>
      <c r="S1880">
        <f>IFERROR(SEARCH(Crewlist!$P$5,V1880)+ROW()/100000,"")</f>
        <v>1.0187999999999999</v>
      </c>
      <c r="T1880">
        <f t="shared" si="176"/>
        <v>0</v>
      </c>
      <c r="U1880">
        <f t="shared" si="177"/>
        <v>0</v>
      </c>
      <c r="V1880" t="str">
        <f t="shared" si="174"/>
        <v xml:space="preserve"> </v>
      </c>
    </row>
    <row r="1881" spans="17:22">
      <c r="Q1881">
        <f t="shared" si="175"/>
        <v>0</v>
      </c>
      <c r="R1881">
        <f t="shared" si="173"/>
        <v>1877</v>
      </c>
      <c r="S1881">
        <f>IFERROR(SEARCH(Crewlist!$P$5,V1881)+ROW()/100000,"")</f>
        <v>1.01881</v>
      </c>
      <c r="T1881">
        <f t="shared" si="176"/>
        <v>0</v>
      </c>
      <c r="U1881">
        <f t="shared" si="177"/>
        <v>0</v>
      </c>
      <c r="V1881" t="str">
        <f t="shared" si="174"/>
        <v xml:space="preserve"> </v>
      </c>
    </row>
    <row r="1882" spans="17:22">
      <c r="Q1882">
        <f t="shared" si="175"/>
        <v>0</v>
      </c>
      <c r="R1882">
        <f t="shared" si="173"/>
        <v>1878</v>
      </c>
      <c r="S1882">
        <f>IFERROR(SEARCH(Crewlist!$P$5,V1882)+ROW()/100000,"")</f>
        <v>1.0188200000000001</v>
      </c>
      <c r="T1882">
        <f t="shared" si="176"/>
        <v>0</v>
      </c>
      <c r="U1882">
        <f t="shared" si="177"/>
        <v>0</v>
      </c>
      <c r="V1882" t="str">
        <f t="shared" si="174"/>
        <v xml:space="preserve"> </v>
      </c>
    </row>
    <row r="1883" spans="17:22">
      <c r="Q1883">
        <f t="shared" si="175"/>
        <v>0</v>
      </c>
      <c r="R1883">
        <f t="shared" si="173"/>
        <v>1879</v>
      </c>
      <c r="S1883">
        <f>IFERROR(SEARCH(Crewlist!$P$5,V1883)+ROW()/100000,"")</f>
        <v>1.0188299999999999</v>
      </c>
      <c r="T1883">
        <f t="shared" si="176"/>
        <v>0</v>
      </c>
      <c r="U1883">
        <f t="shared" si="177"/>
        <v>0</v>
      </c>
      <c r="V1883" t="str">
        <f t="shared" si="174"/>
        <v xml:space="preserve"> </v>
      </c>
    </row>
    <row r="1884" spans="17:22">
      <c r="Q1884">
        <f t="shared" si="175"/>
        <v>0</v>
      </c>
      <c r="R1884">
        <f t="shared" si="173"/>
        <v>1880</v>
      </c>
      <c r="S1884">
        <f>IFERROR(SEARCH(Crewlist!$P$5,V1884)+ROW()/100000,"")</f>
        <v>1.01884</v>
      </c>
      <c r="T1884">
        <f t="shared" si="176"/>
        <v>0</v>
      </c>
      <c r="U1884">
        <f t="shared" si="177"/>
        <v>0</v>
      </c>
      <c r="V1884" t="str">
        <f t="shared" si="174"/>
        <v xml:space="preserve"> </v>
      </c>
    </row>
    <row r="1885" spans="17:22">
      <c r="Q1885">
        <f t="shared" si="175"/>
        <v>0</v>
      </c>
      <c r="R1885">
        <f t="shared" si="173"/>
        <v>1881</v>
      </c>
      <c r="S1885">
        <f>IFERROR(SEARCH(Crewlist!$P$5,V1885)+ROW()/100000,"")</f>
        <v>1.01885</v>
      </c>
      <c r="T1885">
        <f t="shared" si="176"/>
        <v>0</v>
      </c>
      <c r="U1885">
        <f t="shared" si="177"/>
        <v>0</v>
      </c>
      <c r="V1885" t="str">
        <f t="shared" si="174"/>
        <v xml:space="preserve"> </v>
      </c>
    </row>
    <row r="1886" spans="17:22">
      <c r="Q1886">
        <f t="shared" si="175"/>
        <v>0</v>
      </c>
      <c r="R1886">
        <f t="shared" si="173"/>
        <v>1882</v>
      </c>
      <c r="S1886">
        <f>IFERROR(SEARCH(Crewlist!$P$5,V1886)+ROW()/100000,"")</f>
        <v>1.0188600000000001</v>
      </c>
      <c r="T1886">
        <f t="shared" si="176"/>
        <v>0</v>
      </c>
      <c r="U1886">
        <f t="shared" si="177"/>
        <v>0</v>
      </c>
      <c r="V1886" t="str">
        <f t="shared" si="174"/>
        <v xml:space="preserve"> </v>
      </c>
    </row>
    <row r="1887" spans="17:22">
      <c r="Q1887">
        <f t="shared" si="175"/>
        <v>0</v>
      </c>
      <c r="R1887">
        <f t="shared" si="173"/>
        <v>1883</v>
      </c>
      <c r="S1887">
        <f>IFERROR(SEARCH(Crewlist!$P$5,V1887)+ROW()/100000,"")</f>
        <v>1.0188699999999999</v>
      </c>
      <c r="T1887">
        <f t="shared" si="176"/>
        <v>0</v>
      </c>
      <c r="U1887">
        <f t="shared" si="177"/>
        <v>0</v>
      </c>
      <c r="V1887" t="str">
        <f t="shared" si="174"/>
        <v xml:space="preserve"> </v>
      </c>
    </row>
    <row r="1888" spans="17:22">
      <c r="Q1888">
        <f t="shared" si="175"/>
        <v>0</v>
      </c>
      <c r="R1888">
        <f t="shared" si="173"/>
        <v>1884</v>
      </c>
      <c r="S1888">
        <f>IFERROR(SEARCH(Crewlist!$P$5,V1888)+ROW()/100000,"")</f>
        <v>1.01888</v>
      </c>
      <c r="T1888">
        <f t="shared" si="176"/>
        <v>0</v>
      </c>
      <c r="U1888">
        <f t="shared" si="177"/>
        <v>0</v>
      </c>
      <c r="V1888" t="str">
        <f t="shared" si="174"/>
        <v xml:space="preserve"> </v>
      </c>
    </row>
    <row r="1889" spans="17:22">
      <c r="Q1889">
        <f t="shared" si="175"/>
        <v>0</v>
      </c>
      <c r="R1889">
        <f t="shared" si="173"/>
        <v>1885</v>
      </c>
      <c r="S1889">
        <f>IFERROR(SEARCH(Crewlist!$P$5,V1889)+ROW()/100000,"")</f>
        <v>1.0188900000000001</v>
      </c>
      <c r="T1889">
        <f t="shared" si="176"/>
        <v>0</v>
      </c>
      <c r="U1889">
        <f t="shared" si="177"/>
        <v>0</v>
      </c>
      <c r="V1889" t="str">
        <f t="shared" si="174"/>
        <v xml:space="preserve"> </v>
      </c>
    </row>
    <row r="1890" spans="17:22">
      <c r="Q1890">
        <f t="shared" si="175"/>
        <v>0</v>
      </c>
      <c r="R1890">
        <f t="shared" si="173"/>
        <v>1886</v>
      </c>
      <c r="S1890">
        <f>IFERROR(SEARCH(Crewlist!$P$5,V1890)+ROW()/100000,"")</f>
        <v>1.0188999999999999</v>
      </c>
      <c r="T1890">
        <f t="shared" si="176"/>
        <v>0</v>
      </c>
      <c r="U1890">
        <f t="shared" si="177"/>
        <v>0</v>
      </c>
      <c r="V1890" t="str">
        <f t="shared" si="174"/>
        <v xml:space="preserve"> </v>
      </c>
    </row>
    <row r="1891" spans="17:22">
      <c r="Q1891">
        <f t="shared" si="175"/>
        <v>0</v>
      </c>
      <c r="R1891">
        <f t="shared" si="173"/>
        <v>1887</v>
      </c>
      <c r="S1891">
        <f>IFERROR(SEARCH(Crewlist!$P$5,V1891)+ROW()/100000,"")</f>
        <v>1.01891</v>
      </c>
      <c r="T1891">
        <f t="shared" si="176"/>
        <v>0</v>
      </c>
      <c r="U1891">
        <f t="shared" si="177"/>
        <v>0</v>
      </c>
      <c r="V1891" t="str">
        <f t="shared" si="174"/>
        <v xml:space="preserve"> </v>
      </c>
    </row>
    <row r="1892" spans="17:22">
      <c r="Q1892">
        <f t="shared" si="175"/>
        <v>0</v>
      </c>
      <c r="R1892">
        <f t="shared" si="173"/>
        <v>1888</v>
      </c>
      <c r="S1892">
        <f>IFERROR(SEARCH(Crewlist!$P$5,V1892)+ROW()/100000,"")</f>
        <v>1.01892</v>
      </c>
      <c r="T1892">
        <f t="shared" si="176"/>
        <v>0</v>
      </c>
      <c r="U1892">
        <f t="shared" si="177"/>
        <v>0</v>
      </c>
      <c r="V1892" t="str">
        <f t="shared" si="174"/>
        <v xml:space="preserve"> </v>
      </c>
    </row>
    <row r="1893" spans="17:22">
      <c r="Q1893">
        <f t="shared" si="175"/>
        <v>0</v>
      </c>
      <c r="R1893">
        <f t="shared" si="173"/>
        <v>1889</v>
      </c>
      <c r="S1893">
        <f>IFERROR(SEARCH(Crewlist!$P$5,V1893)+ROW()/100000,"")</f>
        <v>1.0189299999999999</v>
      </c>
      <c r="T1893">
        <f t="shared" si="176"/>
        <v>0</v>
      </c>
      <c r="U1893">
        <f t="shared" si="177"/>
        <v>0</v>
      </c>
      <c r="V1893" t="str">
        <f t="shared" si="174"/>
        <v xml:space="preserve"> </v>
      </c>
    </row>
    <row r="1894" spans="17:22">
      <c r="Q1894">
        <f t="shared" si="175"/>
        <v>0</v>
      </c>
      <c r="R1894">
        <f t="shared" si="173"/>
        <v>1890</v>
      </c>
      <c r="S1894">
        <f>IFERROR(SEARCH(Crewlist!$P$5,V1894)+ROW()/100000,"")</f>
        <v>1.01894</v>
      </c>
      <c r="T1894">
        <f t="shared" si="176"/>
        <v>0</v>
      </c>
      <c r="U1894">
        <f t="shared" si="177"/>
        <v>0</v>
      </c>
      <c r="V1894" t="str">
        <f t="shared" si="174"/>
        <v xml:space="preserve"> </v>
      </c>
    </row>
    <row r="1895" spans="17:22">
      <c r="Q1895">
        <f t="shared" si="175"/>
        <v>0</v>
      </c>
      <c r="R1895">
        <f t="shared" si="173"/>
        <v>1891</v>
      </c>
      <c r="S1895">
        <f>IFERROR(SEARCH(Crewlist!$P$5,V1895)+ROW()/100000,"")</f>
        <v>1.01895</v>
      </c>
      <c r="T1895">
        <f t="shared" si="176"/>
        <v>0</v>
      </c>
      <c r="U1895">
        <f t="shared" si="177"/>
        <v>0</v>
      </c>
      <c r="V1895" t="str">
        <f t="shared" si="174"/>
        <v xml:space="preserve"> </v>
      </c>
    </row>
    <row r="1896" spans="17:22">
      <c r="Q1896">
        <f t="shared" si="175"/>
        <v>0</v>
      </c>
      <c r="R1896">
        <f t="shared" si="173"/>
        <v>1892</v>
      </c>
      <c r="S1896">
        <f>IFERROR(SEARCH(Crewlist!$P$5,V1896)+ROW()/100000,"")</f>
        <v>1.0189600000000001</v>
      </c>
      <c r="T1896">
        <f t="shared" si="176"/>
        <v>0</v>
      </c>
      <c r="U1896">
        <f t="shared" si="177"/>
        <v>0</v>
      </c>
      <c r="V1896" t="str">
        <f t="shared" si="174"/>
        <v xml:space="preserve"> </v>
      </c>
    </row>
    <row r="1897" spans="17:22">
      <c r="Q1897">
        <f t="shared" si="175"/>
        <v>0</v>
      </c>
      <c r="R1897">
        <f t="shared" si="173"/>
        <v>1893</v>
      </c>
      <c r="S1897">
        <f>IFERROR(SEARCH(Crewlist!$P$5,V1897)+ROW()/100000,"")</f>
        <v>1.0189699999999999</v>
      </c>
      <c r="T1897">
        <f t="shared" si="176"/>
        <v>0</v>
      </c>
      <c r="U1897">
        <f t="shared" si="177"/>
        <v>0</v>
      </c>
      <c r="V1897" t="str">
        <f t="shared" si="174"/>
        <v xml:space="preserve"> </v>
      </c>
    </row>
    <row r="1898" spans="17:22">
      <c r="Q1898">
        <f t="shared" si="175"/>
        <v>0</v>
      </c>
      <c r="R1898">
        <f t="shared" si="173"/>
        <v>1894</v>
      </c>
      <c r="S1898">
        <f>IFERROR(SEARCH(Crewlist!$P$5,V1898)+ROW()/100000,"")</f>
        <v>1.01898</v>
      </c>
      <c r="T1898">
        <f t="shared" si="176"/>
        <v>0</v>
      </c>
      <c r="U1898">
        <f t="shared" si="177"/>
        <v>0</v>
      </c>
      <c r="V1898" t="str">
        <f t="shared" si="174"/>
        <v xml:space="preserve"> </v>
      </c>
    </row>
    <row r="1899" spans="17:22">
      <c r="Q1899">
        <f t="shared" si="175"/>
        <v>0</v>
      </c>
      <c r="R1899">
        <f t="shared" si="173"/>
        <v>1895</v>
      </c>
      <c r="S1899">
        <f>IFERROR(SEARCH(Crewlist!$P$5,V1899)+ROW()/100000,"")</f>
        <v>1.0189900000000001</v>
      </c>
      <c r="T1899">
        <f t="shared" si="176"/>
        <v>0</v>
      </c>
      <c r="U1899">
        <f t="shared" si="177"/>
        <v>0</v>
      </c>
      <c r="V1899" t="str">
        <f t="shared" si="174"/>
        <v xml:space="preserve"> </v>
      </c>
    </row>
    <row r="1900" spans="17:22">
      <c r="Q1900">
        <f t="shared" si="175"/>
        <v>0</v>
      </c>
      <c r="R1900">
        <f t="shared" si="173"/>
        <v>1896</v>
      </c>
      <c r="S1900">
        <f>IFERROR(SEARCH(Crewlist!$P$5,V1900)+ROW()/100000,"")</f>
        <v>1.0189999999999999</v>
      </c>
      <c r="T1900">
        <f t="shared" si="176"/>
        <v>0</v>
      </c>
      <c r="U1900">
        <f t="shared" si="177"/>
        <v>0</v>
      </c>
      <c r="V1900" t="str">
        <f t="shared" si="174"/>
        <v xml:space="preserve"> </v>
      </c>
    </row>
    <row r="1901" spans="17:22">
      <c r="Q1901">
        <f t="shared" si="175"/>
        <v>0</v>
      </c>
      <c r="R1901">
        <f t="shared" si="173"/>
        <v>1897</v>
      </c>
      <c r="S1901">
        <f>IFERROR(SEARCH(Crewlist!$P$5,V1901)+ROW()/100000,"")</f>
        <v>1.01901</v>
      </c>
      <c r="T1901">
        <f t="shared" si="176"/>
        <v>0</v>
      </c>
      <c r="U1901">
        <f t="shared" si="177"/>
        <v>0</v>
      </c>
      <c r="V1901" t="str">
        <f t="shared" si="174"/>
        <v xml:space="preserve"> </v>
      </c>
    </row>
    <row r="1902" spans="17:22">
      <c r="Q1902">
        <f t="shared" si="175"/>
        <v>0</v>
      </c>
      <c r="R1902">
        <f t="shared" si="173"/>
        <v>1898</v>
      </c>
      <c r="S1902">
        <f>IFERROR(SEARCH(Crewlist!$P$5,V1902)+ROW()/100000,"")</f>
        <v>1.01902</v>
      </c>
      <c r="T1902">
        <f t="shared" si="176"/>
        <v>0</v>
      </c>
      <c r="U1902">
        <f t="shared" si="177"/>
        <v>0</v>
      </c>
      <c r="V1902" t="str">
        <f t="shared" si="174"/>
        <v xml:space="preserve"> </v>
      </c>
    </row>
    <row r="1903" spans="17:22">
      <c r="Q1903">
        <f t="shared" si="175"/>
        <v>0</v>
      </c>
      <c r="R1903">
        <f t="shared" si="173"/>
        <v>1899</v>
      </c>
      <c r="S1903">
        <f>IFERROR(SEARCH(Crewlist!$P$5,V1903)+ROW()/100000,"")</f>
        <v>1.0190300000000001</v>
      </c>
      <c r="T1903">
        <f t="shared" si="176"/>
        <v>0</v>
      </c>
      <c r="U1903">
        <f t="shared" si="177"/>
        <v>0</v>
      </c>
      <c r="V1903" t="str">
        <f t="shared" si="174"/>
        <v xml:space="preserve"> </v>
      </c>
    </row>
    <row r="1904" spans="17:22">
      <c r="Q1904">
        <f t="shared" si="175"/>
        <v>0</v>
      </c>
      <c r="R1904">
        <f t="shared" si="173"/>
        <v>1900</v>
      </c>
      <c r="S1904">
        <f>IFERROR(SEARCH(Crewlist!$P$5,V1904)+ROW()/100000,"")</f>
        <v>1.0190399999999999</v>
      </c>
      <c r="T1904">
        <f t="shared" si="176"/>
        <v>0</v>
      </c>
      <c r="U1904">
        <f t="shared" si="177"/>
        <v>0</v>
      </c>
      <c r="V1904" t="str">
        <f t="shared" si="174"/>
        <v xml:space="preserve"> </v>
      </c>
    </row>
    <row r="1905" spans="17:22">
      <c r="Q1905">
        <f t="shared" si="175"/>
        <v>0</v>
      </c>
      <c r="R1905">
        <f t="shared" si="173"/>
        <v>1901</v>
      </c>
      <c r="S1905">
        <f>IFERROR(SEARCH(Crewlist!$P$5,V1905)+ROW()/100000,"")</f>
        <v>1.01905</v>
      </c>
      <c r="T1905">
        <f t="shared" si="176"/>
        <v>0</v>
      </c>
      <c r="U1905">
        <f t="shared" si="177"/>
        <v>0</v>
      </c>
      <c r="V1905" t="str">
        <f t="shared" si="174"/>
        <v xml:space="preserve"> </v>
      </c>
    </row>
    <row r="1906" spans="17:22">
      <c r="Q1906">
        <f t="shared" si="175"/>
        <v>0</v>
      </c>
      <c r="R1906">
        <f t="shared" si="173"/>
        <v>1902</v>
      </c>
      <c r="S1906">
        <f>IFERROR(SEARCH(Crewlist!$P$5,V1906)+ROW()/100000,"")</f>
        <v>1.0190600000000001</v>
      </c>
      <c r="T1906">
        <f t="shared" si="176"/>
        <v>0</v>
      </c>
      <c r="U1906">
        <f t="shared" si="177"/>
        <v>0</v>
      </c>
      <c r="V1906" t="str">
        <f t="shared" si="174"/>
        <v xml:space="preserve"> </v>
      </c>
    </row>
    <row r="1907" spans="17:22">
      <c r="Q1907">
        <f t="shared" si="175"/>
        <v>0</v>
      </c>
      <c r="R1907">
        <f t="shared" si="173"/>
        <v>1903</v>
      </c>
      <c r="S1907">
        <f>IFERROR(SEARCH(Crewlist!$P$5,V1907)+ROW()/100000,"")</f>
        <v>1.0190699999999999</v>
      </c>
      <c r="T1907">
        <f t="shared" si="176"/>
        <v>0</v>
      </c>
      <c r="U1907">
        <f t="shared" si="177"/>
        <v>0</v>
      </c>
      <c r="V1907" t="str">
        <f t="shared" si="174"/>
        <v xml:space="preserve"> </v>
      </c>
    </row>
    <row r="1908" spans="17:22">
      <c r="Q1908">
        <f t="shared" si="175"/>
        <v>0</v>
      </c>
      <c r="R1908">
        <f t="shared" si="173"/>
        <v>1904</v>
      </c>
      <c r="S1908">
        <f>IFERROR(SEARCH(Crewlist!$P$5,V1908)+ROW()/100000,"")</f>
        <v>1.01908</v>
      </c>
      <c r="T1908">
        <f t="shared" si="176"/>
        <v>0</v>
      </c>
      <c r="U1908">
        <f t="shared" si="177"/>
        <v>0</v>
      </c>
      <c r="V1908" t="str">
        <f t="shared" si="174"/>
        <v xml:space="preserve"> </v>
      </c>
    </row>
    <row r="1909" spans="17:22">
      <c r="Q1909">
        <f t="shared" si="175"/>
        <v>0</v>
      </c>
      <c r="R1909">
        <f t="shared" si="173"/>
        <v>1905</v>
      </c>
      <c r="S1909">
        <f>IFERROR(SEARCH(Crewlist!$P$5,V1909)+ROW()/100000,"")</f>
        <v>1.0190900000000001</v>
      </c>
      <c r="T1909">
        <f t="shared" si="176"/>
        <v>0</v>
      </c>
      <c r="U1909">
        <f t="shared" si="177"/>
        <v>0</v>
      </c>
      <c r="V1909" t="str">
        <f t="shared" si="174"/>
        <v xml:space="preserve"> </v>
      </c>
    </row>
    <row r="1910" spans="17:22">
      <c r="Q1910">
        <f t="shared" si="175"/>
        <v>0</v>
      </c>
      <c r="R1910">
        <f t="shared" si="173"/>
        <v>1906</v>
      </c>
      <c r="S1910">
        <f>IFERROR(SEARCH(Crewlist!$P$5,V1910)+ROW()/100000,"")</f>
        <v>1.0190999999999999</v>
      </c>
      <c r="T1910">
        <f t="shared" si="176"/>
        <v>0</v>
      </c>
      <c r="U1910">
        <f t="shared" si="177"/>
        <v>0</v>
      </c>
      <c r="V1910" t="str">
        <f t="shared" si="174"/>
        <v xml:space="preserve"> </v>
      </c>
    </row>
    <row r="1911" spans="17:22">
      <c r="Q1911">
        <f t="shared" si="175"/>
        <v>0</v>
      </c>
      <c r="R1911">
        <f t="shared" si="173"/>
        <v>1907</v>
      </c>
      <c r="S1911">
        <f>IFERROR(SEARCH(Crewlist!$P$5,V1911)+ROW()/100000,"")</f>
        <v>1.01911</v>
      </c>
      <c r="T1911">
        <f t="shared" si="176"/>
        <v>0</v>
      </c>
      <c r="U1911">
        <f t="shared" si="177"/>
        <v>0</v>
      </c>
      <c r="V1911" t="str">
        <f t="shared" si="174"/>
        <v xml:space="preserve"> </v>
      </c>
    </row>
    <row r="1912" spans="17:22">
      <c r="Q1912">
        <f t="shared" si="175"/>
        <v>0</v>
      </c>
      <c r="R1912">
        <f t="shared" si="173"/>
        <v>1908</v>
      </c>
      <c r="S1912">
        <f>IFERROR(SEARCH(Crewlist!$P$5,V1912)+ROW()/100000,"")</f>
        <v>1.01912</v>
      </c>
      <c r="T1912">
        <f t="shared" si="176"/>
        <v>0</v>
      </c>
      <c r="U1912">
        <f t="shared" si="177"/>
        <v>0</v>
      </c>
      <c r="V1912" t="str">
        <f t="shared" si="174"/>
        <v xml:space="preserve"> </v>
      </c>
    </row>
    <row r="1913" spans="17:22">
      <c r="Q1913">
        <f t="shared" si="175"/>
        <v>0</v>
      </c>
      <c r="R1913">
        <f t="shared" si="173"/>
        <v>1909</v>
      </c>
      <c r="S1913">
        <f>IFERROR(SEARCH(Crewlist!$P$5,V1913)+ROW()/100000,"")</f>
        <v>1.0191300000000001</v>
      </c>
      <c r="T1913">
        <f t="shared" si="176"/>
        <v>0</v>
      </c>
      <c r="U1913">
        <f t="shared" si="177"/>
        <v>0</v>
      </c>
      <c r="V1913" t="str">
        <f t="shared" si="174"/>
        <v xml:space="preserve"> </v>
      </c>
    </row>
    <row r="1914" spans="17:22">
      <c r="Q1914">
        <f t="shared" si="175"/>
        <v>0</v>
      </c>
      <c r="R1914">
        <f t="shared" si="173"/>
        <v>1910</v>
      </c>
      <c r="S1914">
        <f>IFERROR(SEARCH(Crewlist!$P$5,V1914)+ROW()/100000,"")</f>
        <v>1.0191399999999999</v>
      </c>
      <c r="T1914">
        <f t="shared" si="176"/>
        <v>0</v>
      </c>
      <c r="U1914">
        <f t="shared" si="177"/>
        <v>0</v>
      </c>
      <c r="V1914" t="str">
        <f t="shared" si="174"/>
        <v xml:space="preserve"> </v>
      </c>
    </row>
    <row r="1915" spans="17:22">
      <c r="Q1915">
        <f t="shared" si="175"/>
        <v>0</v>
      </c>
      <c r="R1915">
        <f t="shared" si="173"/>
        <v>1911</v>
      </c>
      <c r="S1915">
        <f>IFERROR(SEARCH(Crewlist!$P$5,V1915)+ROW()/100000,"")</f>
        <v>1.01915</v>
      </c>
      <c r="T1915">
        <f t="shared" si="176"/>
        <v>0</v>
      </c>
      <c r="U1915">
        <f t="shared" si="177"/>
        <v>0</v>
      </c>
      <c r="V1915" t="str">
        <f t="shared" si="174"/>
        <v xml:space="preserve"> </v>
      </c>
    </row>
    <row r="1916" spans="17:22">
      <c r="Q1916">
        <f t="shared" si="175"/>
        <v>0</v>
      </c>
      <c r="R1916">
        <f t="shared" si="173"/>
        <v>1912</v>
      </c>
      <c r="S1916">
        <f>IFERROR(SEARCH(Crewlist!$P$5,V1916)+ROW()/100000,"")</f>
        <v>1.0191600000000001</v>
      </c>
      <c r="T1916">
        <f t="shared" si="176"/>
        <v>0</v>
      </c>
      <c r="U1916">
        <f t="shared" si="177"/>
        <v>0</v>
      </c>
      <c r="V1916" t="str">
        <f t="shared" si="174"/>
        <v xml:space="preserve"> </v>
      </c>
    </row>
    <row r="1917" spans="17:22">
      <c r="Q1917">
        <f t="shared" si="175"/>
        <v>0</v>
      </c>
      <c r="R1917">
        <f t="shared" si="173"/>
        <v>1913</v>
      </c>
      <c r="S1917">
        <f>IFERROR(SEARCH(Crewlist!$P$5,V1917)+ROW()/100000,"")</f>
        <v>1.0191699999999999</v>
      </c>
      <c r="T1917">
        <f t="shared" si="176"/>
        <v>0</v>
      </c>
      <c r="U1917">
        <f t="shared" si="177"/>
        <v>0</v>
      </c>
      <c r="V1917" t="str">
        <f t="shared" si="174"/>
        <v xml:space="preserve"> </v>
      </c>
    </row>
    <row r="1918" spans="17:22">
      <c r="Q1918">
        <f t="shared" si="175"/>
        <v>0</v>
      </c>
      <c r="R1918">
        <f t="shared" si="173"/>
        <v>1914</v>
      </c>
      <c r="S1918">
        <f>IFERROR(SEARCH(Crewlist!$P$5,V1918)+ROW()/100000,"")</f>
        <v>1.01918</v>
      </c>
      <c r="T1918">
        <f t="shared" si="176"/>
        <v>0</v>
      </c>
      <c r="U1918">
        <f t="shared" si="177"/>
        <v>0</v>
      </c>
      <c r="V1918" t="str">
        <f t="shared" si="174"/>
        <v xml:space="preserve"> </v>
      </c>
    </row>
    <row r="1919" spans="17:22">
      <c r="Q1919">
        <f t="shared" si="175"/>
        <v>0</v>
      </c>
      <c r="R1919">
        <f t="shared" si="173"/>
        <v>1915</v>
      </c>
      <c r="S1919">
        <f>IFERROR(SEARCH(Crewlist!$P$5,V1919)+ROW()/100000,"")</f>
        <v>1.01919</v>
      </c>
      <c r="T1919">
        <f t="shared" si="176"/>
        <v>0</v>
      </c>
      <c r="U1919">
        <f t="shared" si="177"/>
        <v>0</v>
      </c>
      <c r="V1919" t="str">
        <f t="shared" si="174"/>
        <v xml:space="preserve"> </v>
      </c>
    </row>
    <row r="1920" spans="17:22">
      <c r="Q1920">
        <f t="shared" si="175"/>
        <v>0</v>
      </c>
      <c r="R1920">
        <f t="shared" si="173"/>
        <v>1916</v>
      </c>
      <c r="S1920">
        <f>IFERROR(SEARCH(Crewlist!$P$5,V1920)+ROW()/100000,"")</f>
        <v>1.0192000000000001</v>
      </c>
      <c r="T1920">
        <f t="shared" si="176"/>
        <v>0</v>
      </c>
      <c r="U1920">
        <f t="shared" si="177"/>
        <v>0</v>
      </c>
      <c r="V1920" t="str">
        <f t="shared" si="174"/>
        <v xml:space="preserve"> </v>
      </c>
    </row>
    <row r="1921" spans="17:22">
      <c r="Q1921">
        <f t="shared" si="175"/>
        <v>0</v>
      </c>
      <c r="R1921">
        <f t="shared" si="173"/>
        <v>1917</v>
      </c>
      <c r="S1921">
        <f>IFERROR(SEARCH(Crewlist!$P$5,V1921)+ROW()/100000,"")</f>
        <v>1.0192099999999999</v>
      </c>
      <c r="T1921">
        <f t="shared" si="176"/>
        <v>0</v>
      </c>
      <c r="U1921">
        <f t="shared" si="177"/>
        <v>0</v>
      </c>
      <c r="V1921" t="str">
        <f t="shared" si="174"/>
        <v xml:space="preserve"> </v>
      </c>
    </row>
    <row r="1922" spans="17:22">
      <c r="Q1922">
        <f t="shared" si="175"/>
        <v>0</v>
      </c>
      <c r="R1922">
        <f t="shared" ref="R1922:R1985" si="178">IFERROR(RANK(S1922,$S$2:$S$1998,1),"")</f>
        <v>1918</v>
      </c>
      <c r="S1922">
        <f>IFERROR(SEARCH(Crewlist!$P$5,V1922)+ROW()/100000,"")</f>
        <v>1.01922</v>
      </c>
      <c r="T1922">
        <f t="shared" si="176"/>
        <v>0</v>
      </c>
      <c r="U1922">
        <f t="shared" si="177"/>
        <v>0</v>
      </c>
      <c r="V1922" t="str">
        <f t="shared" si="174"/>
        <v xml:space="preserve"> </v>
      </c>
    </row>
    <row r="1923" spans="17:22">
      <c r="Q1923">
        <f t="shared" si="175"/>
        <v>0</v>
      </c>
      <c r="R1923">
        <f t="shared" si="178"/>
        <v>1919</v>
      </c>
      <c r="S1923">
        <f>IFERROR(SEARCH(Crewlist!$P$5,V1923)+ROW()/100000,"")</f>
        <v>1.0192300000000001</v>
      </c>
      <c r="T1923">
        <f t="shared" si="176"/>
        <v>0</v>
      </c>
      <c r="U1923">
        <f t="shared" si="177"/>
        <v>0</v>
      </c>
      <c r="V1923" t="str">
        <f t="shared" ref="V1923:V1986" si="179">CONCATENATE(C1923," ",D1923)</f>
        <v xml:space="preserve"> </v>
      </c>
    </row>
    <row r="1924" spans="17:22">
      <c r="Q1924">
        <f t="shared" si="175"/>
        <v>0</v>
      </c>
      <c r="R1924">
        <f t="shared" si="178"/>
        <v>1920</v>
      </c>
      <c r="S1924">
        <f>IFERROR(SEARCH(Crewlist!$P$5,V1924)+ROW()/100000,"")</f>
        <v>1.0192399999999999</v>
      </c>
      <c r="T1924">
        <f t="shared" si="176"/>
        <v>0</v>
      </c>
      <c r="U1924">
        <f t="shared" si="177"/>
        <v>0</v>
      </c>
      <c r="V1924" t="str">
        <f t="shared" si="179"/>
        <v xml:space="preserve"> </v>
      </c>
    </row>
    <row r="1925" spans="17:22">
      <c r="Q1925">
        <f t="shared" si="175"/>
        <v>0</v>
      </c>
      <c r="R1925">
        <f t="shared" si="178"/>
        <v>1921</v>
      </c>
      <c r="S1925">
        <f>IFERROR(SEARCH(Crewlist!$P$5,V1925)+ROW()/100000,"")</f>
        <v>1.01925</v>
      </c>
      <c r="T1925">
        <f t="shared" si="176"/>
        <v>0</v>
      </c>
      <c r="U1925">
        <f t="shared" si="177"/>
        <v>0</v>
      </c>
      <c r="V1925" t="str">
        <f t="shared" si="179"/>
        <v xml:space="preserve"> </v>
      </c>
    </row>
    <row r="1926" spans="17:22">
      <c r="Q1926">
        <f t="shared" si="175"/>
        <v>0</v>
      </c>
      <c r="R1926">
        <f t="shared" si="178"/>
        <v>1922</v>
      </c>
      <c r="S1926">
        <f>IFERROR(SEARCH(Crewlist!$P$5,V1926)+ROW()/100000,"")</f>
        <v>1.0192600000000001</v>
      </c>
      <c r="T1926">
        <f t="shared" si="176"/>
        <v>0</v>
      </c>
      <c r="U1926">
        <f t="shared" si="177"/>
        <v>0</v>
      </c>
      <c r="V1926" t="str">
        <f t="shared" si="179"/>
        <v xml:space="preserve"> </v>
      </c>
    </row>
    <row r="1927" spans="17:22">
      <c r="Q1927">
        <f t="shared" si="175"/>
        <v>0</v>
      </c>
      <c r="R1927">
        <f t="shared" si="178"/>
        <v>1923</v>
      </c>
      <c r="S1927">
        <f>IFERROR(SEARCH(Crewlist!$P$5,V1927)+ROW()/100000,"")</f>
        <v>1.0192699999999999</v>
      </c>
      <c r="T1927">
        <f t="shared" si="176"/>
        <v>0</v>
      </c>
      <c r="U1927">
        <f t="shared" si="177"/>
        <v>0</v>
      </c>
      <c r="V1927" t="str">
        <f t="shared" si="179"/>
        <v xml:space="preserve"> </v>
      </c>
    </row>
    <row r="1928" spans="17:22">
      <c r="Q1928">
        <f t="shared" si="175"/>
        <v>0</v>
      </c>
      <c r="R1928">
        <f t="shared" si="178"/>
        <v>1924</v>
      </c>
      <c r="S1928">
        <f>IFERROR(SEARCH(Crewlist!$P$5,V1928)+ROW()/100000,"")</f>
        <v>1.01928</v>
      </c>
      <c r="T1928">
        <f t="shared" si="176"/>
        <v>0</v>
      </c>
      <c r="U1928">
        <f t="shared" si="177"/>
        <v>0</v>
      </c>
      <c r="V1928" t="str">
        <f t="shared" si="179"/>
        <v xml:space="preserve"> </v>
      </c>
    </row>
    <row r="1929" spans="17:22">
      <c r="Q1929">
        <f t="shared" ref="Q1929:Q1992" si="180">IF(C1929&lt;&gt; "",B1929,0)</f>
        <v>0</v>
      </c>
      <c r="R1929">
        <f t="shared" si="178"/>
        <v>1925</v>
      </c>
      <c r="S1929">
        <f>IFERROR(SEARCH(Crewlist!$P$5,V1929)+ROW()/100000,"")</f>
        <v>1.01929</v>
      </c>
      <c r="T1929">
        <f t="shared" ref="T1929:T1992" si="181">B1929</f>
        <v>0</v>
      </c>
      <c r="U1929">
        <f t="shared" ref="U1929:U1992" si="182">C1929</f>
        <v>0</v>
      </c>
      <c r="V1929" t="str">
        <f t="shared" si="179"/>
        <v xml:space="preserve"> </v>
      </c>
    </row>
    <row r="1930" spans="17:22">
      <c r="Q1930">
        <f t="shared" si="180"/>
        <v>0</v>
      </c>
      <c r="R1930">
        <f t="shared" si="178"/>
        <v>1926</v>
      </c>
      <c r="S1930">
        <f>IFERROR(SEARCH(Crewlist!$P$5,V1930)+ROW()/100000,"")</f>
        <v>1.0193000000000001</v>
      </c>
      <c r="T1930">
        <f t="shared" si="181"/>
        <v>0</v>
      </c>
      <c r="U1930">
        <f t="shared" si="182"/>
        <v>0</v>
      </c>
      <c r="V1930" t="str">
        <f t="shared" si="179"/>
        <v xml:space="preserve"> </v>
      </c>
    </row>
    <row r="1931" spans="17:22">
      <c r="Q1931">
        <f t="shared" si="180"/>
        <v>0</v>
      </c>
      <c r="R1931">
        <f t="shared" si="178"/>
        <v>1927</v>
      </c>
      <c r="S1931">
        <f>IFERROR(SEARCH(Crewlist!$P$5,V1931)+ROW()/100000,"")</f>
        <v>1.0193099999999999</v>
      </c>
      <c r="T1931">
        <f t="shared" si="181"/>
        <v>0</v>
      </c>
      <c r="U1931">
        <f t="shared" si="182"/>
        <v>0</v>
      </c>
      <c r="V1931" t="str">
        <f t="shared" si="179"/>
        <v xml:space="preserve"> </v>
      </c>
    </row>
    <row r="1932" spans="17:22">
      <c r="Q1932">
        <f t="shared" si="180"/>
        <v>0</v>
      </c>
      <c r="R1932">
        <f t="shared" si="178"/>
        <v>1928</v>
      </c>
      <c r="S1932">
        <f>IFERROR(SEARCH(Crewlist!$P$5,V1932)+ROW()/100000,"")</f>
        <v>1.01932</v>
      </c>
      <c r="T1932">
        <f t="shared" si="181"/>
        <v>0</v>
      </c>
      <c r="U1932">
        <f t="shared" si="182"/>
        <v>0</v>
      </c>
      <c r="V1932" t="str">
        <f t="shared" si="179"/>
        <v xml:space="preserve"> </v>
      </c>
    </row>
    <row r="1933" spans="17:22">
      <c r="Q1933">
        <f t="shared" si="180"/>
        <v>0</v>
      </c>
      <c r="R1933">
        <f t="shared" si="178"/>
        <v>1929</v>
      </c>
      <c r="S1933">
        <f>IFERROR(SEARCH(Crewlist!$P$5,V1933)+ROW()/100000,"")</f>
        <v>1.0193300000000001</v>
      </c>
      <c r="T1933">
        <f t="shared" si="181"/>
        <v>0</v>
      </c>
      <c r="U1933">
        <f t="shared" si="182"/>
        <v>0</v>
      </c>
      <c r="V1933" t="str">
        <f t="shared" si="179"/>
        <v xml:space="preserve"> </v>
      </c>
    </row>
    <row r="1934" spans="17:22">
      <c r="Q1934">
        <f t="shared" si="180"/>
        <v>0</v>
      </c>
      <c r="R1934">
        <f t="shared" si="178"/>
        <v>1930</v>
      </c>
      <c r="S1934">
        <f>IFERROR(SEARCH(Crewlist!$P$5,V1934)+ROW()/100000,"")</f>
        <v>1.0193399999999999</v>
      </c>
      <c r="T1934">
        <f t="shared" si="181"/>
        <v>0</v>
      </c>
      <c r="U1934">
        <f t="shared" si="182"/>
        <v>0</v>
      </c>
      <c r="V1934" t="str">
        <f t="shared" si="179"/>
        <v xml:space="preserve"> </v>
      </c>
    </row>
    <row r="1935" spans="17:22">
      <c r="Q1935">
        <f t="shared" si="180"/>
        <v>0</v>
      </c>
      <c r="R1935">
        <f t="shared" si="178"/>
        <v>1931</v>
      </c>
      <c r="S1935">
        <f>IFERROR(SEARCH(Crewlist!$P$5,V1935)+ROW()/100000,"")</f>
        <v>1.01935</v>
      </c>
      <c r="T1935">
        <f t="shared" si="181"/>
        <v>0</v>
      </c>
      <c r="U1935">
        <f t="shared" si="182"/>
        <v>0</v>
      </c>
      <c r="V1935" t="str">
        <f t="shared" si="179"/>
        <v xml:space="preserve"> </v>
      </c>
    </row>
    <row r="1936" spans="17:22">
      <c r="Q1936">
        <f t="shared" si="180"/>
        <v>0</v>
      </c>
      <c r="R1936">
        <f t="shared" si="178"/>
        <v>1932</v>
      </c>
      <c r="S1936">
        <f>IFERROR(SEARCH(Crewlist!$P$5,V1936)+ROW()/100000,"")</f>
        <v>1.01936</v>
      </c>
      <c r="T1936">
        <f t="shared" si="181"/>
        <v>0</v>
      </c>
      <c r="U1936">
        <f t="shared" si="182"/>
        <v>0</v>
      </c>
      <c r="V1936" t="str">
        <f t="shared" si="179"/>
        <v xml:space="preserve"> </v>
      </c>
    </row>
    <row r="1937" spans="17:22">
      <c r="Q1937">
        <f t="shared" si="180"/>
        <v>0</v>
      </c>
      <c r="R1937">
        <f t="shared" si="178"/>
        <v>1933</v>
      </c>
      <c r="S1937">
        <f>IFERROR(SEARCH(Crewlist!$P$5,V1937)+ROW()/100000,"")</f>
        <v>1.0193699999999999</v>
      </c>
      <c r="T1937">
        <f t="shared" si="181"/>
        <v>0</v>
      </c>
      <c r="U1937">
        <f t="shared" si="182"/>
        <v>0</v>
      </c>
      <c r="V1937" t="str">
        <f t="shared" si="179"/>
        <v xml:space="preserve"> </v>
      </c>
    </row>
    <row r="1938" spans="17:22">
      <c r="Q1938">
        <f t="shared" si="180"/>
        <v>0</v>
      </c>
      <c r="R1938">
        <f t="shared" si="178"/>
        <v>1934</v>
      </c>
      <c r="S1938">
        <f>IFERROR(SEARCH(Crewlist!$P$5,V1938)+ROW()/100000,"")</f>
        <v>1.01938</v>
      </c>
      <c r="T1938">
        <f t="shared" si="181"/>
        <v>0</v>
      </c>
      <c r="U1938">
        <f t="shared" si="182"/>
        <v>0</v>
      </c>
      <c r="V1938" t="str">
        <f t="shared" si="179"/>
        <v xml:space="preserve"> </v>
      </c>
    </row>
    <row r="1939" spans="17:22">
      <c r="Q1939">
        <f t="shared" si="180"/>
        <v>0</v>
      </c>
      <c r="R1939">
        <f t="shared" si="178"/>
        <v>1935</v>
      </c>
      <c r="S1939">
        <f>IFERROR(SEARCH(Crewlist!$P$5,V1939)+ROW()/100000,"")</f>
        <v>1.01939</v>
      </c>
      <c r="T1939">
        <f t="shared" si="181"/>
        <v>0</v>
      </c>
      <c r="U1939">
        <f t="shared" si="182"/>
        <v>0</v>
      </c>
      <c r="V1939" t="str">
        <f t="shared" si="179"/>
        <v xml:space="preserve"> </v>
      </c>
    </row>
    <row r="1940" spans="17:22">
      <c r="Q1940">
        <f t="shared" si="180"/>
        <v>0</v>
      </c>
      <c r="R1940">
        <f t="shared" si="178"/>
        <v>1936</v>
      </c>
      <c r="S1940">
        <f>IFERROR(SEARCH(Crewlist!$P$5,V1940)+ROW()/100000,"")</f>
        <v>1.0194000000000001</v>
      </c>
      <c r="T1940">
        <f t="shared" si="181"/>
        <v>0</v>
      </c>
      <c r="U1940">
        <f t="shared" si="182"/>
        <v>0</v>
      </c>
      <c r="V1940" t="str">
        <f t="shared" si="179"/>
        <v xml:space="preserve"> </v>
      </c>
    </row>
    <row r="1941" spans="17:22">
      <c r="Q1941">
        <f t="shared" si="180"/>
        <v>0</v>
      </c>
      <c r="R1941">
        <f t="shared" si="178"/>
        <v>1937</v>
      </c>
      <c r="S1941">
        <f>IFERROR(SEARCH(Crewlist!$P$5,V1941)+ROW()/100000,"")</f>
        <v>1.0194099999999999</v>
      </c>
      <c r="T1941">
        <f t="shared" si="181"/>
        <v>0</v>
      </c>
      <c r="U1941">
        <f t="shared" si="182"/>
        <v>0</v>
      </c>
      <c r="V1941" t="str">
        <f t="shared" si="179"/>
        <v xml:space="preserve"> </v>
      </c>
    </row>
    <row r="1942" spans="17:22">
      <c r="Q1942">
        <f t="shared" si="180"/>
        <v>0</v>
      </c>
      <c r="R1942">
        <f t="shared" si="178"/>
        <v>1938</v>
      </c>
      <c r="S1942">
        <f>IFERROR(SEARCH(Crewlist!$P$5,V1942)+ROW()/100000,"")</f>
        <v>1.01942</v>
      </c>
      <c r="T1942">
        <f t="shared" si="181"/>
        <v>0</v>
      </c>
      <c r="U1942">
        <f t="shared" si="182"/>
        <v>0</v>
      </c>
      <c r="V1942" t="str">
        <f t="shared" si="179"/>
        <v xml:space="preserve"> </v>
      </c>
    </row>
    <row r="1943" spans="17:22">
      <c r="Q1943">
        <f t="shared" si="180"/>
        <v>0</v>
      </c>
      <c r="R1943">
        <f t="shared" si="178"/>
        <v>1939</v>
      </c>
      <c r="S1943">
        <f>IFERROR(SEARCH(Crewlist!$P$5,V1943)+ROW()/100000,"")</f>
        <v>1.0194300000000001</v>
      </c>
      <c r="T1943">
        <f t="shared" si="181"/>
        <v>0</v>
      </c>
      <c r="U1943">
        <f t="shared" si="182"/>
        <v>0</v>
      </c>
      <c r="V1943" t="str">
        <f t="shared" si="179"/>
        <v xml:space="preserve"> </v>
      </c>
    </row>
    <row r="1944" spans="17:22">
      <c r="Q1944">
        <f t="shared" si="180"/>
        <v>0</v>
      </c>
      <c r="R1944">
        <f t="shared" si="178"/>
        <v>1940</v>
      </c>
      <c r="S1944">
        <f>IFERROR(SEARCH(Crewlist!$P$5,V1944)+ROW()/100000,"")</f>
        <v>1.0194399999999999</v>
      </c>
      <c r="T1944">
        <f t="shared" si="181"/>
        <v>0</v>
      </c>
      <c r="U1944">
        <f t="shared" si="182"/>
        <v>0</v>
      </c>
      <c r="V1944" t="str">
        <f t="shared" si="179"/>
        <v xml:space="preserve"> </v>
      </c>
    </row>
    <row r="1945" spans="17:22">
      <c r="Q1945">
        <f t="shared" si="180"/>
        <v>0</v>
      </c>
      <c r="R1945">
        <f t="shared" si="178"/>
        <v>1941</v>
      </c>
      <c r="S1945">
        <f>IFERROR(SEARCH(Crewlist!$P$5,V1945)+ROW()/100000,"")</f>
        <v>1.01945</v>
      </c>
      <c r="T1945">
        <f t="shared" si="181"/>
        <v>0</v>
      </c>
      <c r="U1945">
        <f t="shared" si="182"/>
        <v>0</v>
      </c>
      <c r="V1945" t="str">
        <f t="shared" si="179"/>
        <v xml:space="preserve"> </v>
      </c>
    </row>
    <row r="1946" spans="17:22">
      <c r="Q1946">
        <f t="shared" si="180"/>
        <v>0</v>
      </c>
      <c r="R1946">
        <f t="shared" si="178"/>
        <v>1942</v>
      </c>
      <c r="S1946">
        <f>IFERROR(SEARCH(Crewlist!$P$5,V1946)+ROW()/100000,"")</f>
        <v>1.01946</v>
      </c>
      <c r="T1946">
        <f t="shared" si="181"/>
        <v>0</v>
      </c>
      <c r="U1946">
        <f t="shared" si="182"/>
        <v>0</v>
      </c>
      <c r="V1946" t="str">
        <f t="shared" si="179"/>
        <v xml:space="preserve"> </v>
      </c>
    </row>
    <row r="1947" spans="17:22">
      <c r="Q1947">
        <f t="shared" si="180"/>
        <v>0</v>
      </c>
      <c r="R1947">
        <f t="shared" si="178"/>
        <v>1943</v>
      </c>
      <c r="S1947">
        <f>IFERROR(SEARCH(Crewlist!$P$5,V1947)+ROW()/100000,"")</f>
        <v>1.0194700000000001</v>
      </c>
      <c r="T1947">
        <f t="shared" si="181"/>
        <v>0</v>
      </c>
      <c r="U1947">
        <f t="shared" si="182"/>
        <v>0</v>
      </c>
      <c r="V1947" t="str">
        <f t="shared" si="179"/>
        <v xml:space="preserve"> </v>
      </c>
    </row>
    <row r="1948" spans="17:22">
      <c r="Q1948">
        <f t="shared" si="180"/>
        <v>0</v>
      </c>
      <c r="R1948">
        <f t="shared" si="178"/>
        <v>1944</v>
      </c>
      <c r="S1948">
        <f>IFERROR(SEARCH(Crewlist!$P$5,V1948)+ROW()/100000,"")</f>
        <v>1.0194799999999999</v>
      </c>
      <c r="T1948">
        <f t="shared" si="181"/>
        <v>0</v>
      </c>
      <c r="U1948">
        <f t="shared" si="182"/>
        <v>0</v>
      </c>
      <c r="V1948" t="str">
        <f t="shared" si="179"/>
        <v xml:space="preserve"> </v>
      </c>
    </row>
    <row r="1949" spans="17:22">
      <c r="Q1949">
        <f t="shared" si="180"/>
        <v>0</v>
      </c>
      <c r="R1949">
        <f t="shared" si="178"/>
        <v>1945</v>
      </c>
      <c r="S1949">
        <f>IFERROR(SEARCH(Crewlist!$P$5,V1949)+ROW()/100000,"")</f>
        <v>1.01949</v>
      </c>
      <c r="T1949">
        <f t="shared" si="181"/>
        <v>0</v>
      </c>
      <c r="U1949">
        <f t="shared" si="182"/>
        <v>0</v>
      </c>
      <c r="V1949" t="str">
        <f t="shared" si="179"/>
        <v xml:space="preserve"> </v>
      </c>
    </row>
    <row r="1950" spans="17:22">
      <c r="Q1950">
        <f t="shared" si="180"/>
        <v>0</v>
      </c>
      <c r="R1950">
        <f t="shared" si="178"/>
        <v>1946</v>
      </c>
      <c r="S1950">
        <f>IFERROR(SEARCH(Crewlist!$P$5,V1950)+ROW()/100000,"")</f>
        <v>1.0195000000000001</v>
      </c>
      <c r="T1950">
        <f t="shared" si="181"/>
        <v>0</v>
      </c>
      <c r="U1950">
        <f t="shared" si="182"/>
        <v>0</v>
      </c>
      <c r="V1950" t="str">
        <f t="shared" si="179"/>
        <v xml:space="preserve"> </v>
      </c>
    </row>
    <row r="1951" spans="17:22">
      <c r="Q1951">
        <f t="shared" si="180"/>
        <v>0</v>
      </c>
      <c r="R1951">
        <f t="shared" si="178"/>
        <v>1947</v>
      </c>
      <c r="S1951">
        <f>IFERROR(SEARCH(Crewlist!$P$5,V1951)+ROW()/100000,"")</f>
        <v>1.0195099999999999</v>
      </c>
      <c r="T1951">
        <f t="shared" si="181"/>
        <v>0</v>
      </c>
      <c r="U1951">
        <f t="shared" si="182"/>
        <v>0</v>
      </c>
      <c r="V1951" t="str">
        <f t="shared" si="179"/>
        <v xml:space="preserve"> </v>
      </c>
    </row>
    <row r="1952" spans="17:22">
      <c r="Q1952">
        <f t="shared" si="180"/>
        <v>0</v>
      </c>
      <c r="R1952">
        <f t="shared" si="178"/>
        <v>1948</v>
      </c>
      <c r="S1952">
        <f>IFERROR(SEARCH(Crewlist!$P$5,V1952)+ROW()/100000,"")</f>
        <v>1.01952</v>
      </c>
      <c r="T1952">
        <f t="shared" si="181"/>
        <v>0</v>
      </c>
      <c r="U1952">
        <f t="shared" si="182"/>
        <v>0</v>
      </c>
      <c r="V1952" t="str">
        <f t="shared" si="179"/>
        <v xml:space="preserve"> </v>
      </c>
    </row>
    <row r="1953" spans="17:22">
      <c r="Q1953">
        <f t="shared" si="180"/>
        <v>0</v>
      </c>
      <c r="R1953">
        <f t="shared" si="178"/>
        <v>1949</v>
      </c>
      <c r="S1953">
        <f>IFERROR(SEARCH(Crewlist!$P$5,V1953)+ROW()/100000,"")</f>
        <v>1.01953</v>
      </c>
      <c r="T1953">
        <f t="shared" si="181"/>
        <v>0</v>
      </c>
      <c r="U1953">
        <f t="shared" si="182"/>
        <v>0</v>
      </c>
      <c r="V1953" t="str">
        <f t="shared" si="179"/>
        <v xml:space="preserve"> </v>
      </c>
    </row>
    <row r="1954" spans="17:22">
      <c r="Q1954">
        <f t="shared" si="180"/>
        <v>0</v>
      </c>
      <c r="R1954">
        <f t="shared" si="178"/>
        <v>1950</v>
      </c>
      <c r="S1954">
        <f>IFERROR(SEARCH(Crewlist!$P$5,V1954)+ROW()/100000,"")</f>
        <v>1.0195399999999999</v>
      </c>
      <c r="T1954">
        <f t="shared" si="181"/>
        <v>0</v>
      </c>
      <c r="U1954">
        <f t="shared" si="182"/>
        <v>0</v>
      </c>
      <c r="V1954" t="str">
        <f t="shared" si="179"/>
        <v xml:space="preserve"> </v>
      </c>
    </row>
    <row r="1955" spans="17:22">
      <c r="Q1955">
        <f t="shared" si="180"/>
        <v>0</v>
      </c>
      <c r="R1955">
        <f t="shared" si="178"/>
        <v>1951</v>
      </c>
      <c r="S1955">
        <f>IFERROR(SEARCH(Crewlist!$P$5,V1955)+ROW()/100000,"")</f>
        <v>1.01955</v>
      </c>
      <c r="T1955">
        <f t="shared" si="181"/>
        <v>0</v>
      </c>
      <c r="U1955">
        <f t="shared" si="182"/>
        <v>0</v>
      </c>
      <c r="V1955" t="str">
        <f t="shared" si="179"/>
        <v xml:space="preserve"> </v>
      </c>
    </row>
    <row r="1956" spans="17:22">
      <c r="Q1956">
        <f t="shared" si="180"/>
        <v>0</v>
      </c>
      <c r="R1956">
        <f t="shared" si="178"/>
        <v>1952</v>
      </c>
      <c r="S1956">
        <f>IFERROR(SEARCH(Crewlist!$P$5,V1956)+ROW()/100000,"")</f>
        <v>1.01956</v>
      </c>
      <c r="T1956">
        <f t="shared" si="181"/>
        <v>0</v>
      </c>
      <c r="U1956">
        <f t="shared" si="182"/>
        <v>0</v>
      </c>
      <c r="V1956" t="str">
        <f t="shared" si="179"/>
        <v xml:space="preserve"> </v>
      </c>
    </row>
    <row r="1957" spans="17:22">
      <c r="Q1957">
        <f t="shared" si="180"/>
        <v>0</v>
      </c>
      <c r="R1957">
        <f t="shared" si="178"/>
        <v>1953</v>
      </c>
      <c r="S1957">
        <f>IFERROR(SEARCH(Crewlist!$P$5,V1957)+ROW()/100000,"")</f>
        <v>1.0195700000000001</v>
      </c>
      <c r="T1957">
        <f t="shared" si="181"/>
        <v>0</v>
      </c>
      <c r="U1957">
        <f t="shared" si="182"/>
        <v>0</v>
      </c>
      <c r="V1957" t="str">
        <f t="shared" si="179"/>
        <v xml:space="preserve"> </v>
      </c>
    </row>
    <row r="1958" spans="17:22">
      <c r="Q1958">
        <f t="shared" si="180"/>
        <v>0</v>
      </c>
      <c r="R1958">
        <f t="shared" si="178"/>
        <v>1954</v>
      </c>
      <c r="S1958">
        <f>IFERROR(SEARCH(Crewlist!$P$5,V1958)+ROW()/100000,"")</f>
        <v>1.0195799999999999</v>
      </c>
      <c r="T1958">
        <f t="shared" si="181"/>
        <v>0</v>
      </c>
      <c r="U1958">
        <f t="shared" si="182"/>
        <v>0</v>
      </c>
      <c r="V1958" t="str">
        <f t="shared" si="179"/>
        <v xml:space="preserve"> </v>
      </c>
    </row>
    <row r="1959" spans="17:22">
      <c r="Q1959">
        <f t="shared" si="180"/>
        <v>0</v>
      </c>
      <c r="R1959">
        <f t="shared" si="178"/>
        <v>1955</v>
      </c>
      <c r="S1959">
        <f>IFERROR(SEARCH(Crewlist!$P$5,V1959)+ROW()/100000,"")</f>
        <v>1.01959</v>
      </c>
      <c r="T1959">
        <f t="shared" si="181"/>
        <v>0</v>
      </c>
      <c r="U1959">
        <f t="shared" si="182"/>
        <v>0</v>
      </c>
      <c r="V1959" t="str">
        <f t="shared" si="179"/>
        <v xml:space="preserve"> </v>
      </c>
    </row>
    <row r="1960" spans="17:22">
      <c r="Q1960">
        <f t="shared" si="180"/>
        <v>0</v>
      </c>
      <c r="R1960">
        <f t="shared" si="178"/>
        <v>1956</v>
      </c>
      <c r="S1960">
        <f>IFERROR(SEARCH(Crewlist!$P$5,V1960)+ROW()/100000,"")</f>
        <v>1.0196000000000001</v>
      </c>
      <c r="T1960">
        <f t="shared" si="181"/>
        <v>0</v>
      </c>
      <c r="U1960">
        <f t="shared" si="182"/>
        <v>0</v>
      </c>
      <c r="V1960" t="str">
        <f t="shared" si="179"/>
        <v xml:space="preserve"> </v>
      </c>
    </row>
    <row r="1961" spans="17:22">
      <c r="Q1961">
        <f t="shared" si="180"/>
        <v>0</v>
      </c>
      <c r="R1961">
        <f t="shared" si="178"/>
        <v>1957</v>
      </c>
      <c r="S1961">
        <f>IFERROR(SEARCH(Crewlist!$P$5,V1961)+ROW()/100000,"")</f>
        <v>1.0196099999999999</v>
      </c>
      <c r="T1961">
        <f t="shared" si="181"/>
        <v>0</v>
      </c>
      <c r="U1961">
        <f t="shared" si="182"/>
        <v>0</v>
      </c>
      <c r="V1961" t="str">
        <f t="shared" si="179"/>
        <v xml:space="preserve"> </v>
      </c>
    </row>
    <row r="1962" spans="17:22">
      <c r="Q1962">
        <f t="shared" si="180"/>
        <v>0</v>
      </c>
      <c r="R1962">
        <f t="shared" si="178"/>
        <v>1958</v>
      </c>
      <c r="S1962">
        <f>IFERROR(SEARCH(Crewlist!$P$5,V1962)+ROW()/100000,"")</f>
        <v>1.01962</v>
      </c>
      <c r="T1962">
        <f t="shared" si="181"/>
        <v>0</v>
      </c>
      <c r="U1962">
        <f t="shared" si="182"/>
        <v>0</v>
      </c>
      <c r="V1962" t="str">
        <f t="shared" si="179"/>
        <v xml:space="preserve"> </v>
      </c>
    </row>
    <row r="1963" spans="17:22">
      <c r="Q1963">
        <f t="shared" si="180"/>
        <v>0</v>
      </c>
      <c r="R1963">
        <f t="shared" si="178"/>
        <v>1959</v>
      </c>
      <c r="S1963">
        <f>IFERROR(SEARCH(Crewlist!$P$5,V1963)+ROW()/100000,"")</f>
        <v>1.01963</v>
      </c>
      <c r="T1963">
        <f t="shared" si="181"/>
        <v>0</v>
      </c>
      <c r="U1963">
        <f t="shared" si="182"/>
        <v>0</v>
      </c>
      <c r="V1963" t="str">
        <f t="shared" si="179"/>
        <v xml:space="preserve"> </v>
      </c>
    </row>
    <row r="1964" spans="17:22">
      <c r="Q1964">
        <f t="shared" si="180"/>
        <v>0</v>
      </c>
      <c r="R1964">
        <f t="shared" si="178"/>
        <v>1960</v>
      </c>
      <c r="S1964">
        <f>IFERROR(SEARCH(Crewlist!$P$5,V1964)+ROW()/100000,"")</f>
        <v>1.0196400000000001</v>
      </c>
      <c r="T1964">
        <f t="shared" si="181"/>
        <v>0</v>
      </c>
      <c r="U1964">
        <f t="shared" si="182"/>
        <v>0</v>
      </c>
      <c r="V1964" t="str">
        <f t="shared" si="179"/>
        <v xml:space="preserve"> </v>
      </c>
    </row>
    <row r="1965" spans="17:22">
      <c r="Q1965">
        <f t="shared" si="180"/>
        <v>0</v>
      </c>
      <c r="R1965">
        <f t="shared" si="178"/>
        <v>1961</v>
      </c>
      <c r="S1965">
        <f>IFERROR(SEARCH(Crewlist!$P$5,V1965)+ROW()/100000,"")</f>
        <v>1.0196499999999999</v>
      </c>
      <c r="T1965">
        <f t="shared" si="181"/>
        <v>0</v>
      </c>
      <c r="U1965">
        <f t="shared" si="182"/>
        <v>0</v>
      </c>
      <c r="V1965" t="str">
        <f t="shared" si="179"/>
        <v xml:space="preserve"> </v>
      </c>
    </row>
    <row r="1966" spans="17:22">
      <c r="Q1966">
        <f t="shared" si="180"/>
        <v>0</v>
      </c>
      <c r="R1966">
        <f t="shared" si="178"/>
        <v>1962</v>
      </c>
      <c r="S1966">
        <f>IFERROR(SEARCH(Crewlist!$P$5,V1966)+ROW()/100000,"")</f>
        <v>1.01966</v>
      </c>
      <c r="T1966">
        <f t="shared" si="181"/>
        <v>0</v>
      </c>
      <c r="U1966">
        <f t="shared" si="182"/>
        <v>0</v>
      </c>
      <c r="V1966" t="str">
        <f t="shared" si="179"/>
        <v xml:space="preserve"> </v>
      </c>
    </row>
    <row r="1967" spans="17:22">
      <c r="Q1967">
        <f t="shared" si="180"/>
        <v>0</v>
      </c>
      <c r="R1967">
        <f t="shared" si="178"/>
        <v>1963</v>
      </c>
      <c r="S1967">
        <f>IFERROR(SEARCH(Crewlist!$P$5,V1967)+ROW()/100000,"")</f>
        <v>1.0196700000000001</v>
      </c>
      <c r="T1967">
        <f t="shared" si="181"/>
        <v>0</v>
      </c>
      <c r="U1967">
        <f t="shared" si="182"/>
        <v>0</v>
      </c>
      <c r="V1967" t="str">
        <f t="shared" si="179"/>
        <v xml:space="preserve"> </v>
      </c>
    </row>
    <row r="1968" spans="17:22">
      <c r="Q1968">
        <f t="shared" si="180"/>
        <v>0</v>
      </c>
      <c r="R1968">
        <f t="shared" si="178"/>
        <v>1964</v>
      </c>
      <c r="S1968">
        <f>IFERROR(SEARCH(Crewlist!$P$5,V1968)+ROW()/100000,"")</f>
        <v>1.0196799999999999</v>
      </c>
      <c r="T1968">
        <f t="shared" si="181"/>
        <v>0</v>
      </c>
      <c r="U1968">
        <f t="shared" si="182"/>
        <v>0</v>
      </c>
      <c r="V1968" t="str">
        <f t="shared" si="179"/>
        <v xml:space="preserve"> </v>
      </c>
    </row>
    <row r="1969" spans="17:22">
      <c r="Q1969">
        <f t="shared" si="180"/>
        <v>0</v>
      </c>
      <c r="R1969">
        <f t="shared" si="178"/>
        <v>1965</v>
      </c>
      <c r="S1969">
        <f>IFERROR(SEARCH(Crewlist!$P$5,V1969)+ROW()/100000,"")</f>
        <v>1.01969</v>
      </c>
      <c r="T1969">
        <f t="shared" si="181"/>
        <v>0</v>
      </c>
      <c r="U1969">
        <f t="shared" si="182"/>
        <v>0</v>
      </c>
      <c r="V1969" t="str">
        <f t="shared" si="179"/>
        <v xml:space="preserve"> </v>
      </c>
    </row>
    <row r="1970" spans="17:22">
      <c r="Q1970">
        <f t="shared" si="180"/>
        <v>0</v>
      </c>
      <c r="R1970">
        <f t="shared" si="178"/>
        <v>1966</v>
      </c>
      <c r="S1970">
        <f>IFERROR(SEARCH(Crewlist!$P$5,V1970)+ROW()/100000,"")</f>
        <v>1.0197000000000001</v>
      </c>
      <c r="T1970">
        <f t="shared" si="181"/>
        <v>0</v>
      </c>
      <c r="U1970">
        <f t="shared" si="182"/>
        <v>0</v>
      </c>
      <c r="V1970" t="str">
        <f t="shared" si="179"/>
        <v xml:space="preserve"> </v>
      </c>
    </row>
    <row r="1971" spans="17:22">
      <c r="Q1971">
        <f t="shared" si="180"/>
        <v>0</v>
      </c>
      <c r="R1971">
        <f t="shared" si="178"/>
        <v>1967</v>
      </c>
      <c r="S1971">
        <f>IFERROR(SEARCH(Crewlist!$P$5,V1971)+ROW()/100000,"")</f>
        <v>1.0197099999999999</v>
      </c>
      <c r="T1971">
        <f t="shared" si="181"/>
        <v>0</v>
      </c>
      <c r="U1971">
        <f t="shared" si="182"/>
        <v>0</v>
      </c>
      <c r="V1971" t="str">
        <f t="shared" si="179"/>
        <v xml:space="preserve"> </v>
      </c>
    </row>
    <row r="1972" spans="17:22">
      <c r="Q1972">
        <f t="shared" si="180"/>
        <v>0</v>
      </c>
      <c r="R1972">
        <f t="shared" si="178"/>
        <v>1968</v>
      </c>
      <c r="S1972">
        <f>IFERROR(SEARCH(Crewlist!$P$5,V1972)+ROW()/100000,"")</f>
        <v>1.01972</v>
      </c>
      <c r="T1972">
        <f t="shared" si="181"/>
        <v>0</v>
      </c>
      <c r="U1972">
        <f t="shared" si="182"/>
        <v>0</v>
      </c>
      <c r="V1972" t="str">
        <f t="shared" si="179"/>
        <v xml:space="preserve"> </v>
      </c>
    </row>
    <row r="1973" spans="17:22">
      <c r="Q1973">
        <f t="shared" si="180"/>
        <v>0</v>
      </c>
      <c r="R1973">
        <f t="shared" si="178"/>
        <v>1969</v>
      </c>
      <c r="S1973">
        <f>IFERROR(SEARCH(Crewlist!$P$5,V1973)+ROW()/100000,"")</f>
        <v>1.01973</v>
      </c>
      <c r="T1973">
        <f t="shared" si="181"/>
        <v>0</v>
      </c>
      <c r="U1973">
        <f t="shared" si="182"/>
        <v>0</v>
      </c>
      <c r="V1973" t="str">
        <f t="shared" si="179"/>
        <v xml:space="preserve"> </v>
      </c>
    </row>
    <row r="1974" spans="17:22">
      <c r="Q1974">
        <f t="shared" si="180"/>
        <v>0</v>
      </c>
      <c r="R1974">
        <f t="shared" si="178"/>
        <v>1970</v>
      </c>
      <c r="S1974">
        <f>IFERROR(SEARCH(Crewlist!$P$5,V1974)+ROW()/100000,"")</f>
        <v>1.0197400000000001</v>
      </c>
      <c r="T1974">
        <f t="shared" si="181"/>
        <v>0</v>
      </c>
      <c r="U1974">
        <f t="shared" si="182"/>
        <v>0</v>
      </c>
      <c r="V1974" t="str">
        <f t="shared" si="179"/>
        <v xml:space="preserve"> </v>
      </c>
    </row>
    <row r="1975" spans="17:22">
      <c r="Q1975">
        <f t="shared" si="180"/>
        <v>0</v>
      </c>
      <c r="R1975">
        <f t="shared" si="178"/>
        <v>1971</v>
      </c>
      <c r="S1975">
        <f>IFERROR(SEARCH(Crewlist!$P$5,V1975)+ROW()/100000,"")</f>
        <v>1.0197499999999999</v>
      </c>
      <c r="T1975">
        <f t="shared" si="181"/>
        <v>0</v>
      </c>
      <c r="U1975">
        <f t="shared" si="182"/>
        <v>0</v>
      </c>
      <c r="V1975" t="str">
        <f t="shared" si="179"/>
        <v xml:space="preserve"> </v>
      </c>
    </row>
    <row r="1976" spans="17:22">
      <c r="Q1976">
        <f t="shared" si="180"/>
        <v>0</v>
      </c>
      <c r="R1976">
        <f t="shared" si="178"/>
        <v>1972</v>
      </c>
      <c r="S1976">
        <f>IFERROR(SEARCH(Crewlist!$P$5,V1976)+ROW()/100000,"")</f>
        <v>1.01976</v>
      </c>
      <c r="T1976">
        <f t="shared" si="181"/>
        <v>0</v>
      </c>
      <c r="U1976">
        <f t="shared" si="182"/>
        <v>0</v>
      </c>
      <c r="V1976" t="str">
        <f t="shared" si="179"/>
        <v xml:space="preserve"> </v>
      </c>
    </row>
    <row r="1977" spans="17:22">
      <c r="Q1977">
        <f t="shared" si="180"/>
        <v>0</v>
      </c>
      <c r="R1977">
        <f t="shared" si="178"/>
        <v>1973</v>
      </c>
      <c r="S1977">
        <f>IFERROR(SEARCH(Crewlist!$P$5,V1977)+ROW()/100000,"")</f>
        <v>1.0197700000000001</v>
      </c>
      <c r="T1977">
        <f t="shared" si="181"/>
        <v>0</v>
      </c>
      <c r="U1977">
        <f t="shared" si="182"/>
        <v>0</v>
      </c>
      <c r="V1977" t="str">
        <f t="shared" si="179"/>
        <v xml:space="preserve"> </v>
      </c>
    </row>
    <row r="1978" spans="17:22">
      <c r="Q1978">
        <f t="shared" si="180"/>
        <v>0</v>
      </c>
      <c r="R1978">
        <f t="shared" si="178"/>
        <v>1974</v>
      </c>
      <c r="S1978">
        <f>IFERROR(SEARCH(Crewlist!$P$5,V1978)+ROW()/100000,"")</f>
        <v>1.0197799999999999</v>
      </c>
      <c r="T1978">
        <f t="shared" si="181"/>
        <v>0</v>
      </c>
      <c r="U1978">
        <f t="shared" si="182"/>
        <v>0</v>
      </c>
      <c r="V1978" t="str">
        <f t="shared" si="179"/>
        <v xml:space="preserve"> </v>
      </c>
    </row>
    <row r="1979" spans="17:22">
      <c r="Q1979">
        <f t="shared" si="180"/>
        <v>0</v>
      </c>
      <c r="R1979">
        <f t="shared" si="178"/>
        <v>1975</v>
      </c>
      <c r="S1979">
        <f>IFERROR(SEARCH(Crewlist!$P$5,V1979)+ROW()/100000,"")</f>
        <v>1.01979</v>
      </c>
      <c r="T1979">
        <f t="shared" si="181"/>
        <v>0</v>
      </c>
      <c r="U1979">
        <f t="shared" si="182"/>
        <v>0</v>
      </c>
      <c r="V1979" t="str">
        <f t="shared" si="179"/>
        <v xml:space="preserve"> </v>
      </c>
    </row>
    <row r="1980" spans="17:22">
      <c r="Q1980">
        <f t="shared" si="180"/>
        <v>0</v>
      </c>
      <c r="R1980">
        <f t="shared" si="178"/>
        <v>1976</v>
      </c>
      <c r="S1980">
        <f>IFERROR(SEARCH(Crewlist!$P$5,V1980)+ROW()/100000,"")</f>
        <v>1.0198</v>
      </c>
      <c r="T1980">
        <f t="shared" si="181"/>
        <v>0</v>
      </c>
      <c r="U1980">
        <f t="shared" si="182"/>
        <v>0</v>
      </c>
      <c r="V1980" t="str">
        <f t="shared" si="179"/>
        <v xml:space="preserve"> </v>
      </c>
    </row>
    <row r="1981" spans="17:22">
      <c r="Q1981">
        <f t="shared" si="180"/>
        <v>0</v>
      </c>
      <c r="R1981">
        <f t="shared" si="178"/>
        <v>1977</v>
      </c>
      <c r="S1981">
        <f>IFERROR(SEARCH(Crewlist!$P$5,V1981)+ROW()/100000,"")</f>
        <v>1.0198100000000001</v>
      </c>
      <c r="T1981">
        <f t="shared" si="181"/>
        <v>0</v>
      </c>
      <c r="U1981">
        <f t="shared" si="182"/>
        <v>0</v>
      </c>
      <c r="V1981" t="str">
        <f t="shared" si="179"/>
        <v xml:space="preserve"> </v>
      </c>
    </row>
    <row r="1982" spans="17:22">
      <c r="Q1982">
        <f t="shared" si="180"/>
        <v>0</v>
      </c>
      <c r="R1982">
        <f t="shared" si="178"/>
        <v>1978</v>
      </c>
      <c r="S1982">
        <f>IFERROR(SEARCH(Crewlist!$P$5,V1982)+ROW()/100000,"")</f>
        <v>1.0198199999999999</v>
      </c>
      <c r="T1982">
        <f t="shared" si="181"/>
        <v>0</v>
      </c>
      <c r="U1982">
        <f t="shared" si="182"/>
        <v>0</v>
      </c>
      <c r="V1982" t="str">
        <f t="shared" si="179"/>
        <v xml:space="preserve"> </v>
      </c>
    </row>
    <row r="1983" spans="17:22">
      <c r="Q1983">
        <f t="shared" si="180"/>
        <v>0</v>
      </c>
      <c r="R1983">
        <f t="shared" si="178"/>
        <v>1979</v>
      </c>
      <c r="S1983">
        <f>IFERROR(SEARCH(Crewlist!$P$5,V1983)+ROW()/100000,"")</f>
        <v>1.01983</v>
      </c>
      <c r="T1983">
        <f t="shared" si="181"/>
        <v>0</v>
      </c>
      <c r="U1983">
        <f t="shared" si="182"/>
        <v>0</v>
      </c>
      <c r="V1983" t="str">
        <f t="shared" si="179"/>
        <v xml:space="preserve"> </v>
      </c>
    </row>
    <row r="1984" spans="17:22">
      <c r="Q1984">
        <f t="shared" si="180"/>
        <v>0</v>
      </c>
      <c r="R1984">
        <f t="shared" si="178"/>
        <v>1980</v>
      </c>
      <c r="S1984">
        <f>IFERROR(SEARCH(Crewlist!$P$5,V1984)+ROW()/100000,"")</f>
        <v>1.0198400000000001</v>
      </c>
      <c r="T1984">
        <f t="shared" si="181"/>
        <v>0</v>
      </c>
      <c r="U1984">
        <f t="shared" si="182"/>
        <v>0</v>
      </c>
      <c r="V1984" t="str">
        <f t="shared" si="179"/>
        <v xml:space="preserve"> </v>
      </c>
    </row>
    <row r="1985" spans="3:22">
      <c r="Q1985">
        <f t="shared" si="180"/>
        <v>0</v>
      </c>
      <c r="R1985">
        <f t="shared" si="178"/>
        <v>1981</v>
      </c>
      <c r="S1985">
        <f>IFERROR(SEARCH(Crewlist!$P$5,V1985)+ROW()/100000,"")</f>
        <v>1.0198499999999999</v>
      </c>
      <c r="T1985">
        <f t="shared" si="181"/>
        <v>0</v>
      </c>
      <c r="U1985">
        <f t="shared" si="182"/>
        <v>0</v>
      </c>
      <c r="V1985" t="str">
        <f t="shared" si="179"/>
        <v xml:space="preserve"> </v>
      </c>
    </row>
    <row r="1986" spans="3:22">
      <c r="Q1986">
        <f t="shared" si="180"/>
        <v>0</v>
      </c>
      <c r="R1986">
        <f t="shared" ref="R1986:R1998" si="183">IFERROR(RANK(S1986,$S$2:$S$1998,1),"")</f>
        <v>1982</v>
      </c>
      <c r="S1986">
        <f>IFERROR(SEARCH(Crewlist!$P$5,V1986)+ROW()/100000,"")</f>
        <v>1.01986</v>
      </c>
      <c r="T1986">
        <f t="shared" si="181"/>
        <v>0</v>
      </c>
      <c r="U1986">
        <f t="shared" si="182"/>
        <v>0</v>
      </c>
      <c r="V1986" t="str">
        <f t="shared" si="179"/>
        <v xml:space="preserve"> </v>
      </c>
    </row>
    <row r="1987" spans="3:22">
      <c r="Q1987">
        <f t="shared" si="180"/>
        <v>0</v>
      </c>
      <c r="R1987">
        <f t="shared" si="183"/>
        <v>1983</v>
      </c>
      <c r="S1987">
        <f>IFERROR(SEARCH(Crewlist!$P$5,V1987)+ROW()/100000,"")</f>
        <v>1.0198700000000001</v>
      </c>
      <c r="T1987">
        <f t="shared" si="181"/>
        <v>0</v>
      </c>
      <c r="U1987">
        <f t="shared" si="182"/>
        <v>0</v>
      </c>
      <c r="V1987" t="str">
        <f t="shared" ref="V1987:V1998" si="184">CONCATENATE(C1987," ",D1987)</f>
        <v xml:space="preserve"> </v>
      </c>
    </row>
    <row r="1988" spans="3:22">
      <c r="Q1988">
        <f t="shared" si="180"/>
        <v>0</v>
      </c>
      <c r="R1988">
        <f t="shared" si="183"/>
        <v>1984</v>
      </c>
      <c r="S1988">
        <f>IFERROR(SEARCH(Crewlist!$P$5,V1988)+ROW()/100000,"")</f>
        <v>1.0198799999999999</v>
      </c>
      <c r="T1988">
        <f t="shared" si="181"/>
        <v>0</v>
      </c>
      <c r="U1988">
        <f t="shared" si="182"/>
        <v>0</v>
      </c>
      <c r="V1988" t="str">
        <f t="shared" si="184"/>
        <v xml:space="preserve"> </v>
      </c>
    </row>
    <row r="1989" spans="3:22">
      <c r="Q1989">
        <f t="shared" si="180"/>
        <v>0</v>
      </c>
      <c r="R1989">
        <f t="shared" si="183"/>
        <v>1985</v>
      </c>
      <c r="S1989">
        <f>IFERROR(SEARCH(Crewlist!$P$5,V1989)+ROW()/100000,"")</f>
        <v>1.01989</v>
      </c>
      <c r="T1989">
        <f t="shared" si="181"/>
        <v>0</v>
      </c>
      <c r="U1989">
        <f t="shared" si="182"/>
        <v>0</v>
      </c>
      <c r="V1989" t="str">
        <f t="shared" si="184"/>
        <v xml:space="preserve"> </v>
      </c>
    </row>
    <row r="1990" spans="3:22">
      <c r="Q1990">
        <f t="shared" si="180"/>
        <v>0</v>
      </c>
      <c r="R1990">
        <f t="shared" si="183"/>
        <v>1986</v>
      </c>
      <c r="S1990">
        <f>IFERROR(SEARCH(Crewlist!$P$5,V1990)+ROW()/100000,"")</f>
        <v>1.0199</v>
      </c>
      <c r="T1990">
        <f t="shared" si="181"/>
        <v>0</v>
      </c>
      <c r="U1990">
        <f t="shared" si="182"/>
        <v>0</v>
      </c>
      <c r="V1990" t="str">
        <f t="shared" si="184"/>
        <v xml:space="preserve"> </v>
      </c>
    </row>
    <row r="1991" spans="3:22">
      <c r="Q1991">
        <f t="shared" si="180"/>
        <v>0</v>
      </c>
      <c r="R1991">
        <f t="shared" si="183"/>
        <v>1987</v>
      </c>
      <c r="S1991">
        <f>IFERROR(SEARCH(Crewlist!$P$5,V1991)+ROW()/100000,"")</f>
        <v>1.0199100000000001</v>
      </c>
      <c r="T1991">
        <f t="shared" si="181"/>
        <v>0</v>
      </c>
      <c r="U1991">
        <f t="shared" si="182"/>
        <v>0</v>
      </c>
      <c r="V1991" t="str">
        <f t="shared" si="184"/>
        <v xml:space="preserve"> </v>
      </c>
    </row>
    <row r="1992" spans="3:22">
      <c r="Q1992">
        <f t="shared" si="180"/>
        <v>0</v>
      </c>
      <c r="R1992">
        <f t="shared" si="183"/>
        <v>1988</v>
      </c>
      <c r="S1992">
        <f>IFERROR(SEARCH(Crewlist!$P$5,V1992)+ROW()/100000,"")</f>
        <v>1.0199199999999999</v>
      </c>
      <c r="T1992">
        <f t="shared" si="181"/>
        <v>0</v>
      </c>
      <c r="U1992">
        <f t="shared" si="182"/>
        <v>0</v>
      </c>
      <c r="V1992" t="str">
        <f t="shared" si="184"/>
        <v xml:space="preserve"> </v>
      </c>
    </row>
    <row r="1993" spans="3:22">
      <c r="Q1993">
        <f t="shared" ref="Q1993:Q1998" si="185">IF(C1993&lt;&gt; "",B1993,0)</f>
        <v>0</v>
      </c>
      <c r="R1993">
        <f t="shared" si="183"/>
        <v>1989</v>
      </c>
      <c r="S1993">
        <f>IFERROR(SEARCH(Crewlist!$P$5,V1993)+ROW()/100000,"")</f>
        <v>1.01993</v>
      </c>
      <c r="T1993">
        <f t="shared" ref="T1993:T1998" si="186">B1993</f>
        <v>0</v>
      </c>
      <c r="U1993">
        <f t="shared" ref="U1993:U1998" si="187">C1993</f>
        <v>0</v>
      </c>
      <c r="V1993" t="str">
        <f t="shared" si="184"/>
        <v xml:space="preserve"> </v>
      </c>
    </row>
    <row r="1994" spans="3:22">
      <c r="Q1994">
        <f t="shared" si="185"/>
        <v>0</v>
      </c>
      <c r="R1994">
        <f t="shared" si="183"/>
        <v>1990</v>
      </c>
      <c r="S1994">
        <f>IFERROR(SEARCH(Crewlist!$P$5,V1994)+ROW()/100000,"")</f>
        <v>1.0199400000000001</v>
      </c>
      <c r="T1994">
        <f t="shared" si="186"/>
        <v>0</v>
      </c>
      <c r="U1994">
        <f t="shared" si="187"/>
        <v>0</v>
      </c>
      <c r="V1994" t="str">
        <f t="shared" si="184"/>
        <v xml:space="preserve"> </v>
      </c>
    </row>
    <row r="1995" spans="3:22">
      <c r="Q1995">
        <f t="shared" si="185"/>
        <v>0</v>
      </c>
      <c r="R1995">
        <f t="shared" si="183"/>
        <v>1991</v>
      </c>
      <c r="S1995">
        <f>IFERROR(SEARCH(Crewlist!$P$5,V1995)+ROW()/100000,"")</f>
        <v>1.0199499999999999</v>
      </c>
      <c r="T1995">
        <f t="shared" si="186"/>
        <v>0</v>
      </c>
      <c r="U1995">
        <f t="shared" si="187"/>
        <v>0</v>
      </c>
      <c r="V1995" t="str">
        <f t="shared" si="184"/>
        <v xml:space="preserve"> </v>
      </c>
    </row>
    <row r="1996" spans="3:22">
      <c r="Q1996">
        <f t="shared" si="185"/>
        <v>0</v>
      </c>
      <c r="R1996">
        <f t="shared" si="183"/>
        <v>1992</v>
      </c>
      <c r="S1996">
        <f>IFERROR(SEARCH(Crewlist!$P$5,V1996)+ROW()/100000,"")</f>
        <v>1.01996</v>
      </c>
      <c r="T1996">
        <f t="shared" si="186"/>
        <v>0</v>
      </c>
      <c r="U1996">
        <f t="shared" si="187"/>
        <v>0</v>
      </c>
      <c r="V1996" t="str">
        <f t="shared" si="184"/>
        <v xml:space="preserve"> </v>
      </c>
    </row>
    <row r="1997" spans="3:22">
      <c r="Q1997">
        <f t="shared" si="185"/>
        <v>0</v>
      </c>
      <c r="R1997">
        <f t="shared" si="183"/>
        <v>1993</v>
      </c>
      <c r="S1997">
        <f>IFERROR(SEARCH(Crewlist!$P$5,V1997)+ROW()/100000,"")</f>
        <v>1.01997</v>
      </c>
      <c r="T1997">
        <f t="shared" si="186"/>
        <v>0</v>
      </c>
      <c r="U1997">
        <f t="shared" si="187"/>
        <v>0</v>
      </c>
      <c r="V1997" t="str">
        <f t="shared" si="184"/>
        <v xml:space="preserve"> </v>
      </c>
    </row>
    <row r="1998" spans="3:22">
      <c r="Q1998">
        <f t="shared" si="185"/>
        <v>0</v>
      </c>
      <c r="R1998">
        <f t="shared" si="183"/>
        <v>1994</v>
      </c>
      <c r="S1998">
        <f>IFERROR(SEARCH(Crewlist!$P$5,V1998)+ROW()/100000,"")</f>
        <v>1.0199800000000001</v>
      </c>
      <c r="T1998">
        <f t="shared" si="186"/>
        <v>0</v>
      </c>
      <c r="U1998">
        <f t="shared" si="187"/>
        <v>0</v>
      </c>
      <c r="V1998" t="str">
        <f t="shared" si="184"/>
        <v xml:space="preserve"> </v>
      </c>
    </row>
    <row r="1999" spans="3:22">
      <c r="C1999" s="169"/>
      <c r="D1999" s="169"/>
      <c r="E1999" s="169"/>
      <c r="F1999" s="176"/>
      <c r="H1999" s="169"/>
      <c r="I1999" s="176"/>
      <c r="J1999" s="176"/>
      <c r="K1999" s="179"/>
      <c r="L1999" s="179"/>
    </row>
  </sheetData>
  <sheetProtection password="C9CF" sheet="1" objects="1" scenarios="1" selectLockedCells="1" sort="0" autoFilter="0"/>
  <autoFilter ref="B1:N1998" xr:uid="{00000000-0009-0000-0000-000002000000}">
    <sortState xmlns:xlrd2="http://schemas.microsoft.com/office/spreadsheetml/2017/richdata2" ref="B214:N214">
      <sortCondition ref="B1:B1998"/>
    </sortState>
  </autoFilter>
  <sortState xmlns:xlrd2="http://schemas.microsoft.com/office/spreadsheetml/2017/richdata2" ref="B214:N1999">
    <sortCondition ref="C1"/>
  </sortState>
  <conditionalFormatting sqref="B2:B65536">
    <cfRule type="duplicateValues" dxfId="5" priority="5" stopIfTrue="1"/>
  </conditionalFormatting>
  <conditionalFormatting sqref="B1">
    <cfRule type="duplicateValues" dxfId="4" priority="11" stopIfTrue="1"/>
  </conditionalFormatting>
  <conditionalFormatting sqref="B1:N62 B530:C531 E530:N531 B64:N529 B63:J63 L63:N63 B532:N1048576">
    <cfRule type="expression" dxfId="3" priority="2" stopIfTrue="1">
      <formula>OR(CELL("row")=CELL("row",A1))</formula>
    </cfRule>
  </conditionalFormatting>
  <conditionalFormatting sqref="N1:N1048576">
    <cfRule type="cellIs" dxfId="2" priority="15" operator="equal">
      <formula>0</formula>
    </cfRule>
  </conditionalFormatting>
  <conditionalFormatting sqref="Z1:Z1048576">
    <cfRule type="cellIs" dxfId="1" priority="1" operator="equal">
      <formula>0</formula>
    </cfRule>
  </conditionalFormatting>
  <conditionalFormatting sqref="D531">
    <cfRule type="expression" dxfId="0" priority="17" stopIfTrue="1">
      <formula>OR(CELL("row")=CELL("row",C530))</formula>
    </cfRule>
  </conditionalFormatting>
  <pageMargins left="0.75" right="0.75" top="1" bottom="1" header="0.5" footer="0.5"/>
  <pageSetup paperSize="9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88" r:id="rId4" name="Button 44">
              <controlPr defaultSize="0" print="0" autoFill="0" autoPict="0" macro="[0]!SortDatabase">
                <anchor moveWithCells="1">
                  <from>
                    <xdr:col>26</xdr:col>
                    <xdr:colOff>95250</xdr:colOff>
                    <xdr:row>0</xdr:row>
                    <xdr:rowOff>57150</xdr:rowOff>
                  </from>
                  <to>
                    <xdr:col>28</xdr:col>
                    <xdr:colOff>106680</xdr:colOff>
                    <xdr:row>0</xdr:row>
                    <xdr:rowOff>430530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0" r:id="rId5" name="Button 46">
              <controlPr defaultSize="0" print="0" autoFill="0" autoPict="0" macro="[0]!Gotocrewlist">
                <anchor moveWithCells="1">
                  <from>
                    <xdr:col>26</xdr:col>
                    <xdr:colOff>95250</xdr:colOff>
                    <xdr:row>0</xdr:row>
                    <xdr:rowOff>495300</xdr:rowOff>
                  </from>
                  <to>
                    <xdr:col>28</xdr:col>
                    <xdr:colOff>95250</xdr:colOff>
                    <xdr:row>0</xdr:row>
                    <xdr:rowOff>868680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0" tint="-0.34998626667073579"/>
    <pageSetUpPr fitToPage="1"/>
  </sheetPr>
  <dimension ref="B1:N46"/>
  <sheetViews>
    <sheetView showGridLines="0" showRowColHeaders="0" workbookViewId="0">
      <selection activeCell="H32" sqref="H3:H32"/>
    </sheetView>
  </sheetViews>
  <sheetFormatPr defaultRowHeight="12.3"/>
  <cols>
    <col min="3" max="3" width="18.1640625" customWidth="1"/>
    <col min="4" max="4" width="18.5546875" customWidth="1"/>
    <col min="5" max="5" width="18.27734375" customWidth="1"/>
    <col min="6" max="6" width="15.27734375" customWidth="1"/>
    <col min="7" max="7" width="17.5546875" customWidth="1"/>
    <col min="8" max="8" width="18.1640625" customWidth="1"/>
    <col min="9" max="9" width="19.44140625" customWidth="1"/>
    <col min="10" max="10" width="19.71875" customWidth="1"/>
    <col min="11" max="11" width="19.27734375" customWidth="1"/>
    <col min="12" max="13" width="18.5546875" customWidth="1"/>
  </cols>
  <sheetData>
    <row r="1" spans="2:14" ht="12.6" thickBot="1"/>
    <row r="2" spans="2:14" ht="28.5" customHeight="1" thickBot="1">
      <c r="B2" s="154" t="str">
        <f>Crewlist!B14</f>
        <v>6. No</v>
      </c>
      <c r="C2" s="155" t="str">
        <f>Crewlist!C14</f>
        <v xml:space="preserve">7. Family name, </v>
      </c>
      <c r="D2" s="155" t="str">
        <f>Crewlist!D14</f>
        <v>8. Given names</v>
      </c>
      <c r="E2" s="155" t="str">
        <f>Crewlist!E14</f>
        <v>9. Rank or rating</v>
      </c>
      <c r="F2" s="155" t="str">
        <f>Crewlist!F14</f>
        <v>10. Nat.</v>
      </c>
      <c r="G2" s="155" t="str">
        <f>Crewlist!G14</f>
        <v>11. Date of birth</v>
      </c>
      <c r="H2" s="155" t="str">
        <f>Crewlist!H14</f>
        <v>12. Place of birth</v>
      </c>
      <c r="I2" s="155" t="str">
        <f>Crewlist!J14</f>
        <v>13. Gender</v>
      </c>
      <c r="J2" s="155" t="str">
        <f>Crewlist!K14</f>
        <v>14. Nature of identity document</v>
      </c>
      <c r="K2" s="155" t="str">
        <f>Crewlist!L14</f>
        <v>15.  number of identity document</v>
      </c>
      <c r="L2" s="156" t="str">
        <f>Crewlist!M14</f>
        <v>16. Issuing State of identity document</v>
      </c>
      <c r="M2" s="156" t="str">
        <f>Crewlist!N14</f>
        <v>17. Expiry date of identity document</v>
      </c>
      <c r="N2" s="210" t="s">
        <v>98</v>
      </c>
    </row>
    <row r="3" spans="2:14">
      <c r="B3" s="153">
        <f>Crewlist!B15</f>
        <v>1</v>
      </c>
      <c r="C3" s="157" t="str">
        <f>Crewlist!C15</f>
        <v>Gadhavi</v>
      </c>
      <c r="D3" s="157" t="str">
        <f>Crewlist!D15</f>
        <v>Fergus Leandro</v>
      </c>
      <c r="E3" s="157" t="str">
        <f>Crewlist!E15</f>
        <v>Captain</v>
      </c>
      <c r="F3" s="157" t="str">
        <f>Crewlist!F15</f>
        <v>BRB</v>
      </c>
      <c r="G3" s="158">
        <f>Crewlist!G15</f>
        <v>28684</v>
      </c>
      <c r="H3" s="157" t="str">
        <f>Crewlist!H15</f>
        <v>Moscow</v>
      </c>
      <c r="I3" s="157" t="str">
        <f>Crewlist!J15</f>
        <v>F</v>
      </c>
      <c r="J3" s="157" t="str">
        <f>Crewlist!K15</f>
        <v>PP</v>
      </c>
      <c r="K3" s="157" t="str">
        <f>Crewlist!L15</f>
        <v>WKLm2Z6V2T</v>
      </c>
      <c r="L3" s="157" t="str">
        <f>Crewlist!M15</f>
        <v>BRB</v>
      </c>
      <c r="M3" s="158">
        <f>Crewlist!N15</f>
        <v>45043</v>
      </c>
      <c r="N3" s="211"/>
    </row>
    <row r="4" spans="2:14">
      <c r="B4" s="152">
        <f>Crewlist!B16</f>
        <v>2</v>
      </c>
      <c r="C4" s="159" t="str">
        <f>Crewlist!C16</f>
        <v>Félix</v>
      </c>
      <c r="D4" s="159" t="str">
        <f>Crewlist!D16</f>
        <v>Sara Aybek</v>
      </c>
      <c r="E4" s="159" t="str">
        <f>Crewlist!E16</f>
        <v>C/O SDPO</v>
      </c>
      <c r="F4" s="159" t="str">
        <f>Crewlist!F16</f>
        <v>BRB</v>
      </c>
      <c r="G4" s="160">
        <f>Crewlist!G16</f>
        <v>20804</v>
      </c>
      <c r="H4" s="159" t="str">
        <f>Crewlist!H16</f>
        <v>Tianjin</v>
      </c>
      <c r="I4" s="159" t="str">
        <f>Crewlist!J16</f>
        <v>M</v>
      </c>
      <c r="J4" s="159" t="str">
        <f>Crewlist!K16</f>
        <v>PP</v>
      </c>
      <c r="K4" s="159" t="str">
        <f>Crewlist!L16</f>
        <v>X4S4FNyvFE</v>
      </c>
      <c r="L4" s="159" t="str">
        <f>Crewlist!M16</f>
        <v>BRB</v>
      </c>
      <c r="M4" s="160">
        <f>Crewlist!N16</f>
        <v>46066</v>
      </c>
      <c r="N4" s="212"/>
    </row>
    <row r="5" spans="2:14">
      <c r="B5" s="152">
        <f>Crewlist!B17</f>
        <v>3</v>
      </c>
      <c r="C5" s="159" t="str">
        <f>Crewlist!C17</f>
        <v>Garza</v>
      </c>
      <c r="D5" s="159" t="str">
        <f>Crewlist!D17</f>
        <v>Daumantas Sawney</v>
      </c>
      <c r="E5" s="159" t="str">
        <f>Crewlist!E17</f>
        <v>2/O SDPO</v>
      </c>
      <c r="F5" s="159" t="str">
        <f>Crewlist!F17</f>
        <v>ITA</v>
      </c>
      <c r="G5" s="160">
        <f>Crewlist!G17</f>
        <v>32477</v>
      </c>
      <c r="H5" s="159" t="str">
        <f>Crewlist!H17</f>
        <v>London</v>
      </c>
      <c r="I5" s="159" t="str">
        <f>Crewlist!J17</f>
        <v>M</v>
      </c>
      <c r="J5" s="159" t="str">
        <f>Crewlist!K17</f>
        <v>PP</v>
      </c>
      <c r="K5" s="159" t="str">
        <f>Crewlist!L17</f>
        <v>sUPnZvnwYL</v>
      </c>
      <c r="L5" s="159" t="str">
        <f>Crewlist!M17</f>
        <v>ITA</v>
      </c>
      <c r="M5" s="158">
        <f>Crewlist!N17</f>
        <v>45481</v>
      </c>
      <c r="N5" s="213"/>
    </row>
    <row r="6" spans="2:14">
      <c r="B6" s="152">
        <f>Crewlist!B18</f>
        <v>4</v>
      </c>
      <c r="C6" s="159" t="str">
        <f>Crewlist!C18</f>
        <v>Thass</v>
      </c>
      <c r="D6" s="159" t="str">
        <f>Crewlist!D18</f>
        <v>Shri Danai</v>
      </c>
      <c r="E6" s="159" t="str">
        <f>Crewlist!E18</f>
        <v>2/O DPO</v>
      </c>
      <c r="F6" s="159" t="str">
        <f>Crewlist!F18</f>
        <v>ALB</v>
      </c>
      <c r="G6" s="160">
        <f>Crewlist!G18</f>
        <v>20675</v>
      </c>
      <c r="H6" s="159" t="str">
        <f>Crewlist!H18</f>
        <v>Ningbo</v>
      </c>
      <c r="I6" s="159" t="str">
        <f>Crewlist!J18</f>
        <v>F</v>
      </c>
      <c r="J6" s="159" t="str">
        <f>Crewlist!K18</f>
        <v>PP</v>
      </c>
      <c r="K6" s="159" t="str">
        <f>Crewlist!L18</f>
        <v>D7Rmdc9veY</v>
      </c>
      <c r="L6" s="159" t="str">
        <f>Crewlist!M18</f>
        <v>ALB</v>
      </c>
      <c r="M6" s="160">
        <f>Crewlist!N18</f>
        <v>48310</v>
      </c>
      <c r="N6" s="212"/>
    </row>
    <row r="7" spans="2:14">
      <c r="B7" s="152">
        <f>Crewlist!B19</f>
        <v>5</v>
      </c>
      <c r="C7" s="159" t="str">
        <f>Crewlist!C19</f>
        <v>Brannon</v>
      </c>
      <c r="D7" s="159" t="str">
        <f>Crewlist!D19</f>
        <v>Mikołaj Tatanka</v>
      </c>
      <c r="E7" s="159" t="str">
        <f>Crewlist!E19</f>
        <v>2/O DPO</v>
      </c>
      <c r="F7" s="159" t="str">
        <f>Crewlist!F19</f>
        <v>GNQ</v>
      </c>
      <c r="G7" s="160">
        <f>Crewlist!G19</f>
        <v>26472</v>
      </c>
      <c r="H7" s="159" t="str">
        <f>Crewlist!H19</f>
        <v>Calgary</v>
      </c>
      <c r="I7" s="159" t="str">
        <f>Crewlist!J19</f>
        <v>M</v>
      </c>
      <c r="J7" s="159" t="str">
        <f>Crewlist!K19</f>
        <v>PP</v>
      </c>
      <c r="K7" s="159" t="str">
        <f>Crewlist!L19</f>
        <v>hPeK4WvPCX</v>
      </c>
      <c r="L7" s="159" t="str">
        <f>Crewlist!M19</f>
        <v>GNQ</v>
      </c>
      <c r="M7" s="158">
        <f>Crewlist!N19</f>
        <v>45750</v>
      </c>
      <c r="N7" s="213"/>
    </row>
    <row r="8" spans="2:14">
      <c r="B8" s="152">
        <f>Crewlist!B20</f>
        <v>6</v>
      </c>
      <c r="C8" s="159" t="str">
        <f>Crewlist!C20</f>
        <v>Rake</v>
      </c>
      <c r="D8" s="159" t="str">
        <f>Crewlist!D20</f>
        <v>Batuhan Khodadad</v>
      </c>
      <c r="E8" s="159" t="str">
        <f>Crewlist!E20</f>
        <v>C/E</v>
      </c>
      <c r="F8" s="159" t="str">
        <f>Crewlist!F20</f>
        <v>PRT</v>
      </c>
      <c r="G8" s="160">
        <f>Crewlist!G20</f>
        <v>34640</v>
      </c>
      <c r="H8" s="159" t="str">
        <f>Crewlist!H20</f>
        <v>Riyadh</v>
      </c>
      <c r="I8" s="159" t="str">
        <f>Crewlist!J20</f>
        <v>F</v>
      </c>
      <c r="J8" s="159" t="str">
        <f>Crewlist!K20</f>
        <v>PP</v>
      </c>
      <c r="K8" s="159" t="str">
        <f>Crewlist!L20</f>
        <v>ZNhrhsG6qh</v>
      </c>
      <c r="L8" s="159" t="str">
        <f>Crewlist!M20</f>
        <v>PRT</v>
      </c>
      <c r="M8" s="160">
        <f>Crewlist!N20</f>
        <v>45651</v>
      </c>
      <c r="N8" s="212"/>
    </row>
    <row r="9" spans="2:14">
      <c r="B9" s="152">
        <f>Crewlist!B21</f>
        <v>7</v>
      </c>
      <c r="C9" s="159" t="str">
        <f>Crewlist!C21</f>
        <v>Morozov</v>
      </c>
      <c r="D9" s="159" t="str">
        <f>Crewlist!D21</f>
        <v>Murray Valya</v>
      </c>
      <c r="E9" s="159" t="str">
        <f>Crewlist!E21</f>
        <v>2/E</v>
      </c>
      <c r="F9" s="159" t="str">
        <f>Crewlist!F21</f>
        <v>CIV</v>
      </c>
      <c r="G9" s="160">
        <f>Crewlist!G21</f>
        <v>37930</v>
      </c>
      <c r="H9" s="159" t="str">
        <f>Crewlist!H21</f>
        <v>Quezon City</v>
      </c>
      <c r="I9" s="159" t="str">
        <f>Crewlist!J21</f>
        <v>M</v>
      </c>
      <c r="J9" s="159" t="str">
        <f>Crewlist!K21</f>
        <v>PP</v>
      </c>
      <c r="K9" s="159" t="str">
        <f>Crewlist!L21</f>
        <v>TAFrgvZvu3</v>
      </c>
      <c r="L9" s="159" t="str">
        <f>Crewlist!M21</f>
        <v>CIV</v>
      </c>
      <c r="M9" s="158">
        <f>Crewlist!N21</f>
        <v>46282</v>
      </c>
      <c r="N9" s="213"/>
    </row>
    <row r="10" spans="2:14">
      <c r="B10" s="152">
        <f>Crewlist!B22</f>
        <v>8</v>
      </c>
      <c r="C10" s="159" t="str">
        <f>Crewlist!C22</f>
        <v>van Wieren</v>
      </c>
      <c r="D10" s="159" t="str">
        <f>Crewlist!D22</f>
        <v>Jessenia Caterina</v>
      </c>
      <c r="E10" s="159" t="str">
        <f>Crewlist!E22</f>
        <v>3rd Eng</v>
      </c>
      <c r="F10" s="159" t="str">
        <f>Crewlist!F22</f>
        <v>TCA</v>
      </c>
      <c r="G10" s="160">
        <f>Crewlist!G22</f>
        <v>25205</v>
      </c>
      <c r="H10" s="159" t="str">
        <f>Crewlist!H22</f>
        <v>Chaozhou</v>
      </c>
      <c r="I10" s="159" t="str">
        <f>Crewlist!J22</f>
        <v>F</v>
      </c>
      <c r="J10" s="159" t="str">
        <f>Crewlist!K22</f>
        <v>PP</v>
      </c>
      <c r="K10" s="159" t="str">
        <f>Crewlist!L22</f>
        <v>dkcP5PWAMR</v>
      </c>
      <c r="L10" s="159" t="str">
        <f>Crewlist!M22</f>
        <v>TCA</v>
      </c>
      <c r="M10" s="160">
        <f>Crewlist!N22</f>
        <v>45929</v>
      </c>
      <c r="N10" s="214"/>
    </row>
    <row r="11" spans="2:14">
      <c r="B11" s="152">
        <f>Crewlist!B23</f>
        <v>9</v>
      </c>
      <c r="C11" s="159" t="str">
        <f>Crewlist!C23</f>
        <v>Evangelista</v>
      </c>
      <c r="D11" s="159" t="str">
        <f>Crewlist!D23</f>
        <v>Veniamin Kyros</v>
      </c>
      <c r="E11" s="159" t="str">
        <f>Crewlist!E23</f>
        <v>MM</v>
      </c>
      <c r="F11" s="159" t="str">
        <f>Crewlist!F23</f>
        <v>GAB</v>
      </c>
      <c r="G11" s="160">
        <f>Crewlist!G23</f>
        <v>24392</v>
      </c>
      <c r="H11" s="159" t="str">
        <f>Crewlist!H23</f>
        <v>Yaounde</v>
      </c>
      <c r="I11" s="159" t="str">
        <f>Crewlist!J23</f>
        <v>M</v>
      </c>
      <c r="J11" s="159" t="str">
        <f>Crewlist!K23</f>
        <v>PP</v>
      </c>
      <c r="K11" s="159" t="str">
        <f>Crewlist!L23</f>
        <v>MmdApg7tJA</v>
      </c>
      <c r="L11" s="159" t="str">
        <f>Crewlist!M23</f>
        <v>GAB</v>
      </c>
      <c r="M11" s="158">
        <f>Crewlist!N23</f>
        <v>46517</v>
      </c>
      <c r="N11" s="213"/>
    </row>
    <row r="12" spans="2:14">
      <c r="B12" s="152">
        <f>Crewlist!B24</f>
        <v>10</v>
      </c>
      <c r="C12" s="159" t="str">
        <f>Crewlist!C24</f>
        <v>Szweda</v>
      </c>
      <c r="D12" s="159" t="str">
        <f>Crewlist!D24</f>
        <v>Enki 'Azazyahu</v>
      </c>
      <c r="E12" s="159" t="str">
        <f>Crewlist!E24</f>
        <v>Cook</v>
      </c>
      <c r="F12" s="159" t="str">
        <f>Crewlist!F24</f>
        <v>SGS</v>
      </c>
      <c r="G12" s="160">
        <f>Crewlist!G24</f>
        <v>35608</v>
      </c>
      <c r="H12" s="159" t="str">
        <f>Crewlist!H24</f>
        <v>Shenyang</v>
      </c>
      <c r="I12" s="159" t="str">
        <f>Crewlist!J24</f>
        <v>M</v>
      </c>
      <c r="J12" s="159" t="str">
        <f>Crewlist!K24</f>
        <v>PP</v>
      </c>
      <c r="K12" s="159" t="str">
        <f>Crewlist!L24</f>
        <v>gtNgjQv9La</v>
      </c>
      <c r="L12" s="159" t="str">
        <f>Crewlist!M24</f>
        <v>SGS</v>
      </c>
      <c r="M12" s="160">
        <f>Crewlist!N24</f>
        <v>48398</v>
      </c>
      <c r="N12" s="212"/>
    </row>
    <row r="13" spans="2:14">
      <c r="B13" s="152">
        <f>Crewlist!B25</f>
        <v>11</v>
      </c>
      <c r="C13" s="159" t="str">
        <f>Crewlist!C25</f>
        <v>Nozawa</v>
      </c>
      <c r="D13" s="159" t="str">
        <f>Crewlist!D25</f>
        <v>AlbertaUche</v>
      </c>
      <c r="E13" s="159" t="str">
        <f>Crewlist!E25</f>
        <v>Cook</v>
      </c>
      <c r="F13" s="159" t="str">
        <f>Crewlist!F25</f>
        <v>GIN</v>
      </c>
      <c r="G13" s="160">
        <f>Crewlist!G25</f>
        <v>35091</v>
      </c>
      <c r="H13" s="159" t="str">
        <f>Crewlist!H25</f>
        <v>Ekurhuleni</v>
      </c>
      <c r="I13" s="159" t="str">
        <f>Crewlist!J25</f>
        <v>F</v>
      </c>
      <c r="J13" s="159" t="str">
        <f>Crewlist!K25</f>
        <v>PP</v>
      </c>
      <c r="K13" s="159" t="str">
        <f>Crewlist!L25</f>
        <v>WXvZGhVVG7</v>
      </c>
      <c r="L13" s="159" t="str">
        <f>Crewlist!M25</f>
        <v>GIN</v>
      </c>
      <c r="M13" s="158">
        <f>Crewlist!N25</f>
        <v>46065</v>
      </c>
      <c r="N13" s="213"/>
    </row>
    <row r="14" spans="2:14">
      <c r="B14" s="152">
        <f>Crewlist!B26</f>
        <v>12</v>
      </c>
      <c r="C14" s="159" t="str">
        <f>Crewlist!C26</f>
        <v>Crespo</v>
      </c>
      <c r="D14" s="159" t="str">
        <f>Crewlist!D26</f>
        <v>HonorataMarko</v>
      </c>
      <c r="E14" s="159" t="str">
        <f>Crewlist!E26</f>
        <v>Bosun</v>
      </c>
      <c r="F14" s="159" t="str">
        <f>Crewlist!F26</f>
        <v>MDA</v>
      </c>
      <c r="G14" s="160">
        <f>Crewlist!G26</f>
        <v>31137</v>
      </c>
      <c r="H14" s="159" t="str">
        <f>Crewlist!H26</f>
        <v>Dallas</v>
      </c>
      <c r="I14" s="159" t="str">
        <f>Crewlist!J26</f>
        <v>M</v>
      </c>
      <c r="J14" s="159" t="str">
        <f>Crewlist!K26</f>
        <v>PP</v>
      </c>
      <c r="K14" s="159" t="str">
        <f>Crewlist!L26</f>
        <v>T6Dj6ky8KQ</v>
      </c>
      <c r="L14" s="159" t="str">
        <f>Crewlist!M26</f>
        <v>MDA</v>
      </c>
      <c r="M14" s="160">
        <f>Crewlist!N26</f>
        <v>45903</v>
      </c>
      <c r="N14" s="212"/>
    </row>
    <row r="15" spans="2:14">
      <c r="B15" s="152">
        <f>Crewlist!B27</f>
        <v>13</v>
      </c>
      <c r="C15" s="159" t="str">
        <f>Crewlist!C27</f>
        <v>Szép</v>
      </c>
      <c r="D15" s="159" t="str">
        <f>Crewlist!D27</f>
        <v>DanuškaLuken</v>
      </c>
      <c r="E15" s="159" t="str">
        <f>Crewlist!E27</f>
        <v>AB Crane</v>
      </c>
      <c r="F15" s="159" t="str">
        <f>Crewlist!F27</f>
        <v>PAK</v>
      </c>
      <c r="G15" s="160">
        <f>Crewlist!G27</f>
        <v>23917</v>
      </c>
      <c r="H15" s="159" t="str">
        <f>Crewlist!H27</f>
        <v>Changsha</v>
      </c>
      <c r="I15" s="159" t="str">
        <f>Crewlist!J27</f>
        <v>F</v>
      </c>
      <c r="J15" s="159" t="str">
        <f>Crewlist!K27</f>
        <v>PP</v>
      </c>
      <c r="K15" s="159" t="str">
        <f>Crewlist!L27</f>
        <v>vkdzPf44J6</v>
      </c>
      <c r="L15" s="159" t="str">
        <f>Crewlist!M27</f>
        <v>PAK</v>
      </c>
      <c r="M15" s="158">
        <f>Crewlist!N27</f>
        <v>48120</v>
      </c>
      <c r="N15" s="213"/>
    </row>
    <row r="16" spans="2:14">
      <c r="B16" s="152">
        <f>Crewlist!B28</f>
        <v>14</v>
      </c>
      <c r="C16" s="159" t="str">
        <f>Crewlist!C28</f>
        <v>Shinoda</v>
      </c>
      <c r="D16" s="159" t="str">
        <f>Crewlist!D28</f>
        <v>JessaEnea</v>
      </c>
      <c r="E16" s="159" t="str">
        <f>Crewlist!E28</f>
        <v>AB</v>
      </c>
      <c r="F16" s="159" t="str">
        <f>Crewlist!F28</f>
        <v>FRA</v>
      </c>
      <c r="G16" s="160">
        <f>Crewlist!G28</f>
        <v>20815</v>
      </c>
      <c r="H16" s="159" t="str">
        <f>Crewlist!H28</f>
        <v>Peshawar</v>
      </c>
      <c r="I16" s="159" t="str">
        <f>Crewlist!J28</f>
        <v>M</v>
      </c>
      <c r="J16" s="159" t="str">
        <f>Crewlist!K28</f>
        <v>PP</v>
      </c>
      <c r="K16" s="159" t="str">
        <f>Crewlist!L28</f>
        <v>LWhzAhASY7</v>
      </c>
      <c r="L16" s="159" t="str">
        <f>Crewlist!M28</f>
        <v>FRA</v>
      </c>
      <c r="M16" s="160">
        <f>Crewlist!N28</f>
        <v>48325</v>
      </c>
      <c r="N16" s="212"/>
    </row>
    <row r="17" spans="2:14">
      <c r="B17" s="152">
        <f>Crewlist!B29</f>
        <v>15</v>
      </c>
      <c r="C17" s="159" t="str">
        <f>Crewlist!C29</f>
        <v>Furlan</v>
      </c>
      <c r="D17" s="159" t="str">
        <f>Crewlist!D29</f>
        <v>IvkaWilla</v>
      </c>
      <c r="E17" s="159" t="str">
        <f>Crewlist!E29</f>
        <v>AB</v>
      </c>
      <c r="F17" s="159" t="str">
        <f>Crewlist!F29</f>
        <v>MDG</v>
      </c>
      <c r="G17" s="160">
        <f>Crewlist!G29</f>
        <v>23815</v>
      </c>
      <c r="H17" s="159" t="str">
        <f>Crewlist!H29</f>
        <v>Palembang</v>
      </c>
      <c r="I17" s="159" t="str">
        <f>Crewlist!J29</f>
        <v>M</v>
      </c>
      <c r="J17" s="159" t="str">
        <f>Crewlist!K29</f>
        <v>PP</v>
      </c>
      <c r="K17" s="159" t="str">
        <f>Crewlist!L29</f>
        <v>vxVbNYPs73</v>
      </c>
      <c r="L17" s="159" t="str">
        <f>Crewlist!M29</f>
        <v>MDG</v>
      </c>
      <c r="M17" s="158">
        <f>Crewlist!N29</f>
        <v>45494</v>
      </c>
      <c r="N17" s="213"/>
    </row>
    <row r="18" spans="2:14">
      <c r="B18" s="152">
        <f>Crewlist!B30</f>
        <v>16</v>
      </c>
      <c r="C18" s="159" t="str">
        <f>Crewlist!C30</f>
        <v>Salomon</v>
      </c>
      <c r="D18" s="159" t="str">
        <f>Crewlist!D30</f>
        <v>PerchuhiGomer</v>
      </c>
      <c r="E18" s="159" t="str">
        <f>Crewlist!E30</f>
        <v>PC</v>
      </c>
      <c r="F18" s="159" t="str">
        <f>Crewlist!F30</f>
        <v>ALB</v>
      </c>
      <c r="G18" s="160">
        <f>Crewlist!G30</f>
        <v>37447</v>
      </c>
      <c r="H18" s="159" t="str">
        <f>Crewlist!H30</f>
        <v>Jaipur</v>
      </c>
      <c r="I18" s="159" t="str">
        <f>Crewlist!J30</f>
        <v>F</v>
      </c>
      <c r="J18" s="159" t="str">
        <f>Crewlist!K30</f>
        <v>PP</v>
      </c>
      <c r="K18" s="159" t="str">
        <f>Crewlist!L30</f>
        <v>Xh3WBgC5Ec</v>
      </c>
      <c r="L18" s="159" t="str">
        <f>Crewlist!M30</f>
        <v>ALB</v>
      </c>
      <c r="M18" s="160">
        <f>Crewlist!N30</f>
        <v>46217</v>
      </c>
      <c r="N18" s="212"/>
    </row>
    <row r="19" spans="2:14">
      <c r="B19" s="152">
        <f>Crewlist!B31</f>
        <v>17</v>
      </c>
      <c r="C19" s="159" t="str">
        <f>Crewlist!C31</f>
        <v>Sala</v>
      </c>
      <c r="D19" s="159" t="str">
        <f>Crewlist!D31</f>
        <v>DavidAmanda</v>
      </c>
      <c r="E19" s="159" t="str">
        <f>Crewlist!E31</f>
        <v xml:space="preserve">data </v>
      </c>
      <c r="F19" s="159" t="str">
        <f>Crewlist!F31</f>
        <v>BES</v>
      </c>
      <c r="G19" s="160">
        <f>Crewlist!G31</f>
        <v>37874</v>
      </c>
      <c r="H19" s="159" t="str">
        <f>Crewlist!H31</f>
        <v>Bucharest</v>
      </c>
      <c r="I19" s="159" t="str">
        <f>Crewlist!J31</f>
        <v>F</v>
      </c>
      <c r="J19" s="159" t="str">
        <f>Crewlist!K31</f>
        <v>PP</v>
      </c>
      <c r="K19" s="159" t="str">
        <f>Crewlist!L31</f>
        <v>pz98V9YejR</v>
      </c>
      <c r="L19" s="159" t="str">
        <f>Crewlist!M31</f>
        <v>BES</v>
      </c>
      <c r="M19" s="158">
        <f>Crewlist!N31</f>
        <v>46979</v>
      </c>
      <c r="N19" s="213"/>
    </row>
    <row r="20" spans="2:14">
      <c r="B20" s="152">
        <f>Crewlist!B32</f>
        <v>18</v>
      </c>
      <c r="C20" s="159" t="str">
        <f>Crewlist!C32</f>
        <v>MacNevin</v>
      </c>
      <c r="D20" s="159" t="str">
        <f>Crewlist!D32</f>
        <v>ApostolKanti</v>
      </c>
      <c r="E20" s="159" t="str">
        <f>Crewlist!E32</f>
        <v>Surveyor</v>
      </c>
      <c r="F20" s="159" t="str">
        <f>Crewlist!F32</f>
        <v>MAR</v>
      </c>
      <c r="G20" s="160">
        <f>Crewlist!G32</f>
        <v>33612</v>
      </c>
      <c r="H20" s="159" t="str">
        <f>Crewlist!H32</f>
        <v>Philadelphia</v>
      </c>
      <c r="I20" s="159" t="str">
        <f>Crewlist!J32</f>
        <v>F</v>
      </c>
      <c r="J20" s="159" t="str">
        <f>Crewlist!K32</f>
        <v>PP</v>
      </c>
      <c r="K20" s="159" t="str">
        <f>Crewlist!L32</f>
        <v>H3nnfEZZaB</v>
      </c>
      <c r="L20" s="159" t="str">
        <f>Crewlist!M32</f>
        <v>MAR</v>
      </c>
      <c r="M20" s="160">
        <f>Crewlist!N32</f>
        <v>47270</v>
      </c>
      <c r="N20" s="212"/>
    </row>
    <row r="21" spans="2:14">
      <c r="B21" s="152">
        <f>Crewlist!B33</f>
        <v>19</v>
      </c>
      <c r="C21" s="159" t="str">
        <f>Crewlist!C33</f>
        <v>Kauffmann</v>
      </c>
      <c r="D21" s="159" t="str">
        <f>Crewlist!D33</f>
        <v>WłodekIina</v>
      </c>
      <c r="E21" s="159" t="str">
        <f>Crewlist!E33</f>
        <v>Surveyor</v>
      </c>
      <c r="F21" s="159" t="str">
        <f>Crewlist!F33</f>
        <v>NAM</v>
      </c>
      <c r="G21" s="160">
        <f>Crewlist!G33</f>
        <v>20190</v>
      </c>
      <c r="H21" s="159" t="str">
        <f>Crewlist!H33</f>
        <v>Guayaquil</v>
      </c>
      <c r="I21" s="159" t="str">
        <f>Crewlist!J33</f>
        <v>M</v>
      </c>
      <c r="J21" s="159" t="str">
        <f>Crewlist!K33</f>
        <v>PP</v>
      </c>
      <c r="K21" s="159" t="str">
        <f>Crewlist!L33</f>
        <v>dQNZA5MA6U</v>
      </c>
      <c r="L21" s="159" t="str">
        <f>Crewlist!M33</f>
        <v>NAM</v>
      </c>
      <c r="M21" s="158">
        <f>Crewlist!N33</f>
        <v>48414</v>
      </c>
      <c r="N21" s="213"/>
    </row>
    <row r="22" spans="2:14">
      <c r="B22" s="152">
        <f>Crewlist!B34</f>
        <v>20</v>
      </c>
      <c r="C22" s="159" t="str">
        <f>Crewlist!C34</f>
        <v>Longo</v>
      </c>
      <c r="D22" s="159" t="str">
        <f>Crewlist!D34</f>
        <v>SilvijaNisha</v>
      </c>
      <c r="E22" s="159" t="str">
        <f>Crewlist!E34</f>
        <v>Data</v>
      </c>
      <c r="F22" s="159" t="str">
        <f>Crewlist!F34</f>
        <v>TKM</v>
      </c>
      <c r="G22" s="160">
        <f>Crewlist!G34</f>
        <v>19695</v>
      </c>
      <c r="H22" s="159" t="str">
        <f>Crewlist!H34</f>
        <v>Busan</v>
      </c>
      <c r="I22" s="159" t="str">
        <f>Crewlist!J34</f>
        <v>M</v>
      </c>
      <c r="J22" s="159" t="str">
        <f>Crewlist!K34</f>
        <v>PP</v>
      </c>
      <c r="K22" s="159" t="str">
        <f>Crewlist!L34</f>
        <v>4D7npeDWRf</v>
      </c>
      <c r="L22" s="159" t="str">
        <f>Crewlist!M34</f>
        <v>TKM</v>
      </c>
      <c r="M22" s="160">
        <f>Crewlist!N34</f>
        <v>46411</v>
      </c>
      <c r="N22" s="212"/>
    </row>
    <row r="23" spans="2:14">
      <c r="B23" s="152">
        <f>Crewlist!B35</f>
        <v>21</v>
      </c>
      <c r="C23" s="159" t="str">
        <f>Crewlist!C35</f>
        <v>Amador</v>
      </c>
      <c r="D23" s="159" t="str">
        <f>Crewlist!D35</f>
        <v>DaudZinat</v>
      </c>
      <c r="E23" s="159" t="str">
        <f>Crewlist!E35</f>
        <v>Geo</v>
      </c>
      <c r="F23" s="159" t="str">
        <f>Crewlist!F35</f>
        <v>TJK</v>
      </c>
      <c r="G23" s="160">
        <f>Crewlist!G35</f>
        <v>23905</v>
      </c>
      <c r="H23" s="159" t="str">
        <f>Crewlist!H35</f>
        <v>Zhengzhou</v>
      </c>
      <c r="I23" s="159" t="str">
        <f>Crewlist!J35</f>
        <v>F</v>
      </c>
      <c r="J23" s="159" t="str">
        <f>Crewlist!K35</f>
        <v>PP</v>
      </c>
      <c r="K23" s="159" t="str">
        <f>Crewlist!L35</f>
        <v>2E553AnFAJ</v>
      </c>
      <c r="L23" s="159" t="str">
        <f>Crewlist!M35</f>
        <v>TJK</v>
      </c>
      <c r="M23" s="158">
        <f>Crewlist!N35</f>
        <v>47987</v>
      </c>
      <c r="N23" s="213"/>
    </row>
    <row r="24" spans="2:14">
      <c r="B24" s="152">
        <f>Crewlist!B36</f>
        <v>22</v>
      </c>
      <c r="C24" s="159" t="str">
        <f>Crewlist!C36</f>
        <v>Braden</v>
      </c>
      <c r="D24" s="159" t="str">
        <f>Crewlist!D36</f>
        <v>KaoruCosmas</v>
      </c>
      <c r="E24" s="159" t="str">
        <f>Crewlist!E36</f>
        <v>Survey</v>
      </c>
      <c r="F24" s="159" t="str">
        <f>Crewlist!F36</f>
        <v>ETH</v>
      </c>
      <c r="G24" s="160">
        <f>Crewlist!G36</f>
        <v>30328</v>
      </c>
      <c r="H24" s="159" t="str">
        <f>Crewlist!H36</f>
        <v>Tainan</v>
      </c>
      <c r="I24" s="159" t="str">
        <f>Crewlist!J36</f>
        <v>M</v>
      </c>
      <c r="J24" s="159" t="str">
        <f>Crewlist!K36</f>
        <v>PP</v>
      </c>
      <c r="K24" s="159" t="str">
        <f>Crewlist!L36</f>
        <v>MynubbJgHN</v>
      </c>
      <c r="L24" s="159" t="str">
        <f>Crewlist!M36</f>
        <v>ETH</v>
      </c>
      <c r="M24" s="160">
        <f>Crewlist!N36</f>
        <v>46943</v>
      </c>
      <c r="N24" s="212"/>
    </row>
    <row r="25" spans="2:14">
      <c r="B25" s="152">
        <f>Crewlist!B37</f>
        <v>23</v>
      </c>
      <c r="C25" s="159" t="str">
        <f>Crewlist!C37</f>
        <v>Iliescu</v>
      </c>
      <c r="D25" s="159" t="str">
        <f>Crewlist!D37</f>
        <v>EmilianAgostinho</v>
      </c>
      <c r="E25" s="159" t="str">
        <f>Crewlist!E37</f>
        <v>ROV</v>
      </c>
      <c r="F25" s="159" t="str">
        <f>Crewlist!F37</f>
        <v>CZE</v>
      </c>
      <c r="G25" s="160">
        <f>Crewlist!G37</f>
        <v>22398</v>
      </c>
      <c r="H25" s="159" t="str">
        <f>Crewlist!H37</f>
        <v>Hong Kong</v>
      </c>
      <c r="I25" s="159" t="str">
        <f>Crewlist!J37</f>
        <v>M</v>
      </c>
      <c r="J25" s="159" t="str">
        <f>Crewlist!K37</f>
        <v>PP</v>
      </c>
      <c r="K25" s="159" t="str">
        <f>Crewlist!L37</f>
        <v>4yGzcVRn27</v>
      </c>
      <c r="L25" s="159" t="str">
        <f>Crewlist!M37</f>
        <v>CZE</v>
      </c>
      <c r="M25" s="158">
        <f>Crewlist!N37</f>
        <v>46553</v>
      </c>
      <c r="N25" s="213"/>
    </row>
    <row r="26" spans="2:14">
      <c r="B26" s="152">
        <f>Crewlist!B38</f>
        <v>24</v>
      </c>
      <c r="C26" s="159" t="str">
        <f>Crewlist!C38</f>
        <v>Christian</v>
      </c>
      <c r="D26" s="159" t="str">
        <f>Crewlist!D38</f>
        <v>VilhjálmurTerje</v>
      </c>
      <c r="E26" s="159" t="str">
        <f>Crewlist!E38</f>
        <v>ROV</v>
      </c>
      <c r="F26" s="159" t="str">
        <f>Crewlist!F38</f>
        <v>FJI</v>
      </c>
      <c r="G26" s="160">
        <f>Crewlist!G38</f>
        <v>32472</v>
      </c>
      <c r="H26" s="159" t="str">
        <f>Crewlist!H38</f>
        <v>Fuzhou</v>
      </c>
      <c r="I26" s="159" t="str">
        <f>Crewlist!J38</f>
        <v>F</v>
      </c>
      <c r="J26" s="159" t="str">
        <f>Crewlist!K38</f>
        <v>PP</v>
      </c>
      <c r="K26" s="159" t="str">
        <f>Crewlist!L38</f>
        <v>uFqehB88At</v>
      </c>
      <c r="L26" s="159" t="str">
        <f>Crewlist!M38</f>
        <v>FJI</v>
      </c>
      <c r="M26" s="160">
        <f>Crewlist!N38</f>
        <v>47018</v>
      </c>
      <c r="N26" s="212"/>
    </row>
    <row r="27" spans="2:14">
      <c r="B27" s="152">
        <f>Crewlist!B39</f>
        <v>25</v>
      </c>
      <c r="C27" s="159" t="str">
        <f>Crewlist!C39</f>
        <v>Clark</v>
      </c>
      <c r="D27" s="159" t="str">
        <f>Crewlist!D39</f>
        <v>LilliaAnte</v>
      </c>
      <c r="E27" s="159" t="str">
        <f>Crewlist!E39</f>
        <v>ROV</v>
      </c>
      <c r="F27" s="159" t="str">
        <f>Crewlist!F39</f>
        <v>SPM</v>
      </c>
      <c r="G27" s="160">
        <f>Crewlist!G39</f>
        <v>37471</v>
      </c>
      <c r="H27" s="159" t="str">
        <f>Crewlist!H39</f>
        <v>Harare</v>
      </c>
      <c r="I27" s="159" t="str">
        <f>Crewlist!J39</f>
        <v>F</v>
      </c>
      <c r="J27" s="159" t="str">
        <f>Crewlist!K39</f>
        <v>PP</v>
      </c>
      <c r="K27" s="159" t="str">
        <f>Crewlist!L39</f>
        <v>dt83pMJrUE</v>
      </c>
      <c r="L27" s="159" t="str">
        <f>Crewlist!M39</f>
        <v>SPM</v>
      </c>
      <c r="M27" s="158">
        <f>Crewlist!N39</f>
        <v>47887</v>
      </c>
      <c r="N27" s="213"/>
    </row>
    <row r="28" spans="2:14">
      <c r="B28" s="152">
        <f>Crewlist!B40</f>
        <v>26</v>
      </c>
      <c r="C28" s="159" t="str">
        <f>Crewlist!C40</f>
        <v>Spini</v>
      </c>
      <c r="D28" s="159" t="str">
        <f>Crewlist!D40</f>
        <v>IdirAbiola</v>
      </c>
      <c r="E28" s="159" t="str">
        <f>Crewlist!E40</f>
        <v>ROV Sup</v>
      </c>
      <c r="F28" s="159" t="str">
        <f>Crewlist!F40</f>
        <v>GUY</v>
      </c>
      <c r="G28" s="160">
        <f>Crewlist!G40</f>
        <v>23335</v>
      </c>
      <c r="H28" s="159" t="str">
        <f>Crewlist!H40</f>
        <v>Kampala</v>
      </c>
      <c r="I28" s="159" t="str">
        <f>Crewlist!J40</f>
        <v>M</v>
      </c>
      <c r="J28" s="159" t="str">
        <f>Crewlist!K40</f>
        <v>PP</v>
      </c>
      <c r="K28" s="159" t="str">
        <f>Crewlist!L40</f>
        <v>6xFAL79VwC</v>
      </c>
      <c r="L28" s="159" t="str">
        <f>Crewlist!M40</f>
        <v>GUY</v>
      </c>
      <c r="M28" s="160">
        <f>Crewlist!N40</f>
        <v>47022</v>
      </c>
      <c r="N28" s="212"/>
    </row>
    <row r="29" spans="2:14">
      <c r="B29" s="152">
        <f>Crewlist!B41</f>
        <v>27</v>
      </c>
      <c r="C29" s="159" t="str">
        <f>Crewlist!C41</f>
        <v>Alessi</v>
      </c>
      <c r="D29" s="159" t="str">
        <f>Crewlist!D41</f>
        <v>AuroraAmonet</v>
      </c>
      <c r="E29" s="159" t="str">
        <f>Crewlist!E41</f>
        <v>UXO</v>
      </c>
      <c r="F29" s="159" t="str">
        <f>Crewlist!F41</f>
        <v>MHL</v>
      </c>
      <c r="G29" s="160">
        <f>Crewlist!G41</f>
        <v>21407</v>
      </c>
      <c r="H29" s="159" t="str">
        <f>Crewlist!H41</f>
        <v>Kuala Lumpur</v>
      </c>
      <c r="I29" s="159" t="str">
        <f>Crewlist!J41</f>
        <v>M</v>
      </c>
      <c r="J29" s="159" t="str">
        <f>Crewlist!K41</f>
        <v>PP</v>
      </c>
      <c r="K29" s="159" t="str">
        <f>Crewlist!L41</f>
        <v>BPFPFALjJS</v>
      </c>
      <c r="L29" s="159" t="str">
        <f>Crewlist!M41</f>
        <v>MHL</v>
      </c>
      <c r="M29" s="158">
        <f>Crewlist!N41</f>
        <v>47304</v>
      </c>
      <c r="N29" s="213"/>
    </row>
    <row r="30" spans="2:14">
      <c r="B30" s="152">
        <f>Crewlist!B42</f>
        <v>28</v>
      </c>
      <c r="C30" s="159" t="str">
        <f>Crewlist!C42</f>
        <v>Macek</v>
      </c>
      <c r="D30" s="159" t="str">
        <f>Crewlist!D42</f>
        <v>LudwigTakuya</v>
      </c>
      <c r="E30" s="159" t="str">
        <f>Crewlist!E42</f>
        <v>Client</v>
      </c>
      <c r="F30" s="159" t="str">
        <f>Crewlist!F42</f>
        <v>MDV</v>
      </c>
      <c r="G30" s="160">
        <f>Crewlist!G42</f>
        <v>24881</v>
      </c>
      <c r="H30" s="159" t="str">
        <f>Crewlist!H42</f>
        <v>Seoul</v>
      </c>
      <c r="I30" s="159" t="str">
        <f>Crewlist!J42</f>
        <v>M</v>
      </c>
      <c r="J30" s="159" t="str">
        <f>Crewlist!K42</f>
        <v>PP</v>
      </c>
      <c r="K30" s="159" t="str">
        <f>Crewlist!L42</f>
        <v>jJbAjxW2zq</v>
      </c>
      <c r="L30" s="159" t="str">
        <f>Crewlist!M42</f>
        <v>MDV</v>
      </c>
      <c r="M30" s="160">
        <f>Crewlist!N42</f>
        <v>46672</v>
      </c>
      <c r="N30" s="214"/>
    </row>
    <row r="31" spans="2:14">
      <c r="B31" s="152">
        <f>Crewlist!B43</f>
        <v>29</v>
      </c>
      <c r="C31" s="159" t="str">
        <f>Crewlist!C43</f>
        <v>Curry</v>
      </c>
      <c r="D31" s="159" t="str">
        <f>Crewlist!D43</f>
        <v>DawaAmie</v>
      </c>
      <c r="E31" s="159" t="str">
        <f>Crewlist!E43</f>
        <v>UXO</v>
      </c>
      <c r="F31" s="159" t="str">
        <f>Crewlist!F43</f>
        <v>TCA</v>
      </c>
      <c r="G31" s="160">
        <f>Crewlist!G43</f>
        <v>34926</v>
      </c>
      <c r="H31" s="159" t="str">
        <f>Crewlist!H43</f>
        <v>Algiers</v>
      </c>
      <c r="I31" s="159" t="str">
        <f>Crewlist!J43</f>
        <v>F</v>
      </c>
      <c r="J31" s="159" t="str">
        <f>Crewlist!K43</f>
        <v>PP</v>
      </c>
      <c r="K31" s="159" t="str">
        <f>Crewlist!L43</f>
        <v>HazmXtkPx7</v>
      </c>
      <c r="L31" s="159" t="str">
        <f>Crewlist!M43</f>
        <v>TCA</v>
      </c>
      <c r="M31" s="158">
        <f>Crewlist!N43</f>
        <v>46531</v>
      </c>
      <c r="N31" s="213"/>
    </row>
    <row r="32" spans="2:14">
      <c r="B32" s="152">
        <f>Crewlist!B44</f>
        <v>30</v>
      </c>
      <c r="C32" s="159" t="str">
        <f>Crewlist!C44</f>
        <v>Gwerder</v>
      </c>
      <c r="D32" s="159" t="str">
        <f>Crewlist!D44</f>
        <v>MileJuliana</v>
      </c>
      <c r="E32" s="159" t="str">
        <f>Crewlist!E44</f>
        <v>UXO</v>
      </c>
      <c r="F32" s="159" t="str">
        <f>Crewlist!F44</f>
        <v>MDG</v>
      </c>
      <c r="G32" s="160">
        <f>Crewlist!G44</f>
        <v>36766</v>
      </c>
      <c r="H32" s="159" t="str">
        <f>Crewlist!H44</f>
        <v>Caracas</v>
      </c>
      <c r="I32" s="159" t="str">
        <f>Crewlist!J44</f>
        <v>F</v>
      </c>
      <c r="J32" s="159" t="str">
        <f>Crewlist!K44</f>
        <v>PP</v>
      </c>
      <c r="K32" s="159" t="str">
        <f>Crewlist!L44</f>
        <v>URgATaEsgN</v>
      </c>
      <c r="L32" s="159" t="str">
        <f>Crewlist!M44</f>
        <v>MDG</v>
      </c>
      <c r="M32" s="160">
        <f>Crewlist!N44</f>
        <v>47040</v>
      </c>
      <c r="N32" s="212"/>
    </row>
    <row r="33" spans="2:14">
      <c r="B33" s="152" t="str">
        <f>Crewlist!B45</f>
        <v xml:space="preserve"> </v>
      </c>
      <c r="C33" s="159" t="str">
        <f>Crewlist!C45</f>
        <v xml:space="preserve"> </v>
      </c>
      <c r="D33" s="159" t="str">
        <f>Crewlist!D45</f>
        <v xml:space="preserve"> </v>
      </c>
      <c r="E33" s="159" t="str">
        <f>Crewlist!E45</f>
        <v xml:space="preserve"> </v>
      </c>
      <c r="F33" s="159" t="str">
        <f>Crewlist!F45</f>
        <v xml:space="preserve"> </v>
      </c>
      <c r="G33" s="160" t="str">
        <f>Crewlist!G45</f>
        <v xml:space="preserve"> </v>
      </c>
      <c r="H33" s="159" t="str">
        <f>Crewlist!H45</f>
        <v xml:space="preserve"> </v>
      </c>
      <c r="I33" s="159" t="str">
        <f>Crewlist!J45</f>
        <v xml:space="preserve"> </v>
      </c>
      <c r="J33" s="159" t="str">
        <f>Crewlist!K45</f>
        <v xml:space="preserve"> </v>
      </c>
      <c r="K33" s="159" t="str">
        <f>Crewlist!L45</f>
        <v xml:space="preserve"> </v>
      </c>
      <c r="L33" s="159" t="str">
        <f>Crewlist!M45</f>
        <v xml:space="preserve"> </v>
      </c>
      <c r="M33" s="158" t="str">
        <f>Crewlist!N45</f>
        <v xml:space="preserve"> </v>
      </c>
      <c r="N33" s="213"/>
    </row>
    <row r="34" spans="2:14">
      <c r="B34" s="152" t="str">
        <f>Crewlist!B46</f>
        <v xml:space="preserve"> </v>
      </c>
      <c r="C34" s="159" t="str">
        <f>Crewlist!C46</f>
        <v xml:space="preserve"> </v>
      </c>
      <c r="D34" s="159" t="str">
        <f>Crewlist!D46</f>
        <v xml:space="preserve"> </v>
      </c>
      <c r="E34" s="159" t="str">
        <f>Crewlist!E46</f>
        <v xml:space="preserve"> </v>
      </c>
      <c r="F34" s="159" t="str">
        <f>Crewlist!F46</f>
        <v xml:space="preserve"> </v>
      </c>
      <c r="G34" s="160" t="str">
        <f>Crewlist!G46</f>
        <v xml:space="preserve"> </v>
      </c>
      <c r="H34" s="159" t="str">
        <f>Crewlist!H46</f>
        <v xml:space="preserve"> </v>
      </c>
      <c r="I34" s="159" t="str">
        <f>Crewlist!J46</f>
        <v xml:space="preserve"> </v>
      </c>
      <c r="J34" s="159" t="str">
        <f>Crewlist!K46</f>
        <v xml:space="preserve"> </v>
      </c>
      <c r="K34" s="159" t="str">
        <f>Crewlist!L46</f>
        <v xml:space="preserve"> </v>
      </c>
      <c r="L34" s="159" t="str">
        <f>Crewlist!M46</f>
        <v xml:space="preserve"> </v>
      </c>
      <c r="M34" s="160" t="str">
        <f>Crewlist!N46</f>
        <v xml:space="preserve"> </v>
      </c>
      <c r="N34" s="212"/>
    </row>
    <row r="35" spans="2:14">
      <c r="B35" s="152" t="str">
        <f>Crewlist!B47</f>
        <v xml:space="preserve"> </v>
      </c>
      <c r="C35" s="159" t="str">
        <f>Crewlist!C47</f>
        <v xml:space="preserve"> </v>
      </c>
      <c r="D35" s="159" t="str">
        <f>Crewlist!D47</f>
        <v xml:space="preserve"> </v>
      </c>
      <c r="E35" s="159" t="str">
        <f>Crewlist!E47</f>
        <v xml:space="preserve"> </v>
      </c>
      <c r="F35" s="159" t="str">
        <f>Crewlist!F47</f>
        <v xml:space="preserve"> </v>
      </c>
      <c r="G35" s="160" t="str">
        <f>Crewlist!G47</f>
        <v xml:space="preserve"> </v>
      </c>
      <c r="H35" s="159" t="str">
        <f>Crewlist!H47</f>
        <v xml:space="preserve"> </v>
      </c>
      <c r="I35" s="159" t="str">
        <f>Crewlist!J47</f>
        <v xml:space="preserve"> </v>
      </c>
      <c r="J35" s="159" t="str">
        <f>Crewlist!K47</f>
        <v xml:space="preserve"> </v>
      </c>
      <c r="K35" s="159" t="str">
        <f>Crewlist!L47</f>
        <v xml:space="preserve"> </v>
      </c>
      <c r="L35" s="159" t="str">
        <f>Crewlist!M47</f>
        <v xml:space="preserve"> </v>
      </c>
      <c r="M35" s="158" t="str">
        <f>Crewlist!N47</f>
        <v xml:space="preserve"> </v>
      </c>
      <c r="N35" s="213"/>
    </row>
    <row r="36" spans="2:14">
      <c r="B36" s="153" t="str">
        <f>Crewlist!B48</f>
        <v xml:space="preserve"> </v>
      </c>
      <c r="C36" s="157" t="str">
        <f>Crewlist!C48</f>
        <v xml:space="preserve"> </v>
      </c>
      <c r="D36" s="157" t="str">
        <f>Crewlist!D48</f>
        <v xml:space="preserve"> </v>
      </c>
      <c r="E36" s="157" t="str">
        <f>Crewlist!E48</f>
        <v xml:space="preserve"> </v>
      </c>
      <c r="F36" s="157" t="str">
        <f>Crewlist!F48</f>
        <v xml:space="preserve"> </v>
      </c>
      <c r="G36" s="158" t="str">
        <f>Crewlist!G48</f>
        <v xml:space="preserve"> </v>
      </c>
      <c r="H36" s="157" t="str">
        <f>Crewlist!H48</f>
        <v xml:space="preserve"> </v>
      </c>
      <c r="I36" s="157" t="str">
        <f>Crewlist!J48</f>
        <v xml:space="preserve"> </v>
      </c>
      <c r="J36" s="157" t="str">
        <f>Crewlist!K48</f>
        <v xml:space="preserve"> </v>
      </c>
      <c r="K36" s="157" t="str">
        <f>Crewlist!L48</f>
        <v xml:space="preserve"> </v>
      </c>
      <c r="L36" s="157" t="str">
        <f>Crewlist!M48</f>
        <v xml:space="preserve"> </v>
      </c>
      <c r="M36" s="160" t="str">
        <f>Crewlist!N48</f>
        <v xml:space="preserve"> </v>
      </c>
      <c r="N36" s="214"/>
    </row>
    <row r="37" spans="2:14">
      <c r="B37" s="152" t="str">
        <f>Crewlist!B49</f>
        <v xml:space="preserve"> </v>
      </c>
      <c r="C37" s="159" t="str">
        <f>Crewlist!C49</f>
        <v xml:space="preserve"> </v>
      </c>
      <c r="D37" s="159" t="str">
        <f>Crewlist!D49</f>
        <v xml:space="preserve"> </v>
      </c>
      <c r="E37" s="159" t="str">
        <f>Crewlist!E49</f>
        <v xml:space="preserve"> </v>
      </c>
      <c r="F37" s="159" t="str">
        <f>Crewlist!F49</f>
        <v xml:space="preserve"> </v>
      </c>
      <c r="G37" s="160" t="str">
        <f>Crewlist!G49</f>
        <v xml:space="preserve"> </v>
      </c>
      <c r="H37" s="159" t="str">
        <f>Crewlist!H49</f>
        <v xml:space="preserve"> </v>
      </c>
      <c r="I37" s="159" t="str">
        <f>Crewlist!J49</f>
        <v xml:space="preserve"> </v>
      </c>
      <c r="J37" s="159" t="str">
        <f>Crewlist!K49</f>
        <v xml:space="preserve"> </v>
      </c>
      <c r="K37" s="159" t="str">
        <f>Crewlist!L49</f>
        <v xml:space="preserve"> </v>
      </c>
      <c r="L37" s="159" t="str">
        <f>Crewlist!M49</f>
        <v xml:space="preserve"> </v>
      </c>
      <c r="M37" s="158" t="str">
        <f>Crewlist!N49</f>
        <v xml:space="preserve"> </v>
      </c>
      <c r="N37" s="211"/>
    </row>
    <row r="38" spans="2:14">
      <c r="B38" s="152" t="str">
        <f>Crewlist!B50</f>
        <v xml:space="preserve"> </v>
      </c>
      <c r="C38" s="159" t="str">
        <f>Crewlist!C50</f>
        <v xml:space="preserve"> </v>
      </c>
      <c r="D38" s="159" t="str">
        <f>Crewlist!D50</f>
        <v xml:space="preserve"> </v>
      </c>
      <c r="E38" s="159" t="str">
        <f>Crewlist!E50</f>
        <v xml:space="preserve"> </v>
      </c>
      <c r="F38" s="159" t="str">
        <f>Crewlist!F50</f>
        <v xml:space="preserve"> </v>
      </c>
      <c r="G38" s="160" t="str">
        <f>Crewlist!G50</f>
        <v xml:space="preserve"> </v>
      </c>
      <c r="H38" s="159" t="str">
        <f>Crewlist!H50</f>
        <v xml:space="preserve"> </v>
      </c>
      <c r="I38" s="159" t="str">
        <f>Crewlist!J50</f>
        <v xml:space="preserve"> </v>
      </c>
      <c r="J38" s="159" t="str">
        <f>Crewlist!K50</f>
        <v xml:space="preserve"> </v>
      </c>
      <c r="K38" s="159" t="str">
        <f>Crewlist!L50</f>
        <v xml:space="preserve"> </v>
      </c>
      <c r="L38" s="159" t="str">
        <f>Crewlist!M50</f>
        <v xml:space="preserve"> </v>
      </c>
      <c r="M38" s="160" t="str">
        <f>Crewlist!N50</f>
        <v xml:space="preserve"> </v>
      </c>
      <c r="N38" s="212"/>
    </row>
    <row r="39" spans="2:14">
      <c r="B39" s="152" t="str">
        <f>Crewlist!B51</f>
        <v xml:space="preserve"> </v>
      </c>
      <c r="C39" s="159" t="str">
        <f>Crewlist!C51</f>
        <v xml:space="preserve"> </v>
      </c>
      <c r="D39" s="159" t="str">
        <f>Crewlist!D51</f>
        <v xml:space="preserve"> </v>
      </c>
      <c r="E39" s="159" t="str">
        <f>Crewlist!E51</f>
        <v xml:space="preserve"> </v>
      </c>
      <c r="F39" s="159" t="str">
        <f>Crewlist!F51</f>
        <v xml:space="preserve"> </v>
      </c>
      <c r="G39" s="160" t="str">
        <f>Crewlist!G51</f>
        <v xml:space="preserve"> </v>
      </c>
      <c r="H39" s="159" t="str">
        <f>Crewlist!H51</f>
        <v xml:space="preserve"> </v>
      </c>
      <c r="I39" s="159" t="str">
        <f>Crewlist!J51</f>
        <v xml:space="preserve"> </v>
      </c>
      <c r="J39" s="159" t="str">
        <f>Crewlist!K51</f>
        <v xml:space="preserve"> </v>
      </c>
      <c r="K39" s="159" t="str">
        <f>Crewlist!L51</f>
        <v xml:space="preserve"> </v>
      </c>
      <c r="L39" s="159" t="str">
        <f>Crewlist!M51</f>
        <v xml:space="preserve"> </v>
      </c>
      <c r="M39" s="158" t="str">
        <f>Crewlist!N51</f>
        <v xml:space="preserve"> </v>
      </c>
      <c r="N39" s="213"/>
    </row>
    <row r="40" spans="2:14">
      <c r="B40" s="152" t="str">
        <f>Crewlist!B52</f>
        <v xml:space="preserve"> </v>
      </c>
      <c r="C40" s="159" t="str">
        <f>Crewlist!C52</f>
        <v xml:space="preserve"> </v>
      </c>
      <c r="D40" s="159" t="str">
        <f>Crewlist!D52</f>
        <v xml:space="preserve"> </v>
      </c>
      <c r="E40" s="159" t="str">
        <f>Crewlist!E52</f>
        <v xml:space="preserve"> </v>
      </c>
      <c r="F40" s="159" t="str">
        <f>Crewlist!F52</f>
        <v xml:space="preserve"> </v>
      </c>
      <c r="G40" s="160" t="str">
        <f>Crewlist!G52</f>
        <v xml:space="preserve"> </v>
      </c>
      <c r="H40" s="159" t="str">
        <f>Crewlist!H52</f>
        <v xml:space="preserve"> </v>
      </c>
      <c r="I40" s="159" t="str">
        <f>Crewlist!J52</f>
        <v xml:space="preserve"> </v>
      </c>
      <c r="J40" s="159" t="str">
        <f>Crewlist!K52</f>
        <v xml:space="preserve"> </v>
      </c>
      <c r="K40" s="159" t="str">
        <f>Crewlist!L52</f>
        <v xml:space="preserve"> </v>
      </c>
      <c r="L40" s="159" t="str">
        <f>Crewlist!M52</f>
        <v xml:space="preserve"> </v>
      </c>
      <c r="M40" s="160" t="str">
        <f>Crewlist!N52</f>
        <v xml:space="preserve"> </v>
      </c>
      <c r="N40" s="212"/>
    </row>
    <row r="41" spans="2:14">
      <c r="B41" s="152" t="str">
        <f>Crewlist!B53</f>
        <v xml:space="preserve"> </v>
      </c>
      <c r="C41" s="159" t="str">
        <f>Crewlist!C53</f>
        <v xml:space="preserve"> </v>
      </c>
      <c r="D41" s="159" t="str">
        <f>Crewlist!D53</f>
        <v xml:space="preserve"> </v>
      </c>
      <c r="E41" s="159" t="str">
        <f>Crewlist!E53</f>
        <v xml:space="preserve"> </v>
      </c>
      <c r="F41" s="159" t="str">
        <f>Crewlist!F53</f>
        <v xml:space="preserve"> </v>
      </c>
      <c r="G41" s="160" t="str">
        <f>Crewlist!G53</f>
        <v xml:space="preserve"> </v>
      </c>
      <c r="H41" s="159" t="str">
        <f>Crewlist!H53</f>
        <v xml:space="preserve"> </v>
      </c>
      <c r="I41" s="159" t="str">
        <f>Crewlist!J53</f>
        <v xml:space="preserve"> </v>
      </c>
      <c r="J41" s="159" t="str">
        <f>Crewlist!K53</f>
        <v xml:space="preserve"> </v>
      </c>
      <c r="K41" s="159" t="str">
        <f>Crewlist!L53</f>
        <v xml:space="preserve"> </v>
      </c>
      <c r="L41" s="159" t="str">
        <f>Crewlist!M53</f>
        <v xml:space="preserve"> </v>
      </c>
      <c r="M41" s="158" t="str">
        <f>Crewlist!N53</f>
        <v xml:space="preserve"> </v>
      </c>
      <c r="N41" s="213"/>
    </row>
    <row r="42" spans="2:14">
      <c r="B42" s="152" t="str">
        <f>Crewlist!B54</f>
        <v xml:space="preserve"> </v>
      </c>
      <c r="C42" s="159" t="str">
        <f>Crewlist!C54</f>
        <v xml:space="preserve"> </v>
      </c>
      <c r="D42" s="159" t="str">
        <f>Crewlist!D54</f>
        <v xml:space="preserve"> </v>
      </c>
      <c r="E42" s="159" t="str">
        <f>Crewlist!E54</f>
        <v xml:space="preserve"> </v>
      </c>
      <c r="F42" s="159" t="str">
        <f>Crewlist!F54</f>
        <v xml:space="preserve"> </v>
      </c>
      <c r="G42" s="160" t="str">
        <f>Crewlist!G54</f>
        <v xml:space="preserve"> </v>
      </c>
      <c r="H42" s="159" t="str">
        <f>Crewlist!H54</f>
        <v xml:space="preserve"> </v>
      </c>
      <c r="I42" s="159" t="str">
        <f>Crewlist!J54</f>
        <v xml:space="preserve"> </v>
      </c>
      <c r="J42" s="159" t="str">
        <f>Crewlist!K54</f>
        <v xml:space="preserve"> </v>
      </c>
      <c r="K42" s="159" t="str">
        <f>Crewlist!L54</f>
        <v xml:space="preserve"> </v>
      </c>
      <c r="L42" s="159" t="str">
        <f>Crewlist!M54</f>
        <v xml:space="preserve"> </v>
      </c>
      <c r="M42" s="160" t="str">
        <f>Crewlist!N54</f>
        <v xml:space="preserve"> </v>
      </c>
      <c r="N42" s="212"/>
    </row>
    <row r="43" spans="2:14">
      <c r="B43" s="152" t="str">
        <f>Crewlist!B55</f>
        <v xml:space="preserve"> </v>
      </c>
      <c r="C43" s="159" t="str">
        <f>Crewlist!C55</f>
        <v xml:space="preserve"> </v>
      </c>
      <c r="D43" s="159" t="str">
        <f>Crewlist!D55</f>
        <v xml:space="preserve"> </v>
      </c>
      <c r="E43" s="159" t="str">
        <f>Crewlist!E55</f>
        <v xml:space="preserve"> </v>
      </c>
      <c r="F43" s="159" t="str">
        <f>Crewlist!F55</f>
        <v xml:space="preserve"> </v>
      </c>
      <c r="G43" s="160" t="str">
        <f>Crewlist!G55</f>
        <v xml:space="preserve"> </v>
      </c>
      <c r="H43" s="159" t="str">
        <f>Crewlist!H55</f>
        <v xml:space="preserve"> </v>
      </c>
      <c r="I43" s="159" t="str">
        <f>Crewlist!J55</f>
        <v xml:space="preserve"> </v>
      </c>
      <c r="J43" s="159" t="str">
        <f>Crewlist!K55</f>
        <v xml:space="preserve"> </v>
      </c>
      <c r="K43" s="159" t="str">
        <f>Crewlist!L55</f>
        <v xml:space="preserve"> </v>
      </c>
      <c r="L43" s="159" t="str">
        <f>Crewlist!M55</f>
        <v xml:space="preserve"> </v>
      </c>
      <c r="M43" s="158" t="str">
        <f>Crewlist!N55</f>
        <v xml:space="preserve"> </v>
      </c>
      <c r="N43" s="213"/>
    </row>
    <row r="44" spans="2:14">
      <c r="B44" s="152" t="str">
        <f>Crewlist!B56</f>
        <v xml:space="preserve"> </v>
      </c>
      <c r="C44" s="159" t="str">
        <f>Crewlist!C56</f>
        <v xml:space="preserve"> </v>
      </c>
      <c r="D44" s="159" t="str">
        <f>Crewlist!D56</f>
        <v xml:space="preserve"> </v>
      </c>
      <c r="E44" s="159" t="str">
        <f>Crewlist!E56</f>
        <v xml:space="preserve"> </v>
      </c>
      <c r="F44" s="159" t="str">
        <f>Crewlist!F56</f>
        <v xml:space="preserve"> </v>
      </c>
      <c r="G44" s="160" t="str">
        <f>Crewlist!G56</f>
        <v xml:space="preserve"> </v>
      </c>
      <c r="H44" s="159" t="str">
        <f>Crewlist!H56</f>
        <v xml:space="preserve"> </v>
      </c>
      <c r="I44" s="159" t="str">
        <f>Crewlist!J56</f>
        <v xml:space="preserve"> </v>
      </c>
      <c r="J44" s="159" t="str">
        <f>Crewlist!K56</f>
        <v xml:space="preserve"> </v>
      </c>
      <c r="K44" s="159" t="str">
        <f>Crewlist!L56</f>
        <v xml:space="preserve"> </v>
      </c>
      <c r="L44" s="159" t="str">
        <f>Crewlist!M56</f>
        <v xml:space="preserve"> </v>
      </c>
      <c r="M44" s="160" t="str">
        <f>Crewlist!N56</f>
        <v xml:space="preserve"> </v>
      </c>
      <c r="N44" s="212"/>
    </row>
    <row r="45" spans="2:14">
      <c r="B45" s="152" t="str">
        <f>Crewlist!B57</f>
        <v xml:space="preserve"> </v>
      </c>
      <c r="C45" s="159" t="str">
        <f>Crewlist!C57</f>
        <v xml:space="preserve"> </v>
      </c>
      <c r="D45" s="159" t="str">
        <f>Crewlist!D57</f>
        <v xml:space="preserve"> </v>
      </c>
      <c r="E45" s="159" t="str">
        <f>Crewlist!E57</f>
        <v xml:space="preserve"> </v>
      </c>
      <c r="F45" s="159" t="str">
        <f>Crewlist!F57</f>
        <v xml:space="preserve"> </v>
      </c>
      <c r="G45" s="160" t="str">
        <f>Crewlist!G57</f>
        <v xml:space="preserve"> </v>
      </c>
      <c r="H45" s="159" t="str">
        <f>Crewlist!H57</f>
        <v xml:space="preserve"> </v>
      </c>
      <c r="I45" s="159" t="str">
        <f>Crewlist!J57</f>
        <v xml:space="preserve"> </v>
      </c>
      <c r="J45" s="159" t="str">
        <f>Crewlist!K57</f>
        <v xml:space="preserve"> </v>
      </c>
      <c r="K45" s="159" t="str">
        <f>Crewlist!L57</f>
        <v xml:space="preserve"> </v>
      </c>
      <c r="L45" s="159" t="str">
        <f>Crewlist!M57</f>
        <v xml:space="preserve"> </v>
      </c>
      <c r="M45" s="158" t="str">
        <f>Crewlist!N57</f>
        <v xml:space="preserve"> </v>
      </c>
      <c r="N45" s="213"/>
    </row>
    <row r="46" spans="2:14">
      <c r="B46" s="152" t="str">
        <f>Crewlist!B58</f>
        <v xml:space="preserve"> </v>
      </c>
      <c r="C46" s="159" t="str">
        <f>Crewlist!C58</f>
        <v xml:space="preserve"> </v>
      </c>
      <c r="D46" s="159" t="str">
        <f>Crewlist!D58</f>
        <v xml:space="preserve"> </v>
      </c>
      <c r="E46" s="159" t="str">
        <f>Crewlist!E58</f>
        <v xml:space="preserve"> </v>
      </c>
      <c r="F46" s="159" t="str">
        <f>Crewlist!F58</f>
        <v xml:space="preserve"> </v>
      </c>
      <c r="G46" s="160" t="str">
        <f>Crewlist!G58</f>
        <v xml:space="preserve"> </v>
      </c>
      <c r="H46" s="159" t="str">
        <f>Crewlist!H58</f>
        <v xml:space="preserve"> </v>
      </c>
      <c r="I46" s="159" t="str">
        <f>Crewlist!J58</f>
        <v xml:space="preserve"> </v>
      </c>
      <c r="J46" s="159" t="str">
        <f>Crewlist!K58</f>
        <v xml:space="preserve"> </v>
      </c>
      <c r="K46" s="159" t="str">
        <f>Crewlist!L58</f>
        <v xml:space="preserve"> </v>
      </c>
      <c r="L46" s="159" t="str">
        <f>Crewlist!M58</f>
        <v xml:space="preserve"> </v>
      </c>
      <c r="M46" s="158" t="str">
        <f>Crewlist!N58</f>
        <v xml:space="preserve"> </v>
      </c>
      <c r="N46" s="213"/>
    </row>
  </sheetData>
  <sheetProtection password="C9CF" sheet="1" objects="1" scenarios="1"/>
  <pageMargins left="0.7" right="0.7" top="0.75" bottom="0.75" header="0.3" footer="0.3"/>
  <pageSetup paperSize="9" scale="5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Crewlist</vt:lpstr>
      <vt:lpstr>PE list</vt:lpstr>
      <vt:lpstr>Database</vt:lpstr>
      <vt:lpstr>Port Doc Copy Sheet</vt:lpstr>
      <vt:lpstr>Crewlist!Print_Area</vt:lpstr>
      <vt:lpstr>'PE list'!Print_Area</vt:lpstr>
    </vt:vector>
  </TitlesOfParts>
  <Company>Noordhoek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Crew lijst</dc:title>
  <dc:creator>Chris</dc:creator>
  <dc:description>Crew lijst met database, gebaseerd op IMO fal</dc:description>
  <cp:lastModifiedBy>Wojciech Maniak</cp:lastModifiedBy>
  <cp:lastPrinted>2022-12-03T12:58:49Z</cp:lastPrinted>
  <dcterms:created xsi:type="dcterms:W3CDTF">2002-05-06T13:12:03Z</dcterms:created>
  <dcterms:modified xsi:type="dcterms:W3CDTF">2023-01-09T20:22:25Z</dcterms:modified>
</cp:coreProperties>
</file>